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733f63c32f459a/Documentos/"/>
    </mc:Choice>
  </mc:AlternateContent>
  <xr:revisionPtr revIDLastSave="30" documentId="13_ncr:1_{A59953F5-981E-D840-8364-FB7F634751F1}" xr6:coauthVersionLast="47" xr6:coauthVersionMax="47" xr10:uidLastSave="{A111D7CA-FCC1-4F68-AAE1-7055F2E209BE}"/>
  <bookViews>
    <workbookView xWindow="-120" yWindow="-120" windowWidth="29040" windowHeight="15720" activeTab="1" xr2:uid="{ECA75ECE-8F17-B44B-8D99-ABE47EDA68DB}"/>
  </bookViews>
  <sheets>
    <sheet name="Hoja1" sheetId="1" r:id="rId1"/>
    <sheet name="Libro compra " sheetId="3" r:id="rId2"/>
    <sheet name="Libro Ventas" sheetId="4" r:id="rId3"/>
    <sheet name="resumen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17" i="1" l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O2614" i="1"/>
  <c r="J2614" i="1"/>
  <c r="D2614" i="1"/>
  <c r="J2613" i="1"/>
  <c r="O2612" i="1"/>
  <c r="J2612" i="1"/>
  <c r="D2612" i="1"/>
  <c r="J2611" i="1"/>
  <c r="O2610" i="1"/>
  <c r="J2610" i="1"/>
  <c r="D2610" i="1"/>
  <c r="J2609" i="1"/>
  <c r="O2608" i="1"/>
  <c r="J2608" i="1"/>
  <c r="D2608" i="1"/>
  <c r="J2607" i="1"/>
  <c r="O2606" i="1"/>
  <c r="J2606" i="1"/>
  <c r="D2606" i="1"/>
  <c r="J2605" i="1"/>
  <c r="O2604" i="1"/>
  <c r="J2604" i="1"/>
  <c r="D2604" i="1"/>
  <c r="J2603" i="1"/>
  <c r="O2602" i="1"/>
  <c r="J2602" i="1"/>
  <c r="D2602" i="1"/>
  <c r="J2601" i="1"/>
  <c r="O2600" i="1"/>
  <c r="J2600" i="1"/>
  <c r="D2600" i="1"/>
  <c r="J2599" i="1"/>
  <c r="O2598" i="1"/>
  <c r="J2598" i="1"/>
  <c r="D2598" i="1"/>
  <c r="J2597" i="1"/>
  <c r="O2596" i="1"/>
  <c r="J2596" i="1"/>
  <c r="D2596" i="1"/>
  <c r="J2595" i="1"/>
  <c r="O2594" i="1"/>
  <c r="J2594" i="1"/>
  <c r="D2594" i="1"/>
  <c r="J2593" i="1"/>
  <c r="J2592" i="1"/>
  <c r="D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C2381" i="1"/>
  <c r="C2382" i="1" s="1"/>
  <c r="J2380" i="1"/>
  <c r="C2380" i="1"/>
  <c r="D2380" i="1" s="1"/>
  <c r="J2379" i="1"/>
  <c r="D2379" i="1"/>
  <c r="J2378" i="1"/>
  <c r="C2378" i="1"/>
  <c r="D2378" i="1" s="1"/>
  <c r="J2377" i="1"/>
  <c r="D2377" i="1"/>
  <c r="J2376" i="1"/>
  <c r="J2375" i="1"/>
  <c r="J2374" i="1"/>
  <c r="J2373" i="1"/>
  <c r="C2373" i="1"/>
  <c r="D2373" i="1" s="1"/>
  <c r="J2372" i="1"/>
  <c r="D2372" i="1"/>
  <c r="C2372" i="1"/>
  <c r="J2371" i="1"/>
  <c r="D2371" i="1"/>
  <c r="J2370" i="1"/>
  <c r="C2370" i="1"/>
  <c r="D2370" i="1" s="1"/>
  <c r="J2369" i="1"/>
  <c r="D2369" i="1"/>
  <c r="J2368" i="1"/>
  <c r="J2367" i="1"/>
  <c r="J2366" i="1"/>
  <c r="J2365" i="1"/>
  <c r="J2364" i="1"/>
  <c r="J2363" i="1"/>
  <c r="C2363" i="1"/>
  <c r="C2364" i="1" s="1"/>
  <c r="J2362" i="1"/>
  <c r="D2362" i="1"/>
  <c r="J2361" i="1"/>
  <c r="D2361" i="1"/>
  <c r="C2361" i="1"/>
  <c r="J2360" i="1"/>
  <c r="D2360" i="1"/>
  <c r="J2359" i="1"/>
  <c r="J2358" i="1"/>
  <c r="J2357" i="1"/>
  <c r="J2356" i="1"/>
  <c r="J2355" i="1"/>
  <c r="J2354" i="1"/>
  <c r="C2354" i="1"/>
  <c r="D2354" i="1" s="1"/>
  <c r="J2353" i="1"/>
  <c r="D2353" i="1"/>
  <c r="J2352" i="1"/>
  <c r="C2352" i="1"/>
  <c r="D2352" i="1" s="1"/>
  <c r="J2351" i="1"/>
  <c r="D2351" i="1"/>
  <c r="J2350" i="1"/>
  <c r="J2349" i="1"/>
  <c r="J2348" i="1"/>
  <c r="J2347" i="1"/>
  <c r="J2346" i="1"/>
  <c r="J2345" i="1"/>
  <c r="C2345" i="1"/>
  <c r="C2346" i="1" s="1"/>
  <c r="J2344" i="1"/>
  <c r="D2344" i="1"/>
  <c r="J2343" i="1"/>
  <c r="C2343" i="1"/>
  <c r="D2343" i="1" s="1"/>
  <c r="J2342" i="1"/>
  <c r="D2342" i="1"/>
  <c r="J2341" i="1"/>
  <c r="J2340" i="1"/>
  <c r="J2339" i="1"/>
  <c r="J2338" i="1"/>
  <c r="J2337" i="1"/>
  <c r="J2336" i="1"/>
  <c r="C2336" i="1"/>
  <c r="C2337" i="1" s="1"/>
  <c r="J2335" i="1"/>
  <c r="D2335" i="1"/>
  <c r="J2334" i="1"/>
  <c r="C2334" i="1"/>
  <c r="D2334" i="1" s="1"/>
  <c r="J2333" i="1"/>
  <c r="D2333" i="1"/>
  <c r="J2332" i="1"/>
  <c r="J2331" i="1"/>
  <c r="J2330" i="1"/>
  <c r="J2329" i="1"/>
  <c r="J2328" i="1"/>
  <c r="C2328" i="1"/>
  <c r="D2328" i="1" s="1"/>
  <c r="J2327" i="1"/>
  <c r="D2327" i="1"/>
  <c r="J2326" i="1"/>
  <c r="C2326" i="1"/>
  <c r="D2326" i="1" s="1"/>
  <c r="J2325" i="1"/>
  <c r="D2325" i="1"/>
  <c r="J2324" i="1"/>
  <c r="J2323" i="1"/>
  <c r="J2322" i="1"/>
  <c r="J2321" i="1"/>
  <c r="J2320" i="1"/>
  <c r="J2319" i="1"/>
  <c r="C2319" i="1"/>
  <c r="C2320" i="1" s="1"/>
  <c r="J2318" i="1"/>
  <c r="D2318" i="1"/>
  <c r="J2317" i="1"/>
  <c r="C2317" i="1"/>
  <c r="D2317" i="1" s="1"/>
  <c r="J2316" i="1"/>
  <c r="D2316" i="1"/>
  <c r="J2315" i="1"/>
  <c r="J2314" i="1"/>
  <c r="J2313" i="1"/>
  <c r="J2312" i="1"/>
  <c r="J2311" i="1"/>
  <c r="J2310" i="1"/>
  <c r="D2310" i="1"/>
  <c r="C2310" i="1"/>
  <c r="C2311" i="1" s="1"/>
  <c r="J2309" i="1"/>
  <c r="D2309" i="1"/>
  <c r="J2308" i="1"/>
  <c r="C2308" i="1"/>
  <c r="D2308" i="1" s="1"/>
  <c r="J2307" i="1"/>
  <c r="D2307" i="1"/>
  <c r="J2306" i="1"/>
  <c r="J2305" i="1"/>
  <c r="J2304" i="1"/>
  <c r="J2303" i="1"/>
  <c r="C2303" i="1"/>
  <c r="C2304" i="1" s="1"/>
  <c r="J2302" i="1"/>
  <c r="C2302" i="1"/>
  <c r="D2302" i="1" s="1"/>
  <c r="J2301" i="1"/>
  <c r="D2301" i="1"/>
  <c r="J2300" i="1"/>
  <c r="C2300" i="1"/>
  <c r="D2300" i="1" s="1"/>
  <c r="J2299" i="1"/>
  <c r="D2299" i="1"/>
  <c r="J2298" i="1"/>
  <c r="J2297" i="1"/>
  <c r="J2296" i="1"/>
  <c r="J2295" i="1"/>
  <c r="C2295" i="1"/>
  <c r="D2295" i="1" s="1"/>
  <c r="J2294" i="1"/>
  <c r="C2294" i="1"/>
  <c r="D2294" i="1" s="1"/>
  <c r="J2293" i="1"/>
  <c r="D2293" i="1"/>
  <c r="J2292" i="1"/>
  <c r="C2292" i="1"/>
  <c r="D2292" i="1" s="1"/>
  <c r="J2291" i="1"/>
  <c r="D2291" i="1"/>
  <c r="J2290" i="1"/>
  <c r="J2289" i="1"/>
  <c r="J2288" i="1"/>
  <c r="J2287" i="1"/>
  <c r="J2286" i="1"/>
  <c r="C2286" i="1"/>
  <c r="C2287" i="1" s="1"/>
  <c r="C2288" i="1" s="1"/>
  <c r="J2285" i="1"/>
  <c r="D2285" i="1"/>
  <c r="J74" i="1"/>
  <c r="J73" i="1"/>
  <c r="J72" i="1"/>
  <c r="C72" i="1"/>
  <c r="C73" i="1" s="1"/>
  <c r="O71" i="1"/>
  <c r="O72" i="1" s="1"/>
  <c r="O73" i="1" s="1"/>
  <c r="O74" i="1" s="1"/>
  <c r="N71" i="1"/>
  <c r="N72" i="1" s="1"/>
  <c r="N73" i="1" s="1"/>
  <c r="N74" i="1" s="1"/>
  <c r="M71" i="1"/>
  <c r="M72" i="1" s="1"/>
  <c r="M73" i="1" s="1"/>
  <c r="M74" i="1" s="1"/>
  <c r="J71" i="1"/>
  <c r="C71" i="1"/>
  <c r="D71" i="1" s="1"/>
  <c r="J70" i="1"/>
  <c r="D70" i="1"/>
  <c r="J69" i="1"/>
  <c r="J68" i="1"/>
  <c r="J67" i="1"/>
  <c r="O66" i="1"/>
  <c r="O67" i="1" s="1"/>
  <c r="O68" i="1" s="1"/>
  <c r="O69" i="1" s="1"/>
  <c r="N66" i="1"/>
  <c r="N67" i="1" s="1"/>
  <c r="N68" i="1" s="1"/>
  <c r="N69" i="1" s="1"/>
  <c r="M66" i="1"/>
  <c r="M67" i="1" s="1"/>
  <c r="M68" i="1" s="1"/>
  <c r="M69" i="1" s="1"/>
  <c r="J66" i="1"/>
  <c r="C66" i="1"/>
  <c r="D66" i="1" s="1"/>
  <c r="J65" i="1"/>
  <c r="D65" i="1"/>
  <c r="J64" i="1"/>
  <c r="J63" i="1"/>
  <c r="J62" i="1"/>
  <c r="O61" i="1"/>
  <c r="O62" i="1" s="1"/>
  <c r="O63" i="1" s="1"/>
  <c r="O64" i="1" s="1"/>
  <c r="N61" i="1"/>
  <c r="N62" i="1" s="1"/>
  <c r="N63" i="1" s="1"/>
  <c r="N64" i="1" s="1"/>
  <c r="M61" i="1"/>
  <c r="M62" i="1" s="1"/>
  <c r="M63" i="1" s="1"/>
  <c r="M64" i="1" s="1"/>
  <c r="J61" i="1"/>
  <c r="C61" i="1"/>
  <c r="C62" i="1" s="1"/>
  <c r="J60" i="1"/>
  <c r="D60" i="1"/>
  <c r="J59" i="1"/>
  <c r="J58" i="1"/>
  <c r="N57" i="1"/>
  <c r="N58" i="1" s="1"/>
  <c r="N59" i="1" s="1"/>
  <c r="J57" i="1"/>
  <c r="C57" i="1"/>
  <c r="D57" i="1" s="1"/>
  <c r="O56" i="1"/>
  <c r="O57" i="1" s="1"/>
  <c r="O58" i="1" s="1"/>
  <c r="O59" i="1" s="1"/>
  <c r="N56" i="1"/>
  <c r="M56" i="1"/>
  <c r="M57" i="1" s="1"/>
  <c r="M58" i="1" s="1"/>
  <c r="M59" i="1" s="1"/>
  <c r="J56" i="1"/>
  <c r="D56" i="1"/>
  <c r="C56" i="1"/>
  <c r="J55" i="1"/>
  <c r="D55" i="1"/>
  <c r="J54" i="1"/>
  <c r="J53" i="1"/>
  <c r="M52" i="1"/>
  <c r="M53" i="1" s="1"/>
  <c r="M54" i="1" s="1"/>
  <c r="J52" i="1"/>
  <c r="O51" i="1"/>
  <c r="O52" i="1" s="1"/>
  <c r="O53" i="1" s="1"/>
  <c r="O54" i="1" s="1"/>
  <c r="N51" i="1"/>
  <c r="N52" i="1" s="1"/>
  <c r="N53" i="1" s="1"/>
  <c r="N54" i="1" s="1"/>
  <c r="M51" i="1"/>
  <c r="J51" i="1"/>
  <c r="C51" i="1"/>
  <c r="D51" i="1" s="1"/>
  <c r="J50" i="1"/>
  <c r="D50" i="1"/>
  <c r="J49" i="1"/>
  <c r="J48" i="1"/>
  <c r="M47" i="1"/>
  <c r="M48" i="1" s="1"/>
  <c r="M49" i="1" s="1"/>
  <c r="J47" i="1"/>
  <c r="C47" i="1"/>
  <c r="C48" i="1" s="1"/>
  <c r="O46" i="1"/>
  <c r="O47" i="1" s="1"/>
  <c r="O48" i="1" s="1"/>
  <c r="O49" i="1" s="1"/>
  <c r="N46" i="1"/>
  <c r="N47" i="1" s="1"/>
  <c r="N48" i="1" s="1"/>
  <c r="N49" i="1" s="1"/>
  <c r="M46" i="1"/>
  <c r="J46" i="1"/>
  <c r="C46" i="1"/>
  <c r="D46" i="1" s="1"/>
  <c r="J45" i="1"/>
  <c r="D45" i="1"/>
  <c r="J44" i="1"/>
  <c r="J43" i="1"/>
  <c r="J42" i="1"/>
  <c r="O41" i="1"/>
  <c r="O42" i="1" s="1"/>
  <c r="O43" i="1" s="1"/>
  <c r="O44" i="1" s="1"/>
  <c r="N41" i="1"/>
  <c r="N42" i="1" s="1"/>
  <c r="N43" i="1" s="1"/>
  <c r="N44" i="1" s="1"/>
  <c r="M41" i="1"/>
  <c r="M42" i="1" s="1"/>
  <c r="M43" i="1" s="1"/>
  <c r="M44" i="1" s="1"/>
  <c r="J41" i="1"/>
  <c r="C41" i="1"/>
  <c r="C42" i="1" s="1"/>
  <c r="J40" i="1"/>
  <c r="D40" i="1"/>
  <c r="J39" i="1"/>
  <c r="J38" i="1"/>
  <c r="N37" i="1"/>
  <c r="N38" i="1" s="1"/>
  <c r="N39" i="1" s="1"/>
  <c r="J37" i="1"/>
  <c r="O36" i="1"/>
  <c r="O37" i="1" s="1"/>
  <c r="O38" i="1" s="1"/>
  <c r="O39" i="1" s="1"/>
  <c r="N36" i="1"/>
  <c r="M36" i="1"/>
  <c r="M37" i="1" s="1"/>
  <c r="M38" i="1" s="1"/>
  <c r="M39" i="1" s="1"/>
  <c r="J36" i="1"/>
  <c r="C36" i="1"/>
  <c r="C37" i="1" s="1"/>
  <c r="D37" i="1" s="1"/>
  <c r="J35" i="1"/>
  <c r="D35" i="1"/>
  <c r="J34" i="1"/>
  <c r="J33" i="1"/>
  <c r="M32" i="1"/>
  <c r="M33" i="1" s="1"/>
  <c r="M34" i="1" s="1"/>
  <c r="J32" i="1"/>
  <c r="O31" i="1"/>
  <c r="O32" i="1" s="1"/>
  <c r="O33" i="1" s="1"/>
  <c r="O34" i="1" s="1"/>
  <c r="N31" i="1"/>
  <c r="N32" i="1" s="1"/>
  <c r="N33" i="1" s="1"/>
  <c r="N34" i="1" s="1"/>
  <c r="M31" i="1"/>
  <c r="J31" i="1"/>
  <c r="C31" i="1"/>
  <c r="D31" i="1" s="1"/>
  <c r="J30" i="1"/>
  <c r="D30" i="1"/>
  <c r="J29" i="1"/>
  <c r="J28" i="1"/>
  <c r="N27" i="1"/>
  <c r="N28" i="1" s="1"/>
  <c r="N29" i="1" s="1"/>
  <c r="M27" i="1"/>
  <c r="M28" i="1" s="1"/>
  <c r="M29" i="1" s="1"/>
  <c r="J27" i="1"/>
  <c r="C27" i="1"/>
  <c r="C28" i="1" s="1"/>
  <c r="O26" i="1"/>
  <c r="O27" i="1" s="1"/>
  <c r="O28" i="1" s="1"/>
  <c r="O29" i="1" s="1"/>
  <c r="N26" i="1"/>
  <c r="M26" i="1"/>
  <c r="J26" i="1"/>
  <c r="C26" i="1"/>
  <c r="D26" i="1" s="1"/>
  <c r="J25" i="1"/>
  <c r="D25" i="1"/>
  <c r="J24" i="1"/>
  <c r="J23" i="1"/>
  <c r="O22" i="1"/>
  <c r="O23" i="1" s="1"/>
  <c r="O24" i="1" s="1"/>
  <c r="J22" i="1"/>
  <c r="O21" i="1"/>
  <c r="N21" i="1"/>
  <c r="N22" i="1" s="1"/>
  <c r="N23" i="1" s="1"/>
  <c r="N24" i="1" s="1"/>
  <c r="M21" i="1"/>
  <c r="M22" i="1" s="1"/>
  <c r="M23" i="1" s="1"/>
  <c r="M24" i="1" s="1"/>
  <c r="J21" i="1"/>
  <c r="D21" i="1"/>
  <c r="C21" i="1"/>
  <c r="C22" i="1" s="1"/>
  <c r="J20" i="1"/>
  <c r="D20" i="1"/>
  <c r="J19" i="1"/>
  <c r="J18" i="1"/>
  <c r="J17" i="1"/>
  <c r="C17" i="1"/>
  <c r="D17" i="1" s="1"/>
  <c r="O16" i="1"/>
  <c r="O17" i="1" s="1"/>
  <c r="O18" i="1" s="1"/>
  <c r="O19" i="1" s="1"/>
  <c r="N16" i="1"/>
  <c r="N17" i="1" s="1"/>
  <c r="N18" i="1" s="1"/>
  <c r="N19" i="1" s="1"/>
  <c r="M16" i="1"/>
  <c r="M17" i="1" s="1"/>
  <c r="M18" i="1" s="1"/>
  <c r="M19" i="1" s="1"/>
  <c r="J16" i="1"/>
  <c r="C16" i="1"/>
  <c r="D16" i="1" s="1"/>
  <c r="J15" i="1"/>
  <c r="D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D36" i="1" l="1"/>
  <c r="C2329" i="1"/>
  <c r="C2330" i="1" s="1"/>
  <c r="D2336" i="1"/>
  <c r="D47" i="1"/>
  <c r="C67" i="1"/>
  <c r="D61" i="1"/>
  <c r="D41" i="1"/>
  <c r="D27" i="1"/>
  <c r="D2286" i="1"/>
  <c r="D2363" i="1"/>
  <c r="C2296" i="1"/>
  <c r="C2355" i="1"/>
  <c r="C2356" i="1" s="1"/>
  <c r="D2356" i="1" s="1"/>
  <c r="C2374" i="1"/>
  <c r="C2331" i="1"/>
  <c r="D2330" i="1"/>
  <c r="D62" i="1"/>
  <c r="C63" i="1"/>
  <c r="C2321" i="1"/>
  <c r="D2321" i="1" s="1"/>
  <c r="D2320" i="1"/>
  <c r="C2322" i="1"/>
  <c r="C2347" i="1"/>
  <c r="D2347" i="1" s="1"/>
  <c r="D2346" i="1"/>
  <c r="C2348" i="1"/>
  <c r="C2338" i="1"/>
  <c r="D2337" i="1"/>
  <c r="D22" i="1"/>
  <c r="C23" i="1"/>
  <c r="D48" i="1"/>
  <c r="C49" i="1"/>
  <c r="D49" i="1" s="1"/>
  <c r="D2288" i="1"/>
  <c r="C2289" i="1"/>
  <c r="C2305" i="1"/>
  <c r="D2304" i="1"/>
  <c r="C2312" i="1"/>
  <c r="D2312" i="1" s="1"/>
  <c r="D2311" i="1"/>
  <c r="C2313" i="1"/>
  <c r="C43" i="1"/>
  <c r="D42" i="1"/>
  <c r="C29" i="1"/>
  <c r="D29" i="1" s="1"/>
  <c r="D28" i="1"/>
  <c r="C74" i="1"/>
  <c r="D74" i="1" s="1"/>
  <c r="D73" i="1"/>
  <c r="D2364" i="1"/>
  <c r="C2365" i="1"/>
  <c r="C2383" i="1"/>
  <c r="D2382" i="1"/>
  <c r="C18" i="1"/>
  <c r="C32" i="1"/>
  <c r="C38" i="1"/>
  <c r="C52" i="1"/>
  <c r="C58" i="1"/>
  <c r="D2287" i="1"/>
  <c r="D2319" i="1"/>
  <c r="D2345" i="1"/>
  <c r="D72" i="1"/>
  <c r="D2303" i="1"/>
  <c r="D2329" i="1"/>
  <c r="D2355" i="1"/>
  <c r="D2381" i="1"/>
  <c r="D2296" i="1" l="1"/>
  <c r="C2297" i="1"/>
  <c r="C68" i="1"/>
  <c r="D67" i="1"/>
  <c r="D2374" i="1"/>
  <c r="C2375" i="1"/>
  <c r="C2357" i="1"/>
  <c r="D2357" i="1" s="1"/>
  <c r="C2323" i="1"/>
  <c r="D2322" i="1"/>
  <c r="C39" i="1"/>
  <c r="D39" i="1" s="1"/>
  <c r="D38" i="1"/>
  <c r="D23" i="1"/>
  <c r="C24" i="1"/>
  <c r="D24" i="1" s="1"/>
  <c r="C53" i="1"/>
  <c r="D52" i="1"/>
  <c r="C2358" i="1"/>
  <c r="C33" i="1"/>
  <c r="D32" i="1"/>
  <c r="C2306" i="1"/>
  <c r="D2306" i="1" s="1"/>
  <c r="D2305" i="1"/>
  <c r="D2289" i="1"/>
  <c r="C2290" i="1"/>
  <c r="D2290" i="1" s="1"/>
  <c r="D63" i="1"/>
  <c r="C64" i="1"/>
  <c r="D64" i="1" s="1"/>
  <c r="D2338" i="1"/>
  <c r="C2340" i="1"/>
  <c r="C2339" i="1"/>
  <c r="D2339" i="1" s="1"/>
  <c r="C2349" i="1"/>
  <c r="D2348" i="1"/>
  <c r="C59" i="1"/>
  <c r="D59" i="1" s="1"/>
  <c r="D58" i="1"/>
  <c r="C19" i="1"/>
  <c r="D19" i="1" s="1"/>
  <c r="D18" i="1"/>
  <c r="C2384" i="1"/>
  <c r="D2383" i="1"/>
  <c r="D43" i="1"/>
  <c r="C44" i="1"/>
  <c r="D44" i="1" s="1"/>
  <c r="C2367" i="1"/>
  <c r="C2366" i="1"/>
  <c r="D2366" i="1" s="1"/>
  <c r="D2365" i="1"/>
  <c r="C2314" i="1"/>
  <c r="D2313" i="1"/>
  <c r="C2332" i="1"/>
  <c r="D2332" i="1" s="1"/>
  <c r="D2331" i="1"/>
  <c r="D68" i="1" l="1"/>
  <c r="C69" i="1"/>
  <c r="D69" i="1" s="1"/>
  <c r="C2298" i="1"/>
  <c r="D2298" i="1" s="1"/>
  <c r="D2297" i="1"/>
  <c r="C2376" i="1"/>
  <c r="D2376" i="1" s="1"/>
  <c r="D2375" i="1"/>
  <c r="C2341" i="1"/>
  <c r="D2341" i="1" s="1"/>
  <c r="D2340" i="1"/>
  <c r="D2314" i="1"/>
  <c r="C2315" i="1"/>
  <c r="D2315" i="1" s="1"/>
  <c r="C2350" i="1"/>
  <c r="D2350" i="1" s="1"/>
  <c r="D2349" i="1"/>
  <c r="D2367" i="1"/>
  <c r="C2368" i="1"/>
  <c r="D2368" i="1" s="1"/>
  <c r="C54" i="1"/>
  <c r="D54" i="1" s="1"/>
  <c r="D53" i="1"/>
  <c r="D2384" i="1"/>
  <c r="C2385" i="1"/>
  <c r="C34" i="1"/>
  <c r="D34" i="1" s="1"/>
  <c r="D33" i="1"/>
  <c r="D2358" i="1"/>
  <c r="C2359" i="1"/>
  <c r="D2359" i="1" s="1"/>
  <c r="C2324" i="1"/>
  <c r="D2324" i="1" s="1"/>
  <c r="D2323" i="1"/>
  <c r="C2386" i="1" l="1"/>
  <c r="D2386" i="1" s="1"/>
  <c r="D2385" i="1"/>
</calcChain>
</file>

<file path=xl/sharedStrings.xml><?xml version="1.0" encoding="utf-8"?>
<sst xmlns="http://schemas.openxmlformats.org/spreadsheetml/2006/main" count="16138" uniqueCount="442">
  <si>
    <t>N. COMP</t>
  </si>
  <si>
    <t>TIPO COMP</t>
  </si>
  <si>
    <t>FECHA</t>
  </si>
  <si>
    <t xml:space="preserve">MES </t>
  </si>
  <si>
    <t xml:space="preserve">CODIGO </t>
  </si>
  <si>
    <t>CTA DESCRIPCION</t>
  </si>
  <si>
    <t xml:space="preserve">GLOSA </t>
  </si>
  <si>
    <t xml:space="preserve">DEBE </t>
  </si>
  <si>
    <t xml:space="preserve">HABER </t>
  </si>
  <si>
    <t xml:space="preserve">CONTROL </t>
  </si>
  <si>
    <t>COMPENSACION</t>
  </si>
  <si>
    <t xml:space="preserve">TIPO DOC </t>
  </si>
  <si>
    <t xml:space="preserve">N. DOC </t>
  </si>
  <si>
    <t xml:space="preserve">RUT </t>
  </si>
  <si>
    <t>NOMBRE</t>
  </si>
  <si>
    <t>TRASPASO</t>
  </si>
  <si>
    <t>1 - Act</t>
  </si>
  <si>
    <t>CAJA</t>
  </si>
  <si>
    <t xml:space="preserve">ASIENTO DE APERTURA </t>
  </si>
  <si>
    <t>PPM</t>
  </si>
  <si>
    <t>REMANENTE CREDITO FISCAL</t>
  </si>
  <si>
    <t>2 - Pas</t>
  </si>
  <si>
    <t xml:space="preserve">IMPUESTO POR PAGAR </t>
  </si>
  <si>
    <t xml:space="preserve">LEYES SOCIALES POR PAGAR </t>
  </si>
  <si>
    <t xml:space="preserve">RESULTADO ACUMULADO </t>
  </si>
  <si>
    <t xml:space="preserve">COMPENSACION Y PAGOS </t>
  </si>
  <si>
    <t>PERDIDA ACUMULADA AÑOS ATERIORES</t>
  </si>
  <si>
    <t xml:space="preserve">CAPITAL INICIAL </t>
  </si>
  <si>
    <t>CAPITAL</t>
  </si>
  <si>
    <t xml:space="preserve">7 - Gto </t>
  </si>
  <si>
    <t xml:space="preserve">HONORARIOS </t>
  </si>
  <si>
    <t>HONORARIOS PROFESIONALES</t>
  </si>
  <si>
    <t>15635361-2</t>
  </si>
  <si>
    <t xml:space="preserve">Jorge Godoy </t>
  </si>
  <si>
    <t xml:space="preserve">RETENCION IMPUESTO 2 CAT. </t>
  </si>
  <si>
    <t xml:space="preserve">HONORARIOS POR PAGAR </t>
  </si>
  <si>
    <t>EGRESO</t>
  </si>
  <si>
    <t>PAGO DE HONORARIOS</t>
  </si>
  <si>
    <t>6 - Cto</t>
  </si>
  <si>
    <t xml:space="preserve">COSTO DE VENTAS </t>
  </si>
  <si>
    <t xml:space="preserve">CENTRALIZACION DE COMPRAS </t>
  </si>
  <si>
    <t>76309077-9</t>
  </si>
  <si>
    <t>IMPORTADORA EXPORTADORA Y COMERCIALIZADORA ZHIHUI ZHANG EMPRESA INDIVIDUAL DE RESPONSABILIDAD LIMIT</t>
  </si>
  <si>
    <t>IVA CREDITO FISCAL</t>
  </si>
  <si>
    <t>PROVEEDORES</t>
  </si>
  <si>
    <t>76057657-3</t>
  </si>
  <si>
    <t>TEXTIL SUMEY LTDA</t>
  </si>
  <si>
    <t>76490300-5</t>
  </si>
  <si>
    <t>MATERIAS PRIMAS CLAUDIA ESCOBAR S.A.</t>
  </si>
  <si>
    <t>78950040-1</t>
  </si>
  <si>
    <t>Comercial Mundo Transfer Ltda</t>
  </si>
  <si>
    <t>76435650-0</t>
  </si>
  <si>
    <t>Texora S.A</t>
  </si>
  <si>
    <t>88579800-4</t>
  </si>
  <si>
    <t>MICROGEO S.A.</t>
  </si>
  <si>
    <t>76373470-6</t>
  </si>
  <si>
    <t>IMPORTADORA Y COMERCIALIZADORA FULL PROMOTION LTDA</t>
  </si>
  <si>
    <t>78921690-8</t>
  </si>
  <si>
    <t>WOM S.A.</t>
  </si>
  <si>
    <t>77457983-4</t>
  </si>
  <si>
    <t>IMPORTADORA Y COMERCIALIZADORA GORILA LIMITADA</t>
  </si>
  <si>
    <t>76769365-6</t>
  </si>
  <si>
    <t>COMERCIALIZADORA COTTONEXT LIMITADA</t>
  </si>
  <si>
    <t>80830500-3</t>
  </si>
  <si>
    <t>COMERCIAL SATEX LTDA</t>
  </si>
  <si>
    <t>76750788-7</t>
  </si>
  <si>
    <t>INVERSIONES SIRACUSA SPA</t>
  </si>
  <si>
    <t>76573899-7</t>
  </si>
  <si>
    <t>NOATEX SPA</t>
  </si>
  <si>
    <t>76007539-6</t>
  </si>
  <si>
    <t>COMERCIAL TEXTIL LAMAS SPA</t>
  </si>
  <si>
    <t>77183064-1</t>
  </si>
  <si>
    <t>SIMPLE TAX SPA</t>
  </si>
  <si>
    <t>77504159-5</t>
  </si>
  <si>
    <t>CASA YSS SPA</t>
  </si>
  <si>
    <t>76171675-1</t>
  </si>
  <si>
    <t>COMERCIALIZADORA KASPI LTDA.</t>
  </si>
  <si>
    <t>79673000-5</t>
  </si>
  <si>
    <t>TEXTIL HAPI LIMITADA</t>
  </si>
  <si>
    <t>76000324-7</t>
  </si>
  <si>
    <t>CONFECCIONES GUTIERREZ Y ARAOS LIMITADA</t>
  </si>
  <si>
    <t>76991545-1</t>
  </si>
  <si>
    <t>SOCIEDAD TEXORA WORKWEAR STORE CHILE SPA</t>
  </si>
  <si>
    <t>77468936-2</t>
  </si>
  <si>
    <t>IMPORTADORA Y EXPORTADORA FUMI ZZ LIMITADA</t>
  </si>
  <si>
    <t>76090530-5</t>
  </si>
  <si>
    <t>Sociedad Importadora Maritex Spa</t>
  </si>
  <si>
    <t>77286650-K</t>
  </si>
  <si>
    <t>CONFECCIONES ESMONT LIMITADA</t>
  </si>
  <si>
    <t>89622400-K</t>
  </si>
  <si>
    <t>PULLMAN CARGO S.A</t>
  </si>
  <si>
    <t>77525206-5</t>
  </si>
  <si>
    <t>TODO EMPAQUE SPA</t>
  </si>
  <si>
    <t>76675713-8</t>
  </si>
  <si>
    <t>MAXTAR SPA</t>
  </si>
  <si>
    <t>60910000-1</t>
  </si>
  <si>
    <t>Universidad de Chile</t>
  </si>
  <si>
    <t>76242907-1</t>
  </si>
  <si>
    <t>Torino SPA</t>
  </si>
  <si>
    <t>11487334-9</t>
  </si>
  <si>
    <t>CHRISTIAN ANDRES TRIGO ALBORNOZ</t>
  </si>
  <si>
    <t>76016092-K</t>
  </si>
  <si>
    <t>COMERCIAL AHN Y PAEK LTDA</t>
  </si>
  <si>
    <t>77266266-1</t>
  </si>
  <si>
    <t>COMERCIALIZADORA, IMPORTADORA Y EXPORTADORA JV LIFETIME SPA</t>
  </si>
  <si>
    <t>76529454-1</t>
  </si>
  <si>
    <t>IMPORTADORA ANDESLAND LIMITADA</t>
  </si>
  <si>
    <t>76030477-8</t>
  </si>
  <si>
    <t>FOTOSTYLE REGALOS ESPECIALES LIMITADA</t>
  </si>
  <si>
    <t>78557710-8</t>
  </si>
  <si>
    <t>COMERCIALIZADORA Y DISTRIBUIDORA TEXTIL ANONIMA LIMITADA</t>
  </si>
  <si>
    <t>76508680-9</t>
  </si>
  <si>
    <t>PROMO IMPORT CHILE LIMITADA</t>
  </si>
  <si>
    <t>77398220-1</t>
  </si>
  <si>
    <t>MercadoLibre Chile LTDA</t>
  </si>
  <si>
    <t>77931120-1</t>
  </si>
  <si>
    <t>Homs</t>
  </si>
  <si>
    <t>81201000-K</t>
  </si>
  <si>
    <t>CENCOSUD RETAIL S.A.</t>
  </si>
  <si>
    <t>PROMO IMPORT CHILE SPA</t>
  </si>
  <si>
    <t>76420341-0</t>
  </si>
  <si>
    <t>INVERSIONES BTP SPA</t>
  </si>
  <si>
    <t>76664296-9</t>
  </si>
  <si>
    <t>COMERCIAL SCRUCIAL WORLD  CO LIMITADA</t>
  </si>
  <si>
    <t>PAGO PROVEEDORES</t>
  </si>
  <si>
    <t>FACTURA POR COBRAR</t>
  </si>
  <si>
    <t>CENTRALIZACION DE VENTAS</t>
  </si>
  <si>
    <t>76885278-2</t>
  </si>
  <si>
    <t>IDIX CHILE SPA</t>
  </si>
  <si>
    <t>IVA DEBITO FISCAL</t>
  </si>
  <si>
    <t>5 - Ing</t>
  </si>
  <si>
    <t>VENTAS</t>
  </si>
  <si>
    <t>56072320-2</t>
  </si>
  <si>
    <t>COMUNIDAD EDIFICIO GRAN AVENIDA 6001</t>
  </si>
  <si>
    <t>77278945-9</t>
  </si>
  <si>
    <t>GASTRONOMICA TRES CABEZAS SPA</t>
  </si>
  <si>
    <t>76151439-3</t>
  </si>
  <si>
    <t>META-GROUP SUMINISTROS DE PERSONAL Y MARKETING SPA</t>
  </si>
  <si>
    <t>77015551-7</t>
  </si>
  <si>
    <t>PROTEPP SPA</t>
  </si>
  <si>
    <t>76839761-9</t>
  </si>
  <si>
    <t>TRAIL SPA</t>
  </si>
  <si>
    <t>76237647-4</t>
  </si>
  <si>
    <t>BARRY CALLEBAUT CHILE SPA</t>
  </si>
  <si>
    <t>76902907-9</t>
  </si>
  <si>
    <t>TRANSPORTES LUCIANO ESPINOZA E.I.R.L.</t>
  </si>
  <si>
    <t>77268345-6</t>
  </si>
  <si>
    <t>ROLANDO BURGOS E.I.R.L.</t>
  </si>
  <si>
    <t>7685278-2</t>
  </si>
  <si>
    <t>SERGIO MIGUEL ARAYA JORGE</t>
  </si>
  <si>
    <t>94636000-7</t>
  </si>
  <si>
    <t>GALILEA S A DE INGENIERIA Y CONSTRUCCION</t>
  </si>
  <si>
    <t>76987250-7</t>
  </si>
  <si>
    <t>ISLA GOURMET SPA</t>
  </si>
  <si>
    <t>96609940-2</t>
  </si>
  <si>
    <t>IMPORTACIONES Y SERVICIOS ADVANCED COMPUTING TECHNOLOGIES S.A.</t>
  </si>
  <si>
    <t>76475719-K</t>
  </si>
  <si>
    <t>GVA TRADING SPA</t>
  </si>
  <si>
    <t>76933985-K</t>
  </si>
  <si>
    <t>BODEGAS TAGUA TAGUA SPA</t>
  </si>
  <si>
    <t>76449215-3</t>
  </si>
  <si>
    <t>AUTOMATIZATE SPA</t>
  </si>
  <si>
    <t>77451264-0</t>
  </si>
  <si>
    <t>AXEI MARKETING DIGITAL CHILE SPA</t>
  </si>
  <si>
    <t>77221577-0</t>
  </si>
  <si>
    <t>SOCIEDAD E INVERSIONES SPIRALWAY SPA</t>
  </si>
  <si>
    <t>76869976-3</t>
  </si>
  <si>
    <t>MUEBLES MARCO ANTONIO REYES VALDES E.I.R.L.</t>
  </si>
  <si>
    <t>61103018-5</t>
  </si>
  <si>
    <t>SERVICIO AEROFOTOGRAMETRICO DEL GENERAL JUAN SOLER MANFREDINI</t>
  </si>
  <si>
    <t>76228166-K</t>
  </si>
  <si>
    <t>JIMENEZ Y GALVEZ, TRANSPORTES Y SERVICIOS LIMITADA</t>
  </si>
  <si>
    <t>77262596-0</t>
  </si>
  <si>
    <t>JF COLLECTION SPA</t>
  </si>
  <si>
    <t>76597130-6</t>
  </si>
  <si>
    <t>MIXX MARKETING Y PUBLICIDAD LIMITADA</t>
  </si>
  <si>
    <t>70417500-0</t>
  </si>
  <si>
    <t>CORP DE CAPACITACION Y EMPLEO DE SOC DE FOMENTO FABRIL</t>
  </si>
  <si>
    <t>76034730-2</t>
  </si>
  <si>
    <t>PRODUCCIONES PUNTO CREATIVO LIMITADA</t>
  </si>
  <si>
    <t>88497100-4</t>
  </si>
  <si>
    <t>CLINICA SAN LORENZO LIMITADA</t>
  </si>
  <si>
    <t>19541527-7</t>
  </si>
  <si>
    <t>ROLF KONRAD MOLLER-HOLTKAMP JAEDERLUND</t>
  </si>
  <si>
    <t>76136583-5</t>
  </si>
  <si>
    <t>MERCADO KENNEDY SPA</t>
  </si>
  <si>
    <t>65093935-2</t>
  </si>
  <si>
    <t>CORPORACION EDUCACIONAL EL REDENTOR</t>
  </si>
  <si>
    <t>77112664-2</t>
  </si>
  <si>
    <t>EVH CONSULTORES SPA</t>
  </si>
  <si>
    <t>77089822-6</t>
  </si>
  <si>
    <t>SANFRESH SPA</t>
  </si>
  <si>
    <t>96964780-K</t>
  </si>
  <si>
    <t>NORTH MEDICAL SERVICE SPA</t>
  </si>
  <si>
    <t>76177621-5</t>
  </si>
  <si>
    <t>CUMPLO CHILE S.A</t>
  </si>
  <si>
    <t>76171658-1</t>
  </si>
  <si>
    <t>DOREL JUVENILE CHILE S.A.</t>
  </si>
  <si>
    <t>15445511-6</t>
  </si>
  <si>
    <t>OSCAR EDUARDO ACEVEDO ARMIJO</t>
  </si>
  <si>
    <t>76580066-8</t>
  </si>
  <si>
    <t>PISCINAS JOSE ANTONIO CABELLO NAVARRO E.I.R.L.</t>
  </si>
  <si>
    <t>69070301-7</t>
  </si>
  <si>
    <t>CORP DE DESARROLLO SOCIAL DE PROVIDENCIA</t>
  </si>
  <si>
    <t>65189267-8</t>
  </si>
  <si>
    <t>CONDOMINIO PLAZA BUIN TRES</t>
  </si>
  <si>
    <t>77124500-5</t>
  </si>
  <si>
    <t>SOC MANUFACTURERA DE PLASTICOS LIMITADA</t>
  </si>
  <si>
    <t>65642730-2</t>
  </si>
  <si>
    <t>FUNDACION MUSEO DE LA MODA</t>
  </si>
  <si>
    <t>76688651-5</t>
  </si>
  <si>
    <t>SILVEIRA REYES SPA</t>
  </si>
  <si>
    <t>77544555-6</t>
  </si>
  <si>
    <t>LIBRERIA GENIAL SPA</t>
  </si>
  <si>
    <t>77308468-8</t>
  </si>
  <si>
    <t>IDS SPA</t>
  </si>
  <si>
    <t>12017893-8</t>
  </si>
  <si>
    <t>ALDO BORIS UMANA ESTAY</t>
  </si>
  <si>
    <t>77040126-7</t>
  </si>
  <si>
    <t>FAST WORLD SPA</t>
  </si>
  <si>
    <t>76100106-K</t>
  </si>
  <si>
    <t>CENTRO MEDICO Y ODONTOLOGICO ECO SALUD LIMITADA</t>
  </si>
  <si>
    <t>77523281-1</t>
  </si>
  <si>
    <t>BIN SERVICES SPA</t>
  </si>
  <si>
    <t>77089358-5</t>
  </si>
  <si>
    <t>GLOBAL PLAST SPA</t>
  </si>
  <si>
    <t>76497977-K</t>
  </si>
  <si>
    <t>MINING AND INDUSTRIAL SERVICES SPA</t>
  </si>
  <si>
    <t>77125557-4</t>
  </si>
  <si>
    <t>SALUD DIGITAL SB S.A.</t>
  </si>
  <si>
    <t>99524450-0</t>
  </si>
  <si>
    <t>HORTIFRUT CHILE S A</t>
  </si>
  <si>
    <t>71644300-0</t>
  </si>
  <si>
    <t>UNIVERSIDAD DEL DESARROLLO</t>
  </si>
  <si>
    <t>76307580-K</t>
  </si>
  <si>
    <t>MORRIS Y OPAZO SPA</t>
  </si>
  <si>
    <t>76367692-7</t>
  </si>
  <si>
    <t>MARKETING Y SERVICIOS PUBLICITARIOS 4 IMAGEN LIMITADA</t>
  </si>
  <si>
    <t>77354084-5</t>
  </si>
  <si>
    <t>EQUIPOS MÃ‰DICOS CHILE SPA</t>
  </si>
  <si>
    <t>76501565-0</t>
  </si>
  <si>
    <t>VIVEROS CHINIGUE S.A</t>
  </si>
  <si>
    <t>77156048-2</t>
  </si>
  <si>
    <t>DCJL INVERSIONES SPA</t>
  </si>
  <si>
    <t>65114330-6</t>
  </si>
  <si>
    <t>COLEGIO SAGRADA FAMILIA DE PUERTO AISEN</t>
  </si>
  <si>
    <t>65118305-7</t>
  </si>
  <si>
    <t>CENTRO DE PADRES DEL COLEGIO INTERNACIONAL NIDO DE AGUILAS</t>
  </si>
  <si>
    <t>70878100-2</t>
  </si>
  <si>
    <t>CORP MUNICIPAL DE CONCHALI DE EDUCACION SALUD Y ATENCION DE MENORES</t>
  </si>
  <si>
    <t>65135073-5</t>
  </si>
  <si>
    <t>CORPORACION EDUCACIONAL SAN JOSE</t>
  </si>
  <si>
    <t>76543143-3</t>
  </si>
  <si>
    <t>MOBIMO CHILE SPA</t>
  </si>
  <si>
    <t>4875153-9</t>
  </si>
  <si>
    <t>RAFAEL EDUARDO TRONCOSO ROZAS</t>
  </si>
  <si>
    <t>76205592-9</t>
  </si>
  <si>
    <t>IMPORTADORA DCIC SPA</t>
  </si>
  <si>
    <t>65084379-7</t>
  </si>
  <si>
    <t>CORPORACION ARETE</t>
  </si>
  <si>
    <t>77460238-0</t>
  </si>
  <si>
    <t>INVERSIONES KEFFI SPA</t>
  </si>
  <si>
    <t>65098936-8</t>
  </si>
  <si>
    <t>FUNDACION BEST BUDDIES CHILE</t>
  </si>
  <si>
    <t>86539100-5</t>
  </si>
  <si>
    <t>COMERCIAL FUNDACION LIMITADA</t>
  </si>
  <si>
    <t>76815697-2</t>
  </si>
  <si>
    <t>DISTRIBUIDORA MIGUEL AMPUERO SPA</t>
  </si>
  <si>
    <t>77410167-5</t>
  </si>
  <si>
    <t>DAKONON SPA</t>
  </si>
  <si>
    <t>76940299-3</t>
  </si>
  <si>
    <t>PRODUCTORA Y DISTRIBUIDORA ALQUITARA SPA</t>
  </si>
  <si>
    <t>77063572-1</t>
  </si>
  <si>
    <t>JENYLOVE SPA</t>
  </si>
  <si>
    <t>77122716-3</t>
  </si>
  <si>
    <t>76001910-0</t>
  </si>
  <si>
    <t>COMERCIALIZADORA DE PRODUCTOS TECNOLOGICOS LIMITADA</t>
  </si>
  <si>
    <t>96515290-3</t>
  </si>
  <si>
    <t>CHRISTENSEN CHILE S A</t>
  </si>
  <si>
    <t>77387334-8</t>
  </si>
  <si>
    <t>ESCUELAS DEPORTIVAS MONKEY ROCKERS SPA</t>
  </si>
  <si>
    <t>92475000-6</t>
  </si>
  <si>
    <t>KAUFMANN SA VEHICULOS MOTORIZADOS</t>
  </si>
  <si>
    <t>65134861-7</t>
  </si>
  <si>
    <t>CORPORACION EDUCACIONAL SAN ANDRES DE PENAFLOR</t>
  </si>
  <si>
    <t>INGRESO</t>
  </si>
  <si>
    <t>PAGO DE CLIENTE</t>
  </si>
  <si>
    <t xml:space="preserve">TRASPASO </t>
  </si>
  <si>
    <t>DEVENGA IMPUESTOS MENSUALES F/29</t>
  </si>
  <si>
    <t>PAGO IMPUESTO</t>
  </si>
  <si>
    <t>PRESTAMO 3%</t>
  </si>
  <si>
    <t xml:space="preserve">ACTUALIZACION PPM </t>
  </si>
  <si>
    <t>8 - Rea</t>
  </si>
  <si>
    <t>REAJUSTE PPM</t>
  </si>
  <si>
    <t xml:space="preserve">REMUNERACIONES </t>
  </si>
  <si>
    <t>CENTRALIZACION DE REMUNERACIONES</t>
  </si>
  <si>
    <t>SUELDOS 202201</t>
  </si>
  <si>
    <t>GRATIFICACION</t>
  </si>
  <si>
    <t>COLACION</t>
  </si>
  <si>
    <t>MOVILIZACION</t>
  </si>
  <si>
    <t>AFP</t>
  </si>
  <si>
    <t>AFP  PROVIDA</t>
  </si>
  <si>
    <t>AFP  CAPITAL</t>
  </si>
  <si>
    <t>SALUD</t>
  </si>
  <si>
    <t>SALUD  FONASA</t>
  </si>
  <si>
    <t>SALUD  VIDA TRES</t>
  </si>
  <si>
    <t>AFC TRABAJADOR</t>
  </si>
  <si>
    <t>PRESTAMO SOLIDARIO</t>
  </si>
  <si>
    <t xml:space="preserve">REMUNERACIONES POR PAGAR </t>
  </si>
  <si>
    <t>REMUNERACIONES POR PAGAR 202201</t>
  </si>
  <si>
    <t xml:space="preserve">LEYES SOCIALES  </t>
  </si>
  <si>
    <t>AFC EMPLEADOR</t>
  </si>
  <si>
    <t>SEGURO ACCIDENTE</t>
  </si>
  <si>
    <t xml:space="preserve">MUTUAL </t>
  </si>
  <si>
    <t>SEGURO INVALIDEZ</t>
  </si>
  <si>
    <t>SUELDOS 202202</t>
  </si>
  <si>
    <t>REMUNERACIONES POR PAGAR 202202</t>
  </si>
  <si>
    <t>SUELDOS 202203</t>
  </si>
  <si>
    <t>REMUNERACIONES POR PAGAR 202203</t>
  </si>
  <si>
    <t>SUELDOS 202204</t>
  </si>
  <si>
    <t>REMUNERACIONES POR PAGAR 202204</t>
  </si>
  <si>
    <t>SUELDOS 202205</t>
  </si>
  <si>
    <t>REMUNERACIONES POR PAGAR 202205</t>
  </si>
  <si>
    <t>SUELDOS 202206</t>
  </si>
  <si>
    <t>REMUNERACIONES POR PAGAR 202206</t>
  </si>
  <si>
    <t>SUELDOS 202207</t>
  </si>
  <si>
    <t>REMUNERACIONES POR PAGAR 202207</t>
  </si>
  <si>
    <t>SUELDOS 202208</t>
  </si>
  <si>
    <t>REMUNERACIONES POR PAGAR 202208</t>
  </si>
  <si>
    <t>SUELDOS 202209</t>
  </si>
  <si>
    <t>REMUNERACIONES POR PAGAR 202209</t>
  </si>
  <si>
    <t>SUELDOS 202210</t>
  </si>
  <si>
    <t>REMUNERACIONES POR PAGAR 202210</t>
  </si>
  <si>
    <t>SUELDOS 202211</t>
  </si>
  <si>
    <t>REMUNERACIONES POR PAGAR 202211</t>
  </si>
  <si>
    <t>SUELDOS 202212</t>
  </si>
  <si>
    <t>REMUNERACIONES POR PAGAR 202212</t>
  </si>
  <si>
    <t>PAGO DE REMUNERACIONES</t>
  </si>
  <si>
    <t>PAGO DE LEYES SOCIALES</t>
  </si>
  <si>
    <t>ok</t>
  </si>
  <si>
    <t>OK</t>
  </si>
  <si>
    <t>Dif. Salud</t>
  </si>
  <si>
    <t>Etiquetas de fila</t>
  </si>
  <si>
    <t>(en blanco)</t>
  </si>
  <si>
    <t>Total general</t>
  </si>
  <si>
    <t>Nro</t>
  </si>
  <si>
    <t>Tipo Doc</t>
  </si>
  <si>
    <t>Tipo Compra</t>
  </si>
  <si>
    <t>RUT Proveedor</t>
  </si>
  <si>
    <t>Razon Social</t>
  </si>
  <si>
    <t>Folio</t>
  </si>
  <si>
    <t>Fecha Docto</t>
  </si>
  <si>
    <t>Fecha Recepcion</t>
  </si>
  <si>
    <t>Fecha Acuse</t>
  </si>
  <si>
    <t>Monto Exento</t>
  </si>
  <si>
    <t>Monto Neto</t>
  </si>
  <si>
    <t>Monto IVA Recuperable</t>
  </si>
  <si>
    <t>Monto Iva No Recuperable</t>
  </si>
  <si>
    <t>Codigo IVA No Rec.</t>
  </si>
  <si>
    <t>Monto Total</t>
  </si>
  <si>
    <t>Monto Neto Activo Fijo</t>
  </si>
  <si>
    <t>IVA Activo Fijo</t>
  </si>
  <si>
    <t>IVA uso Comun</t>
  </si>
  <si>
    <t>Impto. Sin Derecho a Credito</t>
  </si>
  <si>
    <t>IVA No Retenido</t>
  </si>
  <si>
    <t>Tabacos Puros</t>
  </si>
  <si>
    <t>Tabacos Cigarrillos</t>
  </si>
  <si>
    <t>Tabacos Elaborados</t>
  </si>
  <si>
    <t>NCE o NDE sobre Fact. de Compra</t>
  </si>
  <si>
    <t>Codigo Otro Impuesto</t>
  </si>
  <si>
    <t>Valor Otro Impuesto</t>
  </si>
  <si>
    <t>Tasa Otro Impuesto</t>
  </si>
  <si>
    <t>Del Giro</t>
  </si>
  <si>
    <t>MercadoLibre Chile Ltda.</t>
  </si>
  <si>
    <t>76516950-K</t>
  </si>
  <si>
    <t>Mercado Pago Operadora S.A.</t>
  </si>
  <si>
    <t>77561701-2</t>
  </si>
  <si>
    <t>COMERCIALIZADORA FENICIA SPA</t>
  </si>
  <si>
    <t>96689310-9</t>
  </si>
  <si>
    <t>TRANSBANK S.A.</t>
  </si>
  <si>
    <t>90635000-9</t>
  </si>
  <si>
    <t>Telefonica Chile S.A</t>
  </si>
  <si>
    <t>76124890-1</t>
  </si>
  <si>
    <t>Telef√≥nica M√≥viles Chile S.A.</t>
  </si>
  <si>
    <t>Mes</t>
  </si>
  <si>
    <t>78936330-7</t>
  </si>
  <si>
    <t>Innovacion y Tecnologia Empresarial ITEM Ltda.</t>
  </si>
  <si>
    <t>96803690-4</t>
  </si>
  <si>
    <t>EMPRESAS DMG S.A.</t>
  </si>
  <si>
    <t>Tipo Venta</t>
  </si>
  <si>
    <t>Rut cliente</t>
  </si>
  <si>
    <t>Fecha Acuse Recibo</t>
  </si>
  <si>
    <t>Fecha Reclamo</t>
  </si>
  <si>
    <t>Monto IVA</t>
  </si>
  <si>
    <t>Monto total</t>
  </si>
  <si>
    <t>IVA Retenido Total</t>
  </si>
  <si>
    <t>IVA Retenido Parcial</t>
  </si>
  <si>
    <t>IVA no retenido</t>
  </si>
  <si>
    <t>IVA propio</t>
  </si>
  <si>
    <t>IVA Terceros</t>
  </si>
  <si>
    <t>RUT Emisor Liquid. Factura</t>
  </si>
  <si>
    <t>Neto Comision Liquid. Factura</t>
  </si>
  <si>
    <t>Exento Comision Liquid. Factura</t>
  </si>
  <si>
    <t>IVA Comision Liquid. Factura</t>
  </si>
  <si>
    <t>IVA fuera de plazo</t>
  </si>
  <si>
    <t>Tipo Docto. Referencia</t>
  </si>
  <si>
    <t>Folio Docto. Referencia</t>
  </si>
  <si>
    <t>Num. Ident. Receptor Extranjero</t>
  </si>
  <si>
    <t>Nacionalidad Receptor Extranjero</t>
  </si>
  <si>
    <t>Credito empresa constructora</t>
  </si>
  <si>
    <t>Impto. Zona Franca (Ley 18211)</t>
  </si>
  <si>
    <t>Garantia Dep. Envases</t>
  </si>
  <si>
    <t>Indicador Venta sin Costo</t>
  </si>
  <si>
    <t>Indicador Servicio Periodico</t>
  </si>
  <si>
    <t>Monto No facturable</t>
  </si>
  <si>
    <t>Total Monto Periodo</t>
  </si>
  <si>
    <t>Venta Pasajes Transporte Nacional</t>
  </si>
  <si>
    <t>Venta Pasajes Transporte Internacional</t>
  </si>
  <si>
    <t>Numero Interno</t>
  </si>
  <si>
    <t>Codigo Sucursal</t>
  </si>
  <si>
    <t>Codigo Otro Imp.</t>
  </si>
  <si>
    <t>Valor Otro Imp.</t>
  </si>
  <si>
    <t>Tasa Otro Imp.</t>
  </si>
  <si>
    <t>99535510-8</t>
  </si>
  <si>
    <t>HORTIFRUT COMERCIAL S A</t>
  </si>
  <si>
    <t>-</t>
  </si>
  <si>
    <t>65095941-8</t>
  </si>
  <si>
    <t>ASOCIACION RED DE INVESTIGADORES EN EDUCACION CHILENA RIECH</t>
  </si>
  <si>
    <t>13047305-9</t>
  </si>
  <si>
    <t>ALVARO SEBASTIAN PEREZ BUSTOS</t>
  </si>
  <si>
    <t>65158783-2</t>
  </si>
  <si>
    <t>CLUB GANBARU NO HITO</t>
  </si>
  <si>
    <t>75998240-1</t>
  </si>
  <si>
    <t>FUND DE CAPACITACION SOFOFA</t>
  </si>
  <si>
    <t>77764923-K</t>
  </si>
  <si>
    <t>SOMOS SUSTENTABLES SPA</t>
  </si>
  <si>
    <t>77916175-7</t>
  </si>
  <si>
    <t>EL CONTAINER SPA</t>
  </si>
  <si>
    <t>77277695-0</t>
  </si>
  <si>
    <t>NEOCAR SPA</t>
  </si>
  <si>
    <t xml:space="preserve">Suma de DEBE </t>
  </si>
  <si>
    <t xml:space="preserve">Suma de HABER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</si>
</sst>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14" fontId="0" fillId="2" borderId="0" xfId="0" applyNumberFormat="1" applyFill="1"/>
    <xf numFmtId="41" fontId="0" fillId="2" borderId="0" xfId="1" applyFont="1" applyFill="1"/>
    <xf numFmtId="14" fontId="0" fillId="0" borderId="0" xfId="0" applyNumberFormat="1"/>
    <xf numFmtId="41" fontId="0" fillId="0" borderId="0" xfId="1" applyFont="1" applyFill="1"/>
    <xf numFmtId="41" fontId="0" fillId="0" borderId="0" xfId="1" applyFont="1"/>
    <xf numFmtId="4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2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LEIVA" refreshedDate="45960.785956134256" createdVersion="8" refreshedVersion="8" minRefreshableVersion="3" recordCount="2717" xr:uid="{B96B25BE-EACD-544A-93B2-0DA0A7CE9AE9}">
  <cacheSource type="worksheet">
    <worksheetSource ref="A1:O1048576" sheet="Hoja1"/>
  </cacheSource>
  <cacheFields count="15">
    <cacheField name="N. COMP" numFmtId="0">
      <sharedItems containsNonDate="0" containsString="0" containsBlank="1"/>
    </cacheField>
    <cacheField name="TIPO COMP" numFmtId="0">
      <sharedItems containsBlank="1"/>
    </cacheField>
    <cacheField name="FECHA" numFmtId="14">
      <sharedItems containsNonDate="0" containsDate="1" containsString="0" containsBlank="1" minDate="2021-12-27T00:00:00" maxDate="2023-01-02T00:00:00"/>
    </cacheField>
    <cacheField name="MES " numFmtId="0">
      <sharedItems containsString="0" containsBlank="1" containsNumber="1" containsInteger="1" minValue="1" maxValue="12"/>
    </cacheField>
    <cacheField name="CODIGO " numFmtId="0">
      <sharedItems containsBlank="1" count="7">
        <s v="1 - Act"/>
        <s v="2 - Pas"/>
        <s v="7 - Gto "/>
        <s v="6 - Cto"/>
        <s v="5 - Ing"/>
        <s v="8 - Rea"/>
        <m/>
      </sharedItems>
    </cacheField>
    <cacheField name="CTA DESCRIPCION" numFmtId="0">
      <sharedItems containsBlank="1" count="28">
        <s v="CAJA"/>
        <s v="PPM"/>
        <s v="REMANENTE CREDITO FISCAL"/>
        <s v="IMPUESTO POR PAGAR "/>
        <s v="LEYES SOCIALES POR PAGAR "/>
        <s v="RESULTADO ACUMULADO "/>
        <s v="CAPITAL"/>
        <s v="HONORARIOS "/>
        <s v="RETENCION IMPUESTO 2 CAT. "/>
        <s v="HONORARIOS POR PAGAR "/>
        <s v="COSTO DE VENTAS "/>
        <s v="IVA CREDITO FISCAL"/>
        <s v="PROVEEDORES"/>
        <s v="FACTURA POR COBRAR"/>
        <s v="IVA DEBITO FISCAL"/>
        <s v="VENTAS"/>
        <s v="PRESTAMO 3%"/>
        <s v="REAJUSTE PPM"/>
        <s v="REMUNERACIONES "/>
        <s v="COLACION"/>
        <s v="MOVILIZACION"/>
        <s v="AFP"/>
        <s v="SALUD"/>
        <s v="REMUNERACIONES POR PAGAR "/>
        <s v="LEYES SOCIALES  "/>
        <s v="MUTUAL "/>
        <s v="SEGURO INVALIDEZ"/>
        <m/>
      </sharedItems>
    </cacheField>
    <cacheField name="GLOSA " numFmtId="0">
      <sharedItems containsBlank="1" count="17">
        <s v="ASIENTO DE APERTURA "/>
        <s v="COMPENSACION Y PAGOS "/>
        <s v="PERDIDA ACUMULADA AÑOS ATERIORES"/>
        <s v="CAPITAL INICIAL "/>
        <s v="HONORARIOS PROFESIONALES"/>
        <s v="PAGO DE HONORARIOS"/>
        <s v="CENTRALIZACION DE COMPRAS "/>
        <s v="PAGO PROVEEDORES"/>
        <s v="CENTRALIZACION DE VENTAS"/>
        <s v="PAGO DE CLIENTE"/>
        <s v="DEVENGA IMPUESTOS MENSUALES F/29"/>
        <s v="PAGO IMPUESTO"/>
        <s v="ACTUALIZACION PPM "/>
        <s v="CENTRALIZACION DE REMUNERACIONES"/>
        <s v="PAGO DE REMUNERACIONES"/>
        <s v="PAGO DE LEYES SOCIALES"/>
        <m/>
      </sharedItems>
    </cacheField>
    <cacheField name="DEBE " numFmtId="0">
      <sharedItems containsString="0" containsBlank="1" containsNumber="1" containsInteger="1" minValue="0" maxValue="23470857"/>
    </cacheField>
    <cacheField name="HABER " numFmtId="0">
      <sharedItems containsString="0" containsBlank="1" containsNumber="1" containsInteger="1" minValue="0" maxValue="25246657"/>
    </cacheField>
    <cacheField name="CONTROL " numFmtId="0">
      <sharedItems containsString="0" containsBlank="1" containsNumber="1" containsInteger="1" minValue="-25246657" maxValue="23470857"/>
    </cacheField>
    <cacheField name="COMPENSACION" numFmtId="0">
      <sharedItems containsBlank="1" containsMixedTypes="1" containsNumber="1" containsInteger="1" minValue="12543" maxValue="220665" count="4">
        <m/>
        <s v="ok"/>
        <n v="12543"/>
        <n v="220665"/>
      </sharedItems>
    </cacheField>
    <cacheField name="TIPO DOC " numFmtId="0">
      <sharedItems containsBlank="1" containsMixedTypes="1" containsNumber="1" containsInteger="1" minValue="33" maxValue="148659" count="7">
        <m/>
        <n v="33"/>
        <n v="61"/>
        <n v="34"/>
        <n v="126594"/>
        <n v="148659"/>
        <s v="Dif. Salud"/>
      </sharedItems>
    </cacheField>
    <cacheField name="N. DOC " numFmtId="0">
      <sharedItems containsString="0" containsBlank="1" containsNumber="1" containsInteger="1" minValue="18" maxValue="17958884"/>
    </cacheField>
    <cacheField name="RUT " numFmtId="0">
      <sharedItems containsBlank="1" count="120">
        <m/>
        <s v="15635361-2"/>
        <s v="76309077-9"/>
        <s v="76057657-3"/>
        <s v="76490300-5"/>
        <s v="78950040-1"/>
        <s v="76435650-0"/>
        <s v="88579800-4"/>
        <s v="76373470-6"/>
        <s v="78921690-8"/>
        <s v="77457983-4"/>
        <s v="76769365-6"/>
        <s v="80830500-3"/>
        <s v="76750788-7"/>
        <s v="76573899-7"/>
        <s v="76007539-6"/>
        <s v="77183064-1"/>
        <s v="77504159-5"/>
        <s v="76171675-1"/>
        <s v="79673000-5"/>
        <s v="76000324-7"/>
        <s v="76991545-1"/>
        <s v="77468936-2"/>
        <s v="76090530-5"/>
        <s v="77286650-K"/>
        <s v="89622400-K"/>
        <s v="77525206-5"/>
        <s v="76675713-8"/>
        <s v="60910000-1"/>
        <s v="76242907-1"/>
        <s v="11487334-9"/>
        <s v="76016092-K"/>
        <s v="77266266-1"/>
        <s v="76529454-1"/>
        <s v="76030477-8"/>
        <s v="78557710-8"/>
        <s v="76508680-9"/>
        <s v="77398220-1"/>
        <s v="77931120-1"/>
        <s v="81201000-K"/>
        <s v="76420341-0"/>
        <s v="76664296-9"/>
        <s v="76885278-2"/>
        <s v="56072320-2"/>
        <s v="77278945-9"/>
        <s v="76151439-3"/>
        <s v="77015551-7"/>
        <s v="76839761-9"/>
        <s v="76237647-4"/>
        <s v="76902907-9"/>
        <s v="77268345-6"/>
        <s v="7685278-2"/>
        <s v="94636000-7"/>
        <s v="76987250-7"/>
        <s v="96609940-2"/>
        <s v="76475719-K"/>
        <s v="76933985-K"/>
        <s v="76449215-3"/>
        <s v="77451264-0"/>
        <s v="77221577-0"/>
        <s v="76869976-3"/>
        <s v="61103018-5"/>
        <s v="76228166-K"/>
        <s v="77262596-0"/>
        <s v="76597130-6"/>
        <s v="70417500-0"/>
        <s v="76034730-2"/>
        <s v="88497100-4"/>
        <s v="19541527-7"/>
        <s v="76136583-5"/>
        <s v="65093935-2"/>
        <s v="77112664-2"/>
        <s v="77089822-6"/>
        <s v="96964780-K"/>
        <s v="76177621-5"/>
        <s v="76171658-1"/>
        <s v="15445511-6"/>
        <s v="76580066-8"/>
        <s v="69070301-7"/>
        <s v="65189267-8"/>
        <s v="77124500-5"/>
        <s v="65642730-2"/>
        <s v="76688651-5"/>
        <s v="77544555-6"/>
        <s v="77308468-8"/>
        <s v="12017893-8"/>
        <s v="77040126-7"/>
        <s v="76100106-K"/>
        <s v="77523281-1"/>
        <s v="77089358-5"/>
        <s v="76497977-K"/>
        <s v="77125557-4"/>
        <s v="99524450-0"/>
        <s v="71644300-0"/>
        <s v="76307580-K"/>
        <s v="76367692-7"/>
        <s v="77354084-5"/>
        <s v="76501565-0"/>
        <s v="77156048-2"/>
        <s v="65114330-6"/>
        <s v="65118305-7"/>
        <s v="70878100-2"/>
        <s v="65135073-5"/>
        <s v="76543143-3"/>
        <s v="4875153-9"/>
        <s v="76205592-9"/>
        <s v="65084379-7"/>
        <s v="77460238-0"/>
        <s v="65098936-8"/>
        <s v="86539100-5"/>
        <s v="76815697-2"/>
        <s v="77410167-5"/>
        <s v="76940299-3"/>
        <s v="77063572-1"/>
        <s v="77122716-3"/>
        <s v="76001910-0"/>
        <s v="96515290-3"/>
        <s v="77387334-8"/>
        <s v="92475000-6"/>
        <s v="65134861-7"/>
      </sharedItems>
    </cacheField>
    <cacheField name="NOMB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7">
  <r>
    <m/>
    <s v="TRASPASO"/>
    <d v="2023-01-01T00:00:00"/>
    <m/>
    <x v="0"/>
    <x v="0"/>
    <x v="0"/>
    <m/>
    <n v="25246657"/>
    <n v="-25246657"/>
    <x v="0"/>
    <x v="0"/>
    <m/>
    <x v="0"/>
    <m/>
  </r>
  <r>
    <m/>
    <s v="TRASPASO"/>
    <d v="2023-01-01T00:00:00"/>
    <m/>
    <x v="0"/>
    <x v="1"/>
    <x v="0"/>
    <n v="28879"/>
    <m/>
    <n v="28879"/>
    <x v="0"/>
    <x v="0"/>
    <m/>
    <x v="0"/>
    <m/>
  </r>
  <r>
    <m/>
    <s v="TRASPASO"/>
    <d v="2023-01-01T00:00:00"/>
    <m/>
    <x v="0"/>
    <x v="2"/>
    <x v="0"/>
    <n v="2452081"/>
    <m/>
    <n v="2452081"/>
    <x v="0"/>
    <x v="0"/>
    <m/>
    <x v="0"/>
    <m/>
  </r>
  <r>
    <m/>
    <s v="TRASPASO"/>
    <d v="2023-01-01T00:00:00"/>
    <m/>
    <x v="1"/>
    <x v="3"/>
    <x v="0"/>
    <m/>
    <n v="22988"/>
    <n v="-22988"/>
    <x v="0"/>
    <x v="0"/>
    <m/>
    <x v="0"/>
    <m/>
  </r>
  <r>
    <m/>
    <s v="TRASPASO"/>
    <d v="2023-01-01T00:00:00"/>
    <m/>
    <x v="1"/>
    <x v="4"/>
    <x v="0"/>
    <m/>
    <n v="298265"/>
    <n v="-298265"/>
    <x v="0"/>
    <x v="0"/>
    <m/>
    <x v="0"/>
    <m/>
  </r>
  <r>
    <m/>
    <s v="TRASPASO"/>
    <d v="2023-01-01T00:00:00"/>
    <m/>
    <x v="1"/>
    <x v="5"/>
    <x v="0"/>
    <n v="23086950"/>
    <m/>
    <n v="23086950"/>
    <x v="0"/>
    <x v="0"/>
    <m/>
    <x v="0"/>
    <m/>
  </r>
  <r>
    <m/>
    <s v="TRASPASO"/>
    <d v="2023-01-01T00:00:00"/>
    <m/>
    <x v="0"/>
    <x v="1"/>
    <x v="1"/>
    <m/>
    <n v="28879"/>
    <n v="-28879"/>
    <x v="0"/>
    <x v="0"/>
    <m/>
    <x v="0"/>
    <m/>
  </r>
  <r>
    <m/>
    <s v="TRASPASO"/>
    <d v="2023-01-01T00:00:00"/>
    <m/>
    <x v="1"/>
    <x v="3"/>
    <x v="1"/>
    <n v="22988"/>
    <m/>
    <n v="22988"/>
    <x v="0"/>
    <x v="0"/>
    <m/>
    <x v="0"/>
    <m/>
  </r>
  <r>
    <m/>
    <s v="TRASPASO"/>
    <d v="2023-01-01T00:00:00"/>
    <m/>
    <x v="0"/>
    <x v="0"/>
    <x v="1"/>
    <n v="5891"/>
    <m/>
    <n v="5891"/>
    <x v="0"/>
    <x v="0"/>
    <m/>
    <x v="0"/>
    <m/>
  </r>
  <r>
    <m/>
    <s v="TRASPASO"/>
    <d v="2023-01-01T00:00:00"/>
    <m/>
    <x v="0"/>
    <x v="0"/>
    <x v="2"/>
    <m/>
    <n v="23470857"/>
    <n v="-23470857"/>
    <x v="0"/>
    <x v="0"/>
    <m/>
    <x v="0"/>
    <m/>
  </r>
  <r>
    <m/>
    <s v="TRASPASO"/>
    <d v="2023-01-01T00:00:00"/>
    <m/>
    <x v="1"/>
    <x v="5"/>
    <x v="2"/>
    <n v="23470857"/>
    <m/>
    <n v="23470857"/>
    <x v="0"/>
    <x v="0"/>
    <m/>
    <x v="0"/>
    <m/>
  </r>
  <r>
    <m/>
    <s v="TRASPASO"/>
    <d v="2023-01-01T00:00:00"/>
    <m/>
    <x v="0"/>
    <x v="0"/>
    <x v="3"/>
    <n v="1000000"/>
    <m/>
    <n v="1000000"/>
    <x v="0"/>
    <x v="0"/>
    <m/>
    <x v="0"/>
    <m/>
  </r>
  <r>
    <m/>
    <s v="TRASPASO"/>
    <d v="2023-01-01T00:00:00"/>
    <m/>
    <x v="1"/>
    <x v="6"/>
    <x v="3"/>
    <m/>
    <n v="1000000"/>
    <n v="-1000000"/>
    <x v="0"/>
    <x v="0"/>
    <m/>
    <x v="0"/>
    <m/>
  </r>
  <r>
    <m/>
    <s v="TRASPASO"/>
    <d v="2022-01-31T00:00:00"/>
    <n v="1"/>
    <x v="2"/>
    <x v="7"/>
    <x v="4"/>
    <n v="50000"/>
    <n v="0"/>
    <n v="50000"/>
    <x v="0"/>
    <x v="0"/>
    <n v="90"/>
    <x v="1"/>
    <s v="Jorge Godoy "/>
  </r>
  <r>
    <m/>
    <s v="TRASPASO"/>
    <d v="2022-01-31T00:00:00"/>
    <n v="1"/>
    <x v="1"/>
    <x v="8"/>
    <x v="4"/>
    <n v="0"/>
    <n v="6125"/>
    <n v="-6125"/>
    <x v="0"/>
    <x v="0"/>
    <n v="90"/>
    <x v="1"/>
    <s v="Jorge Godoy "/>
  </r>
  <r>
    <m/>
    <s v="TRASPASO"/>
    <d v="2022-01-31T00:00:00"/>
    <n v="1"/>
    <x v="1"/>
    <x v="9"/>
    <x v="4"/>
    <n v="0"/>
    <n v="43875"/>
    <n v="-43875"/>
    <x v="0"/>
    <x v="0"/>
    <n v="90"/>
    <x v="1"/>
    <s v="Jorge Godoy "/>
  </r>
  <r>
    <m/>
    <s v="EGRESO"/>
    <d v="2022-01-31T00:00:00"/>
    <n v="1"/>
    <x v="1"/>
    <x v="9"/>
    <x v="5"/>
    <n v="43875"/>
    <n v="0"/>
    <n v="43875"/>
    <x v="0"/>
    <x v="0"/>
    <n v="90"/>
    <x v="1"/>
    <s v="Jorge Godoy "/>
  </r>
  <r>
    <m/>
    <s v="EGRESO"/>
    <d v="2022-01-31T00:00:00"/>
    <n v="1"/>
    <x v="0"/>
    <x v="0"/>
    <x v="5"/>
    <n v="0"/>
    <n v="43875"/>
    <n v="-43875"/>
    <x v="0"/>
    <x v="0"/>
    <n v="90"/>
    <x v="1"/>
    <s v="Jorge Godoy "/>
  </r>
  <r>
    <m/>
    <s v="TRASPASO"/>
    <d v="2022-02-28T00:00:00"/>
    <n v="2"/>
    <x v="2"/>
    <x v="7"/>
    <x v="4"/>
    <n v="55000"/>
    <n v="0"/>
    <n v="55000"/>
    <x v="0"/>
    <x v="0"/>
    <n v="91"/>
    <x v="1"/>
    <s v="Jorge Godoy "/>
  </r>
  <r>
    <m/>
    <s v="TRASPASO"/>
    <d v="2022-02-28T00:00:00"/>
    <n v="2"/>
    <x v="1"/>
    <x v="8"/>
    <x v="4"/>
    <n v="0"/>
    <n v="6738"/>
    <n v="-6738"/>
    <x v="0"/>
    <x v="0"/>
    <n v="91"/>
    <x v="1"/>
    <s v="Jorge Godoy "/>
  </r>
  <r>
    <m/>
    <s v="TRASPASO"/>
    <d v="2022-02-28T00:00:00"/>
    <n v="2"/>
    <x v="1"/>
    <x v="9"/>
    <x v="4"/>
    <n v="0"/>
    <n v="48262"/>
    <n v="-48262"/>
    <x v="0"/>
    <x v="0"/>
    <n v="91"/>
    <x v="1"/>
    <s v="Jorge Godoy "/>
  </r>
  <r>
    <m/>
    <s v="EGRESO"/>
    <d v="2022-02-28T00:00:00"/>
    <n v="2"/>
    <x v="1"/>
    <x v="9"/>
    <x v="5"/>
    <n v="48262"/>
    <n v="0"/>
    <n v="48262"/>
    <x v="0"/>
    <x v="0"/>
    <n v="91"/>
    <x v="1"/>
    <s v="Jorge Godoy "/>
  </r>
  <r>
    <m/>
    <s v="EGRESO"/>
    <d v="2022-02-28T00:00:00"/>
    <n v="2"/>
    <x v="0"/>
    <x v="0"/>
    <x v="5"/>
    <n v="0"/>
    <n v="48262"/>
    <n v="-48262"/>
    <x v="0"/>
    <x v="0"/>
    <n v="91"/>
    <x v="1"/>
    <s v="Jorge Godoy "/>
  </r>
  <r>
    <m/>
    <s v="TRASPASO"/>
    <d v="2022-03-30T00:00:00"/>
    <n v="3"/>
    <x v="2"/>
    <x v="7"/>
    <x v="4"/>
    <n v="55000"/>
    <n v="0"/>
    <n v="55000"/>
    <x v="0"/>
    <x v="0"/>
    <n v="92"/>
    <x v="1"/>
    <s v="Jorge Godoy "/>
  </r>
  <r>
    <m/>
    <s v="TRASPASO"/>
    <d v="2022-03-30T00:00:00"/>
    <n v="3"/>
    <x v="1"/>
    <x v="8"/>
    <x v="4"/>
    <n v="0"/>
    <n v="6738"/>
    <n v="-6738"/>
    <x v="0"/>
    <x v="0"/>
    <n v="92"/>
    <x v="1"/>
    <s v="Jorge Godoy "/>
  </r>
  <r>
    <m/>
    <s v="TRASPASO"/>
    <d v="2022-03-30T00:00:00"/>
    <n v="3"/>
    <x v="1"/>
    <x v="9"/>
    <x v="4"/>
    <n v="0"/>
    <n v="48262"/>
    <n v="-48262"/>
    <x v="0"/>
    <x v="0"/>
    <n v="92"/>
    <x v="1"/>
    <s v="Jorge Godoy "/>
  </r>
  <r>
    <m/>
    <s v="EGRESO"/>
    <d v="2022-03-30T00:00:00"/>
    <n v="3"/>
    <x v="1"/>
    <x v="9"/>
    <x v="5"/>
    <n v="48262"/>
    <n v="0"/>
    <n v="48262"/>
    <x v="0"/>
    <x v="0"/>
    <n v="92"/>
    <x v="1"/>
    <s v="Jorge Godoy "/>
  </r>
  <r>
    <m/>
    <s v="EGRESO"/>
    <d v="2022-03-30T00:00:00"/>
    <n v="3"/>
    <x v="0"/>
    <x v="0"/>
    <x v="5"/>
    <n v="0"/>
    <n v="48262"/>
    <n v="-48262"/>
    <x v="0"/>
    <x v="0"/>
    <n v="92"/>
    <x v="1"/>
    <s v="Jorge Godoy "/>
  </r>
  <r>
    <m/>
    <s v="TRASPASO"/>
    <d v="2022-04-29T00:00:00"/>
    <n v="4"/>
    <x v="2"/>
    <x v="7"/>
    <x v="4"/>
    <n v="55000"/>
    <n v="0"/>
    <n v="55000"/>
    <x v="0"/>
    <x v="0"/>
    <n v="93"/>
    <x v="1"/>
    <s v="Jorge Godoy "/>
  </r>
  <r>
    <m/>
    <s v="TRASPASO"/>
    <d v="2022-04-29T00:00:00"/>
    <n v="4"/>
    <x v="1"/>
    <x v="8"/>
    <x v="4"/>
    <n v="0"/>
    <n v="6738"/>
    <n v="-6738"/>
    <x v="0"/>
    <x v="0"/>
    <n v="93"/>
    <x v="1"/>
    <s v="Jorge Godoy "/>
  </r>
  <r>
    <m/>
    <s v="TRASPASO"/>
    <d v="2022-04-29T00:00:00"/>
    <n v="4"/>
    <x v="1"/>
    <x v="9"/>
    <x v="4"/>
    <n v="0"/>
    <n v="48262"/>
    <n v="-48262"/>
    <x v="0"/>
    <x v="0"/>
    <n v="93"/>
    <x v="1"/>
    <s v="Jorge Godoy "/>
  </r>
  <r>
    <m/>
    <s v="EGRESO"/>
    <d v="2022-04-29T00:00:00"/>
    <n v="4"/>
    <x v="1"/>
    <x v="9"/>
    <x v="5"/>
    <n v="48262"/>
    <n v="0"/>
    <n v="48262"/>
    <x v="0"/>
    <x v="0"/>
    <n v="93"/>
    <x v="1"/>
    <s v="Jorge Godoy "/>
  </r>
  <r>
    <m/>
    <s v="EGRESO"/>
    <d v="2022-04-29T00:00:00"/>
    <n v="4"/>
    <x v="0"/>
    <x v="0"/>
    <x v="5"/>
    <n v="0"/>
    <n v="48262"/>
    <n v="-48262"/>
    <x v="0"/>
    <x v="0"/>
    <n v="93"/>
    <x v="1"/>
    <s v="Jorge Godoy "/>
  </r>
  <r>
    <m/>
    <s v="TRASPASO"/>
    <d v="2022-05-31T00:00:00"/>
    <n v="5"/>
    <x v="2"/>
    <x v="7"/>
    <x v="4"/>
    <n v="55000"/>
    <n v="0"/>
    <n v="55000"/>
    <x v="0"/>
    <x v="0"/>
    <n v="94"/>
    <x v="1"/>
    <s v="Jorge Godoy "/>
  </r>
  <r>
    <m/>
    <s v="TRASPASO"/>
    <d v="2022-05-31T00:00:00"/>
    <n v="5"/>
    <x v="1"/>
    <x v="8"/>
    <x v="4"/>
    <n v="0"/>
    <n v="6738"/>
    <n v="-6738"/>
    <x v="0"/>
    <x v="0"/>
    <n v="94"/>
    <x v="1"/>
    <s v="Jorge Godoy "/>
  </r>
  <r>
    <m/>
    <s v="TRASPASO"/>
    <d v="2022-05-31T00:00:00"/>
    <n v="5"/>
    <x v="1"/>
    <x v="9"/>
    <x v="4"/>
    <n v="0"/>
    <n v="48262"/>
    <n v="-48262"/>
    <x v="0"/>
    <x v="0"/>
    <n v="94"/>
    <x v="1"/>
    <s v="Jorge Godoy "/>
  </r>
  <r>
    <m/>
    <s v="EGRESO"/>
    <d v="2022-05-31T00:00:00"/>
    <n v="5"/>
    <x v="1"/>
    <x v="9"/>
    <x v="5"/>
    <n v="48262"/>
    <n v="0"/>
    <n v="48262"/>
    <x v="0"/>
    <x v="0"/>
    <n v="94"/>
    <x v="1"/>
    <s v="Jorge Godoy "/>
  </r>
  <r>
    <m/>
    <s v="EGRESO"/>
    <d v="2022-05-31T00:00:00"/>
    <n v="5"/>
    <x v="0"/>
    <x v="0"/>
    <x v="5"/>
    <n v="0"/>
    <n v="48262"/>
    <n v="-48262"/>
    <x v="0"/>
    <x v="0"/>
    <n v="94"/>
    <x v="1"/>
    <s v="Jorge Godoy "/>
  </r>
  <r>
    <m/>
    <s v="TRASPASO"/>
    <d v="2022-06-30T00:00:00"/>
    <n v="6"/>
    <x v="2"/>
    <x v="7"/>
    <x v="4"/>
    <n v="55000"/>
    <n v="0"/>
    <n v="55000"/>
    <x v="0"/>
    <x v="0"/>
    <n v="95"/>
    <x v="1"/>
    <s v="Jorge Godoy "/>
  </r>
  <r>
    <m/>
    <s v="TRASPASO"/>
    <d v="2022-06-30T00:00:00"/>
    <n v="6"/>
    <x v="1"/>
    <x v="8"/>
    <x v="4"/>
    <n v="0"/>
    <n v="6738"/>
    <n v="-6738"/>
    <x v="0"/>
    <x v="0"/>
    <n v="95"/>
    <x v="1"/>
    <s v="Jorge Godoy "/>
  </r>
  <r>
    <m/>
    <s v="TRASPASO"/>
    <d v="2022-06-30T00:00:00"/>
    <n v="6"/>
    <x v="1"/>
    <x v="9"/>
    <x v="4"/>
    <n v="0"/>
    <n v="48262"/>
    <n v="-48262"/>
    <x v="0"/>
    <x v="0"/>
    <n v="95"/>
    <x v="1"/>
    <s v="Jorge Godoy "/>
  </r>
  <r>
    <m/>
    <s v="EGRESO"/>
    <d v="2022-06-30T00:00:00"/>
    <n v="6"/>
    <x v="1"/>
    <x v="9"/>
    <x v="5"/>
    <n v="48262"/>
    <n v="0"/>
    <n v="48262"/>
    <x v="0"/>
    <x v="0"/>
    <n v="95"/>
    <x v="1"/>
    <s v="Jorge Godoy "/>
  </r>
  <r>
    <m/>
    <s v="EGRESO"/>
    <d v="2022-06-30T00:00:00"/>
    <n v="6"/>
    <x v="0"/>
    <x v="0"/>
    <x v="5"/>
    <n v="0"/>
    <n v="48262"/>
    <n v="-48262"/>
    <x v="0"/>
    <x v="0"/>
    <n v="95"/>
    <x v="1"/>
    <s v="Jorge Godoy "/>
  </r>
  <r>
    <m/>
    <s v="TRASPASO"/>
    <d v="2022-07-29T00:00:00"/>
    <n v="7"/>
    <x v="2"/>
    <x v="7"/>
    <x v="4"/>
    <n v="55000"/>
    <n v="0"/>
    <n v="55000"/>
    <x v="0"/>
    <x v="0"/>
    <n v="96"/>
    <x v="1"/>
    <s v="Jorge Godoy "/>
  </r>
  <r>
    <m/>
    <s v="TRASPASO"/>
    <d v="2022-07-29T00:00:00"/>
    <n v="7"/>
    <x v="1"/>
    <x v="8"/>
    <x v="4"/>
    <n v="0"/>
    <n v="6738"/>
    <n v="-6738"/>
    <x v="0"/>
    <x v="0"/>
    <n v="96"/>
    <x v="1"/>
    <s v="Jorge Godoy "/>
  </r>
  <r>
    <m/>
    <s v="TRASPASO"/>
    <d v="2022-07-29T00:00:00"/>
    <n v="7"/>
    <x v="1"/>
    <x v="9"/>
    <x v="4"/>
    <n v="0"/>
    <n v="48262"/>
    <n v="-48262"/>
    <x v="0"/>
    <x v="0"/>
    <n v="96"/>
    <x v="1"/>
    <s v="Jorge Godoy "/>
  </r>
  <r>
    <m/>
    <s v="EGRESO"/>
    <d v="2022-07-29T00:00:00"/>
    <n v="7"/>
    <x v="1"/>
    <x v="9"/>
    <x v="5"/>
    <n v="48262"/>
    <n v="0"/>
    <n v="48262"/>
    <x v="0"/>
    <x v="0"/>
    <n v="96"/>
    <x v="1"/>
    <s v="Jorge Godoy "/>
  </r>
  <r>
    <m/>
    <s v="EGRESO"/>
    <d v="2022-07-29T00:00:00"/>
    <n v="7"/>
    <x v="0"/>
    <x v="0"/>
    <x v="5"/>
    <n v="0"/>
    <n v="48262"/>
    <n v="-48262"/>
    <x v="0"/>
    <x v="0"/>
    <n v="96"/>
    <x v="1"/>
    <s v="Jorge Godoy "/>
  </r>
  <r>
    <m/>
    <s v="TRASPASO"/>
    <d v="2022-08-31T00:00:00"/>
    <n v="8"/>
    <x v="2"/>
    <x v="7"/>
    <x v="4"/>
    <n v="55000"/>
    <n v="0"/>
    <n v="55000"/>
    <x v="0"/>
    <x v="0"/>
    <n v="97"/>
    <x v="1"/>
    <s v="Jorge Godoy "/>
  </r>
  <r>
    <m/>
    <s v="TRASPASO"/>
    <d v="2022-08-31T00:00:00"/>
    <n v="8"/>
    <x v="1"/>
    <x v="8"/>
    <x v="4"/>
    <n v="0"/>
    <n v="6738"/>
    <n v="-6738"/>
    <x v="0"/>
    <x v="0"/>
    <n v="97"/>
    <x v="1"/>
    <s v="Jorge Godoy "/>
  </r>
  <r>
    <m/>
    <s v="TRASPASO"/>
    <d v="2022-08-31T00:00:00"/>
    <n v="8"/>
    <x v="1"/>
    <x v="9"/>
    <x v="4"/>
    <n v="0"/>
    <n v="48262"/>
    <n v="-48262"/>
    <x v="0"/>
    <x v="0"/>
    <n v="97"/>
    <x v="1"/>
    <s v="Jorge Godoy "/>
  </r>
  <r>
    <m/>
    <s v="EGRESO"/>
    <d v="2022-08-31T00:00:00"/>
    <n v="8"/>
    <x v="1"/>
    <x v="9"/>
    <x v="5"/>
    <n v="48262"/>
    <n v="0"/>
    <n v="48262"/>
    <x v="0"/>
    <x v="0"/>
    <n v="97"/>
    <x v="1"/>
    <s v="Jorge Godoy "/>
  </r>
  <r>
    <m/>
    <s v="EGRESO"/>
    <d v="2022-08-31T00:00:00"/>
    <n v="8"/>
    <x v="0"/>
    <x v="0"/>
    <x v="5"/>
    <n v="0"/>
    <n v="48262"/>
    <n v="-48262"/>
    <x v="0"/>
    <x v="0"/>
    <n v="97"/>
    <x v="1"/>
    <s v="Jorge Godoy "/>
  </r>
  <r>
    <m/>
    <s v="TRASPASO"/>
    <d v="2022-09-30T00:00:00"/>
    <n v="9"/>
    <x v="2"/>
    <x v="7"/>
    <x v="4"/>
    <n v="55000"/>
    <n v="0"/>
    <n v="55000"/>
    <x v="0"/>
    <x v="0"/>
    <n v="98"/>
    <x v="1"/>
    <s v="Jorge Godoy "/>
  </r>
  <r>
    <m/>
    <s v="TRASPASO"/>
    <d v="2022-09-30T00:00:00"/>
    <n v="9"/>
    <x v="1"/>
    <x v="8"/>
    <x v="4"/>
    <n v="0"/>
    <n v="6738"/>
    <n v="-6738"/>
    <x v="0"/>
    <x v="0"/>
    <n v="98"/>
    <x v="1"/>
    <s v="Jorge Godoy "/>
  </r>
  <r>
    <m/>
    <s v="TRASPASO"/>
    <d v="2022-09-30T00:00:00"/>
    <n v="9"/>
    <x v="1"/>
    <x v="9"/>
    <x v="4"/>
    <n v="0"/>
    <n v="48262"/>
    <n v="-48262"/>
    <x v="0"/>
    <x v="0"/>
    <n v="98"/>
    <x v="1"/>
    <s v="Jorge Godoy "/>
  </r>
  <r>
    <m/>
    <s v="EGRESO"/>
    <d v="2022-09-30T00:00:00"/>
    <n v="9"/>
    <x v="1"/>
    <x v="9"/>
    <x v="5"/>
    <n v="48262"/>
    <n v="0"/>
    <n v="48262"/>
    <x v="0"/>
    <x v="0"/>
    <n v="98"/>
    <x v="1"/>
    <s v="Jorge Godoy "/>
  </r>
  <r>
    <m/>
    <s v="EGRESO"/>
    <d v="2022-09-30T00:00:00"/>
    <n v="9"/>
    <x v="0"/>
    <x v="0"/>
    <x v="5"/>
    <n v="0"/>
    <n v="48262"/>
    <n v="-48262"/>
    <x v="0"/>
    <x v="0"/>
    <n v="98"/>
    <x v="1"/>
    <s v="Jorge Godoy "/>
  </r>
  <r>
    <m/>
    <s v="TRASPASO"/>
    <d v="2022-10-28T00:00:00"/>
    <n v="10"/>
    <x v="2"/>
    <x v="7"/>
    <x v="4"/>
    <n v="55000"/>
    <n v="0"/>
    <n v="55000"/>
    <x v="0"/>
    <x v="0"/>
    <n v="99"/>
    <x v="1"/>
    <s v="Jorge Godoy "/>
  </r>
  <r>
    <m/>
    <s v="TRASPASO"/>
    <d v="2022-10-28T00:00:00"/>
    <n v="10"/>
    <x v="1"/>
    <x v="8"/>
    <x v="4"/>
    <n v="0"/>
    <n v="6738"/>
    <n v="-6738"/>
    <x v="0"/>
    <x v="0"/>
    <n v="99"/>
    <x v="1"/>
    <s v="Jorge Godoy "/>
  </r>
  <r>
    <m/>
    <s v="TRASPASO"/>
    <d v="2022-10-28T00:00:00"/>
    <n v="10"/>
    <x v="1"/>
    <x v="9"/>
    <x v="4"/>
    <n v="0"/>
    <n v="48262"/>
    <n v="-48262"/>
    <x v="0"/>
    <x v="0"/>
    <n v="99"/>
    <x v="1"/>
    <s v="Jorge Godoy "/>
  </r>
  <r>
    <m/>
    <s v="EGRESO"/>
    <d v="2022-10-28T00:00:00"/>
    <n v="10"/>
    <x v="1"/>
    <x v="9"/>
    <x v="5"/>
    <n v="48262"/>
    <n v="0"/>
    <n v="48262"/>
    <x v="0"/>
    <x v="0"/>
    <n v="99"/>
    <x v="1"/>
    <s v="Jorge Godoy "/>
  </r>
  <r>
    <m/>
    <s v="EGRESO"/>
    <d v="2022-10-28T00:00:00"/>
    <n v="10"/>
    <x v="0"/>
    <x v="0"/>
    <x v="5"/>
    <n v="0"/>
    <n v="48262"/>
    <n v="-48262"/>
    <x v="0"/>
    <x v="0"/>
    <n v="99"/>
    <x v="1"/>
    <s v="Jorge Godoy "/>
  </r>
  <r>
    <m/>
    <s v="TRASPASO"/>
    <d v="2022-11-30T00:00:00"/>
    <n v="11"/>
    <x v="2"/>
    <x v="7"/>
    <x v="4"/>
    <n v="55000"/>
    <n v="0"/>
    <n v="55000"/>
    <x v="0"/>
    <x v="0"/>
    <n v="100"/>
    <x v="1"/>
    <s v="Jorge Godoy "/>
  </r>
  <r>
    <m/>
    <s v="TRASPASO"/>
    <d v="2022-11-30T00:00:00"/>
    <n v="11"/>
    <x v="1"/>
    <x v="8"/>
    <x v="4"/>
    <n v="0"/>
    <n v="6738"/>
    <n v="-6738"/>
    <x v="0"/>
    <x v="0"/>
    <n v="100"/>
    <x v="1"/>
    <s v="Jorge Godoy "/>
  </r>
  <r>
    <m/>
    <s v="TRASPASO"/>
    <d v="2022-11-30T00:00:00"/>
    <n v="11"/>
    <x v="1"/>
    <x v="9"/>
    <x v="4"/>
    <n v="0"/>
    <n v="48262"/>
    <n v="-48262"/>
    <x v="0"/>
    <x v="0"/>
    <n v="100"/>
    <x v="1"/>
    <s v="Jorge Godoy "/>
  </r>
  <r>
    <m/>
    <s v="EGRESO"/>
    <d v="2022-11-30T00:00:00"/>
    <n v="11"/>
    <x v="1"/>
    <x v="9"/>
    <x v="5"/>
    <n v="48262"/>
    <n v="0"/>
    <n v="48262"/>
    <x v="0"/>
    <x v="0"/>
    <n v="100"/>
    <x v="1"/>
    <s v="Jorge Godoy "/>
  </r>
  <r>
    <m/>
    <s v="EGRESO"/>
    <d v="2022-11-30T00:00:00"/>
    <n v="11"/>
    <x v="0"/>
    <x v="0"/>
    <x v="5"/>
    <n v="0"/>
    <n v="48262"/>
    <n v="-48262"/>
    <x v="0"/>
    <x v="0"/>
    <n v="100"/>
    <x v="1"/>
    <s v="Jorge Godoy "/>
  </r>
  <r>
    <m/>
    <s v="TRASPASO"/>
    <d v="2022-12-29T00:00:00"/>
    <n v="12"/>
    <x v="2"/>
    <x v="7"/>
    <x v="4"/>
    <n v="55000"/>
    <n v="0"/>
    <n v="55000"/>
    <x v="0"/>
    <x v="0"/>
    <n v="101"/>
    <x v="1"/>
    <s v="Jorge Godoy "/>
  </r>
  <r>
    <m/>
    <s v="TRASPASO"/>
    <d v="2022-12-29T00:00:00"/>
    <n v="12"/>
    <x v="1"/>
    <x v="8"/>
    <x v="4"/>
    <n v="0"/>
    <n v="6738"/>
    <n v="-6738"/>
    <x v="0"/>
    <x v="0"/>
    <n v="101"/>
    <x v="1"/>
    <s v="Jorge Godoy "/>
  </r>
  <r>
    <m/>
    <s v="TRASPASO"/>
    <d v="2022-12-29T00:00:00"/>
    <n v="12"/>
    <x v="1"/>
    <x v="9"/>
    <x v="4"/>
    <n v="0"/>
    <n v="48262"/>
    <n v="-48262"/>
    <x v="0"/>
    <x v="0"/>
    <n v="101"/>
    <x v="1"/>
    <s v="Jorge Godoy "/>
  </r>
  <r>
    <m/>
    <s v="EGRESO"/>
    <d v="2022-12-29T00:00:00"/>
    <n v="12"/>
    <x v="1"/>
    <x v="9"/>
    <x v="5"/>
    <n v="48262"/>
    <n v="0"/>
    <n v="48262"/>
    <x v="0"/>
    <x v="0"/>
    <n v="101"/>
    <x v="1"/>
    <s v="Jorge Godoy "/>
  </r>
  <r>
    <m/>
    <s v="EGRESO"/>
    <d v="2022-12-29T00:00:00"/>
    <n v="12"/>
    <x v="0"/>
    <x v="0"/>
    <x v="5"/>
    <n v="0"/>
    <n v="48262"/>
    <n v="-48262"/>
    <x v="0"/>
    <x v="0"/>
    <n v="101"/>
    <x v="1"/>
    <s v="Jorge Godoy "/>
  </r>
  <r>
    <m/>
    <s v="TRASPASO"/>
    <d v="2021-12-27T00:00:00"/>
    <n v="1"/>
    <x v="3"/>
    <x v="10"/>
    <x v="6"/>
    <n v="51387"/>
    <n v="0"/>
    <n v="51387"/>
    <x v="0"/>
    <x v="1"/>
    <n v="63348"/>
    <x v="2"/>
    <s v="IMPORTADORA EXPORTADORA Y COMERCIALIZADORA ZHIHUI ZHANG EMPRESA INDIVIDUAL DE RESPONSABILIDAD LIMIT"/>
  </r>
  <r>
    <m/>
    <s v="TRASPASO"/>
    <d v="2021-12-27T00:00:00"/>
    <n v="1"/>
    <x v="0"/>
    <x v="11"/>
    <x v="6"/>
    <n v="9763"/>
    <n v="0"/>
    <n v="9763"/>
    <x v="0"/>
    <x v="1"/>
    <n v="63348"/>
    <x v="2"/>
    <s v="IMPORTADORA EXPORTADORA Y COMERCIALIZADORA ZHIHUI ZHANG EMPRESA INDIVIDUAL DE RESPONSABILIDAD LIMIT"/>
  </r>
  <r>
    <m/>
    <s v="TRASPASO"/>
    <d v="2021-12-27T00:00:00"/>
    <n v="1"/>
    <x v="1"/>
    <x v="12"/>
    <x v="6"/>
    <n v="0"/>
    <n v="61150"/>
    <n v="-61150"/>
    <x v="0"/>
    <x v="1"/>
    <n v="63348"/>
    <x v="2"/>
    <s v="IMPORTADORA EXPORTADORA Y COMERCIALIZADORA ZHIHUI ZHANG EMPRESA INDIVIDUAL DE RESPONSABILIDAD LIMIT"/>
  </r>
  <r>
    <m/>
    <s v="TRASPASO"/>
    <d v="2021-12-27T00:00:00"/>
    <n v="1"/>
    <x v="3"/>
    <x v="10"/>
    <x v="6"/>
    <n v="30252"/>
    <n v="0"/>
    <n v="30252"/>
    <x v="0"/>
    <x v="1"/>
    <n v="146696"/>
    <x v="3"/>
    <s v="TEXTIL SUMEY LTDA"/>
  </r>
  <r>
    <m/>
    <s v="TRASPASO"/>
    <d v="2021-12-27T00:00:00"/>
    <n v="1"/>
    <x v="0"/>
    <x v="11"/>
    <x v="6"/>
    <n v="5748"/>
    <n v="0"/>
    <n v="5748"/>
    <x v="0"/>
    <x v="1"/>
    <n v="146696"/>
    <x v="3"/>
    <s v="TEXTIL SUMEY LTDA"/>
  </r>
  <r>
    <m/>
    <s v="TRASPASO"/>
    <d v="2021-12-27T00:00:00"/>
    <n v="1"/>
    <x v="1"/>
    <x v="12"/>
    <x v="6"/>
    <n v="0"/>
    <n v="36000"/>
    <n v="-36000"/>
    <x v="0"/>
    <x v="1"/>
    <n v="146696"/>
    <x v="3"/>
    <s v="TEXTIL SUMEY LTDA"/>
  </r>
  <r>
    <m/>
    <s v="TRASPASO"/>
    <d v="2022-01-05T00:00:00"/>
    <n v="1"/>
    <x v="3"/>
    <x v="10"/>
    <x v="6"/>
    <n v="6555"/>
    <n v="0"/>
    <n v="6555"/>
    <x v="0"/>
    <x v="1"/>
    <n v="178309"/>
    <x v="4"/>
    <s v="MATERIAS PRIMAS CLAUDIA ESCOBAR S.A."/>
  </r>
  <r>
    <m/>
    <s v="TRASPASO"/>
    <d v="2022-01-05T00:00:00"/>
    <n v="1"/>
    <x v="0"/>
    <x v="11"/>
    <x v="6"/>
    <n v="1245"/>
    <n v="0"/>
    <n v="1245"/>
    <x v="0"/>
    <x v="1"/>
    <n v="178309"/>
    <x v="4"/>
    <s v="MATERIAS PRIMAS CLAUDIA ESCOBAR S.A."/>
  </r>
  <r>
    <m/>
    <s v="TRASPASO"/>
    <d v="2022-01-05T00:00:00"/>
    <n v="1"/>
    <x v="1"/>
    <x v="12"/>
    <x v="6"/>
    <n v="0"/>
    <n v="7800"/>
    <n v="-7800"/>
    <x v="0"/>
    <x v="1"/>
    <n v="178309"/>
    <x v="4"/>
    <s v="MATERIAS PRIMAS CLAUDIA ESCOBAR S.A."/>
  </r>
  <r>
    <m/>
    <s v="TRASPASO"/>
    <d v="2022-01-05T00:00:00"/>
    <n v="1"/>
    <x v="3"/>
    <x v="10"/>
    <x v="6"/>
    <n v="158144"/>
    <n v="0"/>
    <n v="158144"/>
    <x v="0"/>
    <x v="1"/>
    <n v="653595"/>
    <x v="5"/>
    <s v="Comercial Mundo Transfer Ltda"/>
  </r>
  <r>
    <m/>
    <s v="TRASPASO"/>
    <d v="2022-01-05T00:00:00"/>
    <n v="1"/>
    <x v="0"/>
    <x v="11"/>
    <x v="6"/>
    <n v="30047"/>
    <n v="0"/>
    <n v="30047"/>
    <x v="0"/>
    <x v="1"/>
    <n v="653595"/>
    <x v="5"/>
    <s v="Comercial Mundo Transfer Ltda"/>
  </r>
  <r>
    <m/>
    <s v="TRASPASO"/>
    <d v="2022-01-05T00:00:00"/>
    <n v="1"/>
    <x v="1"/>
    <x v="12"/>
    <x v="6"/>
    <n v="0"/>
    <n v="188191"/>
    <n v="-188191"/>
    <x v="0"/>
    <x v="1"/>
    <n v="653595"/>
    <x v="5"/>
    <s v="Comercial Mundo Transfer Ltda"/>
  </r>
  <r>
    <m/>
    <s v="TRASPASO"/>
    <d v="2022-01-06T00:00:00"/>
    <n v="1"/>
    <x v="3"/>
    <x v="10"/>
    <x v="6"/>
    <n v="34320"/>
    <n v="0"/>
    <n v="34320"/>
    <x v="0"/>
    <x v="1"/>
    <n v="361530"/>
    <x v="6"/>
    <s v="Texora S.A"/>
  </r>
  <r>
    <m/>
    <s v="TRASPASO"/>
    <d v="2022-01-06T00:00:00"/>
    <n v="1"/>
    <x v="0"/>
    <x v="11"/>
    <x v="6"/>
    <n v="6521"/>
    <n v="0"/>
    <n v="6521"/>
    <x v="0"/>
    <x v="1"/>
    <n v="361530"/>
    <x v="6"/>
    <s v="Texora S.A"/>
  </r>
  <r>
    <m/>
    <s v="TRASPASO"/>
    <d v="2022-01-06T00:00:00"/>
    <n v="1"/>
    <x v="1"/>
    <x v="12"/>
    <x v="6"/>
    <n v="0"/>
    <n v="40841"/>
    <n v="-40841"/>
    <x v="0"/>
    <x v="1"/>
    <n v="361530"/>
    <x v="6"/>
    <s v="Texora S.A"/>
  </r>
  <r>
    <m/>
    <s v="TRASPASO"/>
    <d v="2022-01-06T00:00:00"/>
    <n v="1"/>
    <x v="3"/>
    <x v="10"/>
    <x v="6"/>
    <n v="164745"/>
    <n v="0"/>
    <n v="164745"/>
    <x v="0"/>
    <x v="1"/>
    <n v="653902"/>
    <x v="5"/>
    <s v="Comercial Mundo Transfer Ltda"/>
  </r>
  <r>
    <m/>
    <s v="TRASPASO"/>
    <d v="2022-01-06T00:00:00"/>
    <n v="1"/>
    <x v="0"/>
    <x v="11"/>
    <x v="6"/>
    <n v="31302"/>
    <n v="0"/>
    <n v="31302"/>
    <x v="0"/>
    <x v="1"/>
    <n v="653902"/>
    <x v="5"/>
    <s v="Comercial Mundo Transfer Ltda"/>
  </r>
  <r>
    <m/>
    <s v="TRASPASO"/>
    <d v="2022-01-06T00:00:00"/>
    <n v="1"/>
    <x v="1"/>
    <x v="12"/>
    <x v="6"/>
    <n v="0"/>
    <n v="196047"/>
    <n v="-196047"/>
    <x v="0"/>
    <x v="1"/>
    <n v="653902"/>
    <x v="5"/>
    <s v="Comercial Mundo Transfer Ltda"/>
  </r>
  <r>
    <m/>
    <s v="TRASPASO"/>
    <d v="2022-01-07T00:00:00"/>
    <n v="1"/>
    <x v="3"/>
    <x v="10"/>
    <x v="6"/>
    <n v="93580"/>
    <n v="0"/>
    <n v="93580"/>
    <x v="0"/>
    <x v="1"/>
    <n v="361658"/>
    <x v="6"/>
    <s v="Texora S.A"/>
  </r>
  <r>
    <m/>
    <s v="TRASPASO"/>
    <d v="2022-01-07T00:00:00"/>
    <n v="1"/>
    <x v="0"/>
    <x v="11"/>
    <x v="6"/>
    <n v="17780"/>
    <n v="0"/>
    <n v="17780"/>
    <x v="0"/>
    <x v="1"/>
    <n v="361658"/>
    <x v="6"/>
    <s v="Texora S.A"/>
  </r>
  <r>
    <m/>
    <s v="TRASPASO"/>
    <d v="2022-01-07T00:00:00"/>
    <n v="1"/>
    <x v="1"/>
    <x v="12"/>
    <x v="6"/>
    <n v="0"/>
    <n v="111360"/>
    <n v="-111360"/>
    <x v="0"/>
    <x v="1"/>
    <n v="361658"/>
    <x v="6"/>
    <s v="Texora S.A"/>
  </r>
  <r>
    <m/>
    <s v="TRASPASO"/>
    <d v="2022-01-10T00:00:00"/>
    <n v="1"/>
    <x v="3"/>
    <x v="10"/>
    <x v="6"/>
    <n v="24840"/>
    <n v="0"/>
    <n v="24840"/>
    <x v="0"/>
    <x v="1"/>
    <n v="361760"/>
    <x v="6"/>
    <s v="Texora S.A"/>
  </r>
  <r>
    <m/>
    <s v="TRASPASO"/>
    <d v="2022-01-10T00:00:00"/>
    <n v="1"/>
    <x v="0"/>
    <x v="11"/>
    <x v="6"/>
    <n v="4720"/>
    <n v="0"/>
    <n v="4720"/>
    <x v="0"/>
    <x v="1"/>
    <n v="361760"/>
    <x v="6"/>
    <s v="Texora S.A"/>
  </r>
  <r>
    <m/>
    <s v="TRASPASO"/>
    <d v="2022-01-10T00:00:00"/>
    <n v="1"/>
    <x v="1"/>
    <x v="12"/>
    <x v="6"/>
    <n v="0"/>
    <n v="29560"/>
    <n v="-29560"/>
    <x v="0"/>
    <x v="1"/>
    <n v="361760"/>
    <x v="6"/>
    <s v="Texora S.A"/>
  </r>
  <r>
    <m/>
    <s v="TRASPASO"/>
    <d v="2022-01-11T00:00:00"/>
    <n v="1"/>
    <x v="3"/>
    <x v="10"/>
    <x v="6"/>
    <n v="428000"/>
    <n v="0"/>
    <n v="428000"/>
    <x v="0"/>
    <x v="1"/>
    <n v="166805"/>
    <x v="7"/>
    <s v="MICROGEO S.A."/>
  </r>
  <r>
    <m/>
    <s v="TRASPASO"/>
    <d v="2022-01-11T00:00:00"/>
    <n v="1"/>
    <x v="0"/>
    <x v="11"/>
    <x v="6"/>
    <n v="81320"/>
    <n v="0"/>
    <n v="81320"/>
    <x v="0"/>
    <x v="1"/>
    <n v="166805"/>
    <x v="7"/>
    <s v="MICROGEO S.A."/>
  </r>
  <r>
    <m/>
    <s v="TRASPASO"/>
    <d v="2022-01-11T00:00:00"/>
    <n v="1"/>
    <x v="1"/>
    <x v="12"/>
    <x v="6"/>
    <n v="0"/>
    <n v="509320"/>
    <n v="-509320"/>
    <x v="0"/>
    <x v="1"/>
    <n v="166805"/>
    <x v="7"/>
    <s v="MICROGEO S.A."/>
  </r>
  <r>
    <m/>
    <s v="TRASPASO"/>
    <d v="2022-01-12T00:00:00"/>
    <n v="1"/>
    <x v="3"/>
    <x v="10"/>
    <x v="6"/>
    <n v="9914"/>
    <n v="0"/>
    <n v="9914"/>
    <x v="0"/>
    <x v="1"/>
    <n v="178879"/>
    <x v="4"/>
    <s v="MATERIAS PRIMAS CLAUDIA ESCOBAR S.A."/>
  </r>
  <r>
    <m/>
    <s v="TRASPASO"/>
    <d v="2022-01-12T00:00:00"/>
    <n v="1"/>
    <x v="0"/>
    <x v="11"/>
    <x v="6"/>
    <n v="1884"/>
    <n v="0"/>
    <n v="1884"/>
    <x v="0"/>
    <x v="1"/>
    <n v="178879"/>
    <x v="4"/>
    <s v="MATERIAS PRIMAS CLAUDIA ESCOBAR S.A."/>
  </r>
  <r>
    <m/>
    <s v="TRASPASO"/>
    <d v="2022-01-12T00:00:00"/>
    <n v="1"/>
    <x v="1"/>
    <x v="12"/>
    <x v="6"/>
    <n v="0"/>
    <n v="11798"/>
    <n v="-11798"/>
    <x v="0"/>
    <x v="1"/>
    <n v="178879"/>
    <x v="4"/>
    <s v="MATERIAS PRIMAS CLAUDIA ESCOBAR S.A."/>
  </r>
  <r>
    <m/>
    <s v="TRASPASO"/>
    <d v="2022-01-12T00:00:00"/>
    <n v="1"/>
    <x v="3"/>
    <x v="10"/>
    <x v="6"/>
    <n v="57000"/>
    <n v="0"/>
    <n v="57000"/>
    <x v="0"/>
    <x v="1"/>
    <n v="51874"/>
    <x v="8"/>
    <s v="IMPORTADORA Y COMERCIALIZADORA FULL PROMOTION LTDA"/>
  </r>
  <r>
    <m/>
    <s v="TRASPASO"/>
    <d v="2022-01-12T00:00:00"/>
    <n v="1"/>
    <x v="0"/>
    <x v="11"/>
    <x v="6"/>
    <n v="10830"/>
    <n v="0"/>
    <n v="10830"/>
    <x v="0"/>
    <x v="1"/>
    <n v="51874"/>
    <x v="8"/>
    <s v="IMPORTADORA Y COMERCIALIZADORA FULL PROMOTION LTDA"/>
  </r>
  <r>
    <m/>
    <s v="TRASPASO"/>
    <d v="2022-01-12T00:00:00"/>
    <n v="1"/>
    <x v="1"/>
    <x v="12"/>
    <x v="6"/>
    <n v="0"/>
    <n v="67830"/>
    <n v="-67830"/>
    <x v="0"/>
    <x v="1"/>
    <n v="51874"/>
    <x v="8"/>
    <s v="IMPORTADORA Y COMERCIALIZADORA FULL PROMOTION LTDA"/>
  </r>
  <r>
    <m/>
    <s v="TRASPASO"/>
    <d v="2022-01-13T00:00:00"/>
    <n v="1"/>
    <x v="3"/>
    <x v="10"/>
    <x v="6"/>
    <n v="397000"/>
    <n v="0"/>
    <n v="397000"/>
    <x v="0"/>
    <x v="1"/>
    <n v="362309"/>
    <x v="6"/>
    <s v="Texora S.A"/>
  </r>
  <r>
    <m/>
    <s v="TRASPASO"/>
    <d v="2022-01-13T00:00:00"/>
    <n v="1"/>
    <x v="0"/>
    <x v="11"/>
    <x v="6"/>
    <n v="75430"/>
    <n v="0"/>
    <n v="75430"/>
    <x v="0"/>
    <x v="1"/>
    <n v="362309"/>
    <x v="6"/>
    <s v="Texora S.A"/>
  </r>
  <r>
    <m/>
    <s v="TRASPASO"/>
    <d v="2022-01-13T00:00:00"/>
    <n v="1"/>
    <x v="1"/>
    <x v="12"/>
    <x v="6"/>
    <n v="0"/>
    <n v="472430"/>
    <n v="-472430"/>
    <x v="0"/>
    <x v="1"/>
    <n v="362309"/>
    <x v="6"/>
    <s v="Texora S.A"/>
  </r>
  <r>
    <m/>
    <s v="TRASPASO"/>
    <d v="2022-01-13T00:00:00"/>
    <n v="1"/>
    <x v="3"/>
    <x v="10"/>
    <x v="6"/>
    <n v="156180"/>
    <n v="0"/>
    <n v="156180"/>
    <x v="0"/>
    <x v="1"/>
    <n v="362345"/>
    <x v="6"/>
    <s v="Texora S.A"/>
  </r>
  <r>
    <m/>
    <s v="TRASPASO"/>
    <d v="2022-01-13T00:00:00"/>
    <n v="1"/>
    <x v="0"/>
    <x v="11"/>
    <x v="6"/>
    <n v="29674"/>
    <n v="0"/>
    <n v="29674"/>
    <x v="0"/>
    <x v="1"/>
    <n v="362345"/>
    <x v="6"/>
    <s v="Texora S.A"/>
  </r>
  <r>
    <m/>
    <s v="TRASPASO"/>
    <d v="2022-01-13T00:00:00"/>
    <n v="1"/>
    <x v="1"/>
    <x v="12"/>
    <x v="6"/>
    <n v="0"/>
    <n v="185854"/>
    <n v="-185854"/>
    <x v="0"/>
    <x v="1"/>
    <n v="362345"/>
    <x v="6"/>
    <s v="Texora S.A"/>
  </r>
  <r>
    <m/>
    <s v="TRASPASO"/>
    <d v="2022-01-14T00:00:00"/>
    <n v="1"/>
    <x v="3"/>
    <x v="10"/>
    <x v="6"/>
    <n v="31010"/>
    <n v="0"/>
    <n v="31010"/>
    <x v="0"/>
    <x v="1"/>
    <n v="362536"/>
    <x v="6"/>
    <s v="Texora S.A"/>
  </r>
  <r>
    <m/>
    <s v="TRASPASO"/>
    <d v="2022-01-14T00:00:00"/>
    <n v="1"/>
    <x v="0"/>
    <x v="11"/>
    <x v="6"/>
    <n v="5892"/>
    <n v="0"/>
    <n v="5892"/>
    <x v="0"/>
    <x v="1"/>
    <n v="362536"/>
    <x v="6"/>
    <s v="Texora S.A"/>
  </r>
  <r>
    <m/>
    <s v="TRASPASO"/>
    <d v="2022-01-14T00:00:00"/>
    <n v="1"/>
    <x v="1"/>
    <x v="12"/>
    <x v="6"/>
    <n v="0"/>
    <n v="36902"/>
    <n v="-36902"/>
    <x v="0"/>
    <x v="1"/>
    <n v="362536"/>
    <x v="6"/>
    <s v="Texora S.A"/>
  </r>
  <r>
    <m/>
    <s v="TRASPASO"/>
    <d v="2022-01-17T00:00:00"/>
    <n v="1"/>
    <x v="3"/>
    <x v="10"/>
    <x v="6"/>
    <n v="40216"/>
    <n v="0"/>
    <n v="40216"/>
    <x v="0"/>
    <x v="1"/>
    <n v="655351"/>
    <x v="5"/>
    <s v="Comercial Mundo Transfer Ltda"/>
  </r>
  <r>
    <m/>
    <s v="TRASPASO"/>
    <d v="2022-01-17T00:00:00"/>
    <n v="1"/>
    <x v="0"/>
    <x v="11"/>
    <x v="6"/>
    <n v="7641"/>
    <n v="0"/>
    <n v="7641"/>
    <x v="0"/>
    <x v="1"/>
    <n v="655351"/>
    <x v="5"/>
    <s v="Comercial Mundo Transfer Ltda"/>
  </r>
  <r>
    <m/>
    <s v="TRASPASO"/>
    <d v="2022-01-17T00:00:00"/>
    <n v="1"/>
    <x v="1"/>
    <x v="12"/>
    <x v="6"/>
    <n v="0"/>
    <n v="47857"/>
    <n v="-47857"/>
    <x v="0"/>
    <x v="1"/>
    <n v="655351"/>
    <x v="5"/>
    <s v="Comercial Mundo Transfer Ltda"/>
  </r>
  <r>
    <m/>
    <s v="TRASPASO"/>
    <d v="2022-01-17T00:00:00"/>
    <n v="1"/>
    <x v="3"/>
    <x v="10"/>
    <x v="6"/>
    <n v="995351"/>
    <n v="0"/>
    <n v="995351"/>
    <x v="0"/>
    <x v="1"/>
    <n v="655353"/>
    <x v="5"/>
    <s v="Comercial Mundo Transfer Ltda"/>
  </r>
  <r>
    <m/>
    <s v="TRASPASO"/>
    <d v="2022-01-17T00:00:00"/>
    <n v="1"/>
    <x v="0"/>
    <x v="11"/>
    <x v="6"/>
    <n v="189117"/>
    <n v="0"/>
    <n v="189117"/>
    <x v="0"/>
    <x v="1"/>
    <n v="655353"/>
    <x v="5"/>
    <s v="Comercial Mundo Transfer Ltda"/>
  </r>
  <r>
    <m/>
    <s v="TRASPASO"/>
    <d v="2022-01-17T00:00:00"/>
    <n v="1"/>
    <x v="1"/>
    <x v="12"/>
    <x v="6"/>
    <n v="0"/>
    <n v="1184468"/>
    <n v="-1184468"/>
    <x v="0"/>
    <x v="1"/>
    <n v="655353"/>
    <x v="5"/>
    <s v="Comercial Mundo Transfer Ltda"/>
  </r>
  <r>
    <m/>
    <s v="TRASPASO"/>
    <d v="2022-01-16T00:00:00"/>
    <n v="1"/>
    <x v="3"/>
    <x v="10"/>
    <x v="6"/>
    <n v="35261"/>
    <n v="0"/>
    <n v="35261"/>
    <x v="0"/>
    <x v="1"/>
    <n v="9381468"/>
    <x v="9"/>
    <s v="WOM S.A."/>
  </r>
  <r>
    <m/>
    <s v="TRASPASO"/>
    <d v="2022-01-16T00:00:00"/>
    <n v="1"/>
    <x v="0"/>
    <x v="11"/>
    <x v="6"/>
    <n v="6699"/>
    <n v="0"/>
    <n v="6699"/>
    <x v="0"/>
    <x v="1"/>
    <n v="9381468"/>
    <x v="9"/>
    <s v="WOM S.A."/>
  </r>
  <r>
    <m/>
    <s v="TRASPASO"/>
    <d v="2022-01-16T00:00:00"/>
    <n v="1"/>
    <x v="1"/>
    <x v="12"/>
    <x v="6"/>
    <n v="0"/>
    <n v="41960"/>
    <n v="-41960"/>
    <x v="0"/>
    <x v="1"/>
    <n v="9381468"/>
    <x v="9"/>
    <s v="WOM S.A."/>
  </r>
  <r>
    <m/>
    <s v="TRASPASO"/>
    <d v="2022-01-20T00:00:00"/>
    <n v="1"/>
    <x v="3"/>
    <x v="10"/>
    <x v="6"/>
    <n v="80432"/>
    <n v="0"/>
    <n v="80432"/>
    <x v="0"/>
    <x v="1"/>
    <n v="655942"/>
    <x v="5"/>
    <s v="Comercial Mundo Transfer Ltda"/>
  </r>
  <r>
    <m/>
    <s v="TRASPASO"/>
    <d v="2022-01-20T00:00:00"/>
    <n v="1"/>
    <x v="0"/>
    <x v="11"/>
    <x v="6"/>
    <n v="15282"/>
    <n v="0"/>
    <n v="15282"/>
    <x v="0"/>
    <x v="1"/>
    <n v="655942"/>
    <x v="5"/>
    <s v="Comercial Mundo Transfer Ltda"/>
  </r>
  <r>
    <m/>
    <s v="TRASPASO"/>
    <d v="2022-01-20T00:00:00"/>
    <n v="1"/>
    <x v="1"/>
    <x v="12"/>
    <x v="6"/>
    <n v="0"/>
    <n v="95714"/>
    <n v="-95714"/>
    <x v="0"/>
    <x v="1"/>
    <n v="655942"/>
    <x v="5"/>
    <s v="Comercial Mundo Transfer Ltda"/>
  </r>
  <r>
    <m/>
    <s v="TRASPASO"/>
    <d v="2022-01-26T00:00:00"/>
    <n v="1"/>
    <x v="3"/>
    <x v="10"/>
    <x v="6"/>
    <n v="9914"/>
    <n v="0"/>
    <n v="9914"/>
    <x v="0"/>
    <x v="1"/>
    <n v="180116"/>
    <x v="4"/>
    <s v="MATERIAS PRIMAS CLAUDIA ESCOBAR S.A."/>
  </r>
  <r>
    <m/>
    <s v="TRASPASO"/>
    <d v="2022-01-26T00:00:00"/>
    <n v="1"/>
    <x v="0"/>
    <x v="11"/>
    <x v="6"/>
    <n v="1884"/>
    <n v="0"/>
    <n v="1884"/>
    <x v="0"/>
    <x v="1"/>
    <n v="180116"/>
    <x v="4"/>
    <s v="MATERIAS PRIMAS CLAUDIA ESCOBAR S.A."/>
  </r>
  <r>
    <m/>
    <s v="TRASPASO"/>
    <d v="2022-01-26T00:00:00"/>
    <n v="1"/>
    <x v="1"/>
    <x v="12"/>
    <x v="6"/>
    <n v="0"/>
    <n v="11798"/>
    <n v="-11798"/>
    <x v="0"/>
    <x v="1"/>
    <n v="180116"/>
    <x v="4"/>
    <s v="MATERIAS PRIMAS CLAUDIA ESCOBAR S.A."/>
  </r>
  <r>
    <m/>
    <s v="TRASPASO"/>
    <d v="2022-01-26T00:00:00"/>
    <n v="1"/>
    <x v="3"/>
    <x v="10"/>
    <x v="6"/>
    <n v="71730"/>
    <n v="0"/>
    <n v="71730"/>
    <x v="0"/>
    <x v="1"/>
    <n v="656887"/>
    <x v="5"/>
    <s v="Comercial Mundo Transfer Ltda"/>
  </r>
  <r>
    <m/>
    <s v="TRASPASO"/>
    <d v="2022-01-26T00:00:00"/>
    <n v="1"/>
    <x v="0"/>
    <x v="11"/>
    <x v="6"/>
    <n v="13629"/>
    <n v="0"/>
    <n v="13629"/>
    <x v="0"/>
    <x v="1"/>
    <n v="656887"/>
    <x v="5"/>
    <s v="Comercial Mundo Transfer Ltda"/>
  </r>
  <r>
    <m/>
    <s v="TRASPASO"/>
    <d v="2022-01-26T00:00:00"/>
    <n v="1"/>
    <x v="1"/>
    <x v="12"/>
    <x v="6"/>
    <n v="0"/>
    <n v="85359"/>
    <n v="-85359"/>
    <x v="0"/>
    <x v="1"/>
    <n v="656887"/>
    <x v="5"/>
    <s v="Comercial Mundo Transfer Ltda"/>
  </r>
  <r>
    <m/>
    <s v="TRASPASO"/>
    <d v="2022-01-28T00:00:00"/>
    <n v="1"/>
    <x v="3"/>
    <x v="10"/>
    <x v="6"/>
    <n v="188500"/>
    <n v="0"/>
    <n v="188500"/>
    <x v="0"/>
    <x v="1"/>
    <n v="1058"/>
    <x v="10"/>
    <s v="IMPORTADORA Y COMERCIALIZADORA GORILA LIMITADA"/>
  </r>
  <r>
    <m/>
    <s v="TRASPASO"/>
    <d v="2022-01-28T00:00:00"/>
    <n v="1"/>
    <x v="0"/>
    <x v="11"/>
    <x v="6"/>
    <n v="35815"/>
    <n v="0"/>
    <n v="35815"/>
    <x v="0"/>
    <x v="1"/>
    <n v="1058"/>
    <x v="10"/>
    <s v="IMPORTADORA Y COMERCIALIZADORA GORILA LIMITADA"/>
  </r>
  <r>
    <m/>
    <s v="TRASPASO"/>
    <d v="2022-01-28T00:00:00"/>
    <n v="1"/>
    <x v="1"/>
    <x v="12"/>
    <x v="6"/>
    <n v="0"/>
    <n v="224315"/>
    <n v="-224315"/>
    <x v="0"/>
    <x v="1"/>
    <n v="1058"/>
    <x v="10"/>
    <s v="IMPORTADORA Y COMERCIALIZADORA GORILA LIMITADA"/>
  </r>
  <r>
    <m/>
    <s v="TRASPASO"/>
    <d v="2022-01-20T00:00:00"/>
    <n v="1"/>
    <x v="3"/>
    <x v="10"/>
    <x v="6"/>
    <n v="0"/>
    <n v="150811"/>
    <n v="-150811"/>
    <x v="0"/>
    <x v="2"/>
    <n v="35491"/>
    <x v="5"/>
    <s v="Comercial Mundo Transfer Ltda"/>
  </r>
  <r>
    <m/>
    <s v="TRASPASO"/>
    <d v="2022-01-20T00:00:00"/>
    <n v="1"/>
    <x v="0"/>
    <x v="11"/>
    <x v="6"/>
    <n v="0"/>
    <n v="28654"/>
    <n v="-28654"/>
    <x v="0"/>
    <x v="2"/>
    <n v="35491"/>
    <x v="5"/>
    <s v="Comercial Mundo Transfer Ltda"/>
  </r>
  <r>
    <m/>
    <s v="TRASPASO"/>
    <d v="2022-01-20T00:00:00"/>
    <n v="1"/>
    <x v="1"/>
    <x v="12"/>
    <x v="6"/>
    <n v="179465"/>
    <n v="0"/>
    <n v="179465"/>
    <x v="0"/>
    <x v="2"/>
    <n v="35491"/>
    <x v="5"/>
    <s v="Comercial Mundo Transfer Ltda"/>
  </r>
  <r>
    <m/>
    <s v="TRASPASO"/>
    <d v="2022-01-26T00:00:00"/>
    <n v="2"/>
    <x v="3"/>
    <x v="10"/>
    <x v="6"/>
    <n v="222933"/>
    <n v="0"/>
    <n v="222933"/>
    <x v="0"/>
    <x v="1"/>
    <n v="8012"/>
    <x v="11"/>
    <s v="COMERCIALIZADORA COTTONEXT LIMITADA"/>
  </r>
  <r>
    <m/>
    <s v="TRASPASO"/>
    <d v="2022-01-26T00:00:00"/>
    <n v="2"/>
    <x v="0"/>
    <x v="11"/>
    <x v="6"/>
    <n v="42357"/>
    <n v="0"/>
    <n v="42357"/>
    <x v="0"/>
    <x v="1"/>
    <n v="8012"/>
    <x v="11"/>
    <s v="COMERCIALIZADORA COTTONEXT LIMITADA"/>
  </r>
  <r>
    <m/>
    <s v="TRASPASO"/>
    <d v="2022-01-26T00:00:00"/>
    <n v="2"/>
    <x v="1"/>
    <x v="12"/>
    <x v="6"/>
    <n v="0"/>
    <n v="265290"/>
    <n v="-265290"/>
    <x v="0"/>
    <x v="1"/>
    <n v="8012"/>
    <x v="11"/>
    <s v="COMERCIALIZADORA COTTONEXT LIMITADA"/>
  </r>
  <r>
    <m/>
    <s v="TRASPASO"/>
    <d v="2022-01-26T00:00:00"/>
    <n v="2"/>
    <x v="3"/>
    <x v="10"/>
    <x v="6"/>
    <n v="8034"/>
    <n v="0"/>
    <n v="8034"/>
    <x v="0"/>
    <x v="1"/>
    <n v="8014"/>
    <x v="11"/>
    <s v="COMERCIALIZADORA COTTONEXT LIMITADA"/>
  </r>
  <r>
    <m/>
    <s v="TRASPASO"/>
    <d v="2022-01-26T00:00:00"/>
    <n v="2"/>
    <x v="0"/>
    <x v="11"/>
    <x v="6"/>
    <n v="1526"/>
    <n v="0"/>
    <n v="1526"/>
    <x v="0"/>
    <x v="1"/>
    <n v="8014"/>
    <x v="11"/>
    <s v="COMERCIALIZADORA COTTONEXT LIMITADA"/>
  </r>
  <r>
    <m/>
    <s v="TRASPASO"/>
    <d v="2022-01-26T00:00:00"/>
    <n v="2"/>
    <x v="1"/>
    <x v="12"/>
    <x v="6"/>
    <n v="0"/>
    <n v="9560"/>
    <n v="-9560"/>
    <x v="0"/>
    <x v="1"/>
    <n v="8014"/>
    <x v="11"/>
    <s v="COMERCIALIZADORA COTTONEXT LIMITADA"/>
  </r>
  <r>
    <m/>
    <s v="TRASPASO"/>
    <d v="2022-01-28T00:00:00"/>
    <n v="2"/>
    <x v="3"/>
    <x v="10"/>
    <x v="6"/>
    <n v="121788"/>
    <n v="0"/>
    <n v="121788"/>
    <x v="0"/>
    <x v="1"/>
    <n v="285938"/>
    <x v="12"/>
    <s v="COMERCIAL SATEX LTDA"/>
  </r>
  <r>
    <m/>
    <s v="TRASPASO"/>
    <d v="2022-01-28T00:00:00"/>
    <n v="2"/>
    <x v="0"/>
    <x v="11"/>
    <x v="6"/>
    <n v="23140"/>
    <n v="0"/>
    <n v="23140"/>
    <x v="0"/>
    <x v="1"/>
    <n v="285938"/>
    <x v="12"/>
    <s v="COMERCIAL SATEX LTDA"/>
  </r>
  <r>
    <m/>
    <s v="TRASPASO"/>
    <d v="2022-01-28T00:00:00"/>
    <n v="2"/>
    <x v="1"/>
    <x v="12"/>
    <x v="6"/>
    <n v="0"/>
    <n v="144928"/>
    <n v="-144928"/>
    <x v="0"/>
    <x v="1"/>
    <n v="285938"/>
    <x v="12"/>
    <s v="COMERCIAL SATEX LTDA"/>
  </r>
  <r>
    <m/>
    <s v="TRASPASO"/>
    <d v="2022-02-03T00:00:00"/>
    <n v="2"/>
    <x v="3"/>
    <x v="10"/>
    <x v="6"/>
    <n v="109118"/>
    <n v="0"/>
    <n v="109118"/>
    <x v="0"/>
    <x v="1"/>
    <n v="148427"/>
    <x v="3"/>
    <s v="TEXTIL SUMEY LTDA"/>
  </r>
  <r>
    <m/>
    <s v="TRASPASO"/>
    <d v="2022-02-03T00:00:00"/>
    <n v="2"/>
    <x v="0"/>
    <x v="11"/>
    <x v="6"/>
    <n v="20732"/>
    <n v="0"/>
    <n v="20732"/>
    <x v="0"/>
    <x v="1"/>
    <n v="148427"/>
    <x v="3"/>
    <s v="TEXTIL SUMEY LTDA"/>
  </r>
  <r>
    <m/>
    <s v="TRASPASO"/>
    <d v="2022-02-03T00:00:00"/>
    <n v="2"/>
    <x v="1"/>
    <x v="12"/>
    <x v="6"/>
    <n v="0"/>
    <n v="129850"/>
    <n v="-129850"/>
    <x v="0"/>
    <x v="1"/>
    <n v="148427"/>
    <x v="3"/>
    <s v="TEXTIL SUMEY LTDA"/>
  </r>
  <r>
    <m/>
    <s v="TRASPASO"/>
    <d v="2022-02-03T00:00:00"/>
    <n v="2"/>
    <x v="3"/>
    <x v="10"/>
    <x v="6"/>
    <n v="253400"/>
    <n v="0"/>
    <n v="253400"/>
    <x v="0"/>
    <x v="1"/>
    <n v="364690"/>
    <x v="6"/>
    <s v="Texora S.A"/>
  </r>
  <r>
    <m/>
    <s v="TRASPASO"/>
    <d v="2022-02-03T00:00:00"/>
    <n v="2"/>
    <x v="0"/>
    <x v="11"/>
    <x v="6"/>
    <n v="48146"/>
    <n v="0"/>
    <n v="48146"/>
    <x v="0"/>
    <x v="1"/>
    <n v="364690"/>
    <x v="6"/>
    <s v="Texora S.A"/>
  </r>
  <r>
    <m/>
    <s v="TRASPASO"/>
    <d v="2022-02-03T00:00:00"/>
    <n v="2"/>
    <x v="1"/>
    <x v="12"/>
    <x v="6"/>
    <n v="0"/>
    <n v="301546"/>
    <n v="-301546"/>
    <x v="0"/>
    <x v="1"/>
    <n v="364690"/>
    <x v="6"/>
    <s v="Texora S.A"/>
  </r>
  <r>
    <m/>
    <s v="TRASPASO"/>
    <d v="2022-02-07T00:00:00"/>
    <n v="2"/>
    <x v="3"/>
    <x v="10"/>
    <x v="6"/>
    <n v="25169"/>
    <n v="0"/>
    <n v="25169"/>
    <x v="0"/>
    <x v="1"/>
    <n v="40138"/>
    <x v="13"/>
    <s v="INVERSIONES SIRACUSA SPA"/>
  </r>
  <r>
    <m/>
    <s v="TRASPASO"/>
    <d v="2022-02-07T00:00:00"/>
    <n v="2"/>
    <x v="0"/>
    <x v="11"/>
    <x v="6"/>
    <n v="4782"/>
    <n v="0"/>
    <n v="4782"/>
    <x v="0"/>
    <x v="1"/>
    <n v="40138"/>
    <x v="13"/>
    <s v="INVERSIONES SIRACUSA SPA"/>
  </r>
  <r>
    <m/>
    <s v="TRASPASO"/>
    <d v="2022-02-07T00:00:00"/>
    <n v="2"/>
    <x v="1"/>
    <x v="12"/>
    <x v="6"/>
    <n v="0"/>
    <n v="29951"/>
    <n v="-29951"/>
    <x v="0"/>
    <x v="1"/>
    <n v="40138"/>
    <x v="13"/>
    <s v="INVERSIONES SIRACUSA SPA"/>
  </r>
  <r>
    <m/>
    <s v="TRASPASO"/>
    <d v="2022-02-08T00:00:00"/>
    <n v="2"/>
    <x v="3"/>
    <x v="10"/>
    <x v="6"/>
    <n v="80890"/>
    <n v="0"/>
    <n v="80890"/>
    <x v="0"/>
    <x v="1"/>
    <n v="365195"/>
    <x v="6"/>
    <s v="Texora S.A"/>
  </r>
  <r>
    <m/>
    <s v="TRASPASO"/>
    <d v="2022-02-08T00:00:00"/>
    <n v="2"/>
    <x v="0"/>
    <x v="11"/>
    <x v="6"/>
    <n v="15369"/>
    <n v="0"/>
    <n v="15369"/>
    <x v="0"/>
    <x v="1"/>
    <n v="365195"/>
    <x v="6"/>
    <s v="Texora S.A"/>
  </r>
  <r>
    <m/>
    <s v="TRASPASO"/>
    <d v="2022-02-08T00:00:00"/>
    <n v="2"/>
    <x v="1"/>
    <x v="12"/>
    <x v="6"/>
    <n v="0"/>
    <n v="96259"/>
    <n v="-96259"/>
    <x v="0"/>
    <x v="1"/>
    <n v="365195"/>
    <x v="6"/>
    <s v="Texora S.A"/>
  </r>
  <r>
    <m/>
    <s v="TRASPASO"/>
    <d v="2022-02-11T00:00:00"/>
    <n v="2"/>
    <x v="3"/>
    <x v="10"/>
    <x v="6"/>
    <n v="4350"/>
    <n v="0"/>
    <n v="4350"/>
    <x v="0"/>
    <x v="1"/>
    <n v="14497"/>
    <x v="14"/>
    <s v="NOATEX SPA"/>
  </r>
  <r>
    <m/>
    <s v="TRASPASO"/>
    <d v="2022-02-11T00:00:00"/>
    <n v="2"/>
    <x v="0"/>
    <x v="11"/>
    <x v="6"/>
    <n v="827"/>
    <n v="0"/>
    <n v="827"/>
    <x v="0"/>
    <x v="1"/>
    <n v="14497"/>
    <x v="14"/>
    <s v="NOATEX SPA"/>
  </r>
  <r>
    <m/>
    <s v="TRASPASO"/>
    <d v="2022-02-11T00:00:00"/>
    <n v="2"/>
    <x v="1"/>
    <x v="12"/>
    <x v="6"/>
    <n v="0"/>
    <n v="5177"/>
    <n v="-5177"/>
    <x v="0"/>
    <x v="1"/>
    <n v="14497"/>
    <x v="14"/>
    <s v="NOATEX SPA"/>
  </r>
  <r>
    <m/>
    <s v="TRASPASO"/>
    <d v="2022-02-11T00:00:00"/>
    <n v="2"/>
    <x v="3"/>
    <x v="10"/>
    <x v="6"/>
    <n v="55672"/>
    <n v="0"/>
    <n v="55672"/>
    <x v="0"/>
    <x v="1"/>
    <n v="148803"/>
    <x v="3"/>
    <s v="TEXTIL SUMEY LTDA"/>
  </r>
  <r>
    <m/>
    <s v="TRASPASO"/>
    <d v="2022-02-11T00:00:00"/>
    <n v="2"/>
    <x v="0"/>
    <x v="11"/>
    <x v="6"/>
    <n v="10578"/>
    <n v="0"/>
    <n v="10578"/>
    <x v="0"/>
    <x v="1"/>
    <n v="148803"/>
    <x v="3"/>
    <s v="TEXTIL SUMEY LTDA"/>
  </r>
  <r>
    <m/>
    <s v="TRASPASO"/>
    <d v="2022-02-11T00:00:00"/>
    <n v="2"/>
    <x v="1"/>
    <x v="12"/>
    <x v="6"/>
    <n v="0"/>
    <n v="66250"/>
    <n v="-66250"/>
    <x v="0"/>
    <x v="1"/>
    <n v="148803"/>
    <x v="3"/>
    <s v="TEXTIL SUMEY LTDA"/>
  </r>
  <r>
    <m/>
    <s v="TRASPASO"/>
    <d v="2022-02-15T00:00:00"/>
    <n v="2"/>
    <x v="3"/>
    <x v="10"/>
    <x v="6"/>
    <n v="4370"/>
    <n v="0"/>
    <n v="4370"/>
    <x v="0"/>
    <x v="1"/>
    <n v="40406"/>
    <x v="13"/>
    <s v="INVERSIONES SIRACUSA SPA"/>
  </r>
  <r>
    <m/>
    <s v="TRASPASO"/>
    <d v="2022-02-15T00:00:00"/>
    <n v="2"/>
    <x v="0"/>
    <x v="11"/>
    <x v="6"/>
    <n v="830"/>
    <n v="0"/>
    <n v="830"/>
    <x v="0"/>
    <x v="1"/>
    <n v="40406"/>
    <x v="13"/>
    <s v="INVERSIONES SIRACUSA SPA"/>
  </r>
  <r>
    <m/>
    <s v="TRASPASO"/>
    <d v="2022-02-15T00:00:00"/>
    <n v="2"/>
    <x v="1"/>
    <x v="12"/>
    <x v="6"/>
    <n v="0"/>
    <n v="5200"/>
    <n v="-5200"/>
    <x v="0"/>
    <x v="1"/>
    <n v="40406"/>
    <x v="13"/>
    <s v="INVERSIONES SIRACUSA SPA"/>
  </r>
  <r>
    <m/>
    <s v="TRASPASO"/>
    <d v="2022-02-15T00:00:00"/>
    <n v="2"/>
    <x v="3"/>
    <x v="10"/>
    <x v="6"/>
    <n v="12663"/>
    <n v="0"/>
    <n v="12663"/>
    <x v="0"/>
    <x v="1"/>
    <n v="659396"/>
    <x v="5"/>
    <s v="Comercial Mundo Transfer Ltda"/>
  </r>
  <r>
    <m/>
    <s v="TRASPASO"/>
    <d v="2022-02-15T00:00:00"/>
    <n v="2"/>
    <x v="0"/>
    <x v="11"/>
    <x v="6"/>
    <n v="2406"/>
    <n v="0"/>
    <n v="2406"/>
    <x v="0"/>
    <x v="1"/>
    <n v="659396"/>
    <x v="5"/>
    <s v="Comercial Mundo Transfer Ltda"/>
  </r>
  <r>
    <m/>
    <s v="TRASPASO"/>
    <d v="2022-02-15T00:00:00"/>
    <n v="2"/>
    <x v="1"/>
    <x v="12"/>
    <x v="6"/>
    <n v="0"/>
    <n v="15069"/>
    <n v="-15069"/>
    <x v="0"/>
    <x v="1"/>
    <n v="659396"/>
    <x v="5"/>
    <s v="Comercial Mundo Transfer Ltda"/>
  </r>
  <r>
    <m/>
    <s v="TRASPASO"/>
    <d v="2022-02-15T00:00:00"/>
    <n v="2"/>
    <x v="3"/>
    <x v="10"/>
    <x v="6"/>
    <n v="60480"/>
    <n v="0"/>
    <n v="60480"/>
    <x v="0"/>
    <x v="1"/>
    <n v="365933"/>
    <x v="6"/>
    <s v="Texora S.A"/>
  </r>
  <r>
    <m/>
    <s v="TRASPASO"/>
    <d v="2022-02-15T00:00:00"/>
    <n v="2"/>
    <x v="0"/>
    <x v="11"/>
    <x v="6"/>
    <n v="11491"/>
    <n v="0"/>
    <n v="11491"/>
    <x v="0"/>
    <x v="1"/>
    <n v="365933"/>
    <x v="6"/>
    <s v="Texora S.A"/>
  </r>
  <r>
    <m/>
    <s v="TRASPASO"/>
    <d v="2022-02-15T00:00:00"/>
    <n v="2"/>
    <x v="1"/>
    <x v="12"/>
    <x v="6"/>
    <n v="0"/>
    <n v="71971"/>
    <n v="-71971"/>
    <x v="0"/>
    <x v="1"/>
    <n v="365933"/>
    <x v="6"/>
    <s v="Texora S.A"/>
  </r>
  <r>
    <m/>
    <s v="TRASPASO"/>
    <d v="2022-02-16T00:00:00"/>
    <n v="2"/>
    <x v="3"/>
    <x v="10"/>
    <x v="6"/>
    <n v="25750"/>
    <n v="0"/>
    <n v="25750"/>
    <x v="0"/>
    <x v="1"/>
    <n v="365984"/>
    <x v="6"/>
    <s v="Texora S.A"/>
  </r>
  <r>
    <m/>
    <s v="TRASPASO"/>
    <d v="2022-02-16T00:00:00"/>
    <n v="2"/>
    <x v="0"/>
    <x v="11"/>
    <x v="6"/>
    <n v="4893"/>
    <n v="0"/>
    <n v="4893"/>
    <x v="0"/>
    <x v="1"/>
    <n v="365984"/>
    <x v="6"/>
    <s v="Texora S.A"/>
  </r>
  <r>
    <m/>
    <s v="TRASPASO"/>
    <d v="2022-02-16T00:00:00"/>
    <n v="2"/>
    <x v="1"/>
    <x v="12"/>
    <x v="6"/>
    <n v="0"/>
    <n v="30643"/>
    <n v="-30643"/>
    <x v="0"/>
    <x v="1"/>
    <n v="365984"/>
    <x v="6"/>
    <s v="Texora S.A"/>
  </r>
  <r>
    <m/>
    <s v="TRASPASO"/>
    <d v="2022-02-17T00:00:00"/>
    <n v="2"/>
    <x v="3"/>
    <x v="10"/>
    <x v="6"/>
    <n v="86220"/>
    <n v="0"/>
    <n v="86220"/>
    <x v="0"/>
    <x v="1"/>
    <n v="366203"/>
    <x v="6"/>
    <s v="Texora S.A"/>
  </r>
  <r>
    <m/>
    <s v="TRASPASO"/>
    <d v="2022-02-17T00:00:00"/>
    <n v="2"/>
    <x v="0"/>
    <x v="11"/>
    <x v="6"/>
    <n v="16382"/>
    <n v="0"/>
    <n v="16382"/>
    <x v="0"/>
    <x v="1"/>
    <n v="366203"/>
    <x v="6"/>
    <s v="Texora S.A"/>
  </r>
  <r>
    <m/>
    <s v="TRASPASO"/>
    <d v="2022-02-17T00:00:00"/>
    <n v="2"/>
    <x v="1"/>
    <x v="12"/>
    <x v="6"/>
    <n v="0"/>
    <n v="102602"/>
    <n v="-102602"/>
    <x v="0"/>
    <x v="1"/>
    <n v="366203"/>
    <x v="6"/>
    <s v="Texora S.A"/>
  </r>
  <r>
    <m/>
    <s v="TRASPASO"/>
    <d v="2022-02-16T00:00:00"/>
    <n v="2"/>
    <x v="3"/>
    <x v="10"/>
    <x v="6"/>
    <n v="35261"/>
    <n v="0"/>
    <n v="35261"/>
    <x v="0"/>
    <x v="1"/>
    <n v="9596883"/>
    <x v="9"/>
    <s v="WOM S.A."/>
  </r>
  <r>
    <m/>
    <s v="TRASPASO"/>
    <d v="2022-02-16T00:00:00"/>
    <n v="2"/>
    <x v="0"/>
    <x v="11"/>
    <x v="6"/>
    <n v="6699"/>
    <n v="0"/>
    <n v="6699"/>
    <x v="0"/>
    <x v="1"/>
    <n v="9596883"/>
    <x v="9"/>
    <s v="WOM S.A."/>
  </r>
  <r>
    <m/>
    <s v="TRASPASO"/>
    <d v="2022-02-16T00:00:00"/>
    <n v="2"/>
    <x v="1"/>
    <x v="12"/>
    <x v="6"/>
    <n v="0"/>
    <n v="41960"/>
    <n v="-41960"/>
    <x v="0"/>
    <x v="1"/>
    <n v="9596883"/>
    <x v="9"/>
    <s v="WOM S.A."/>
  </r>
  <r>
    <m/>
    <s v="TRASPASO"/>
    <d v="2022-02-21T00:00:00"/>
    <n v="2"/>
    <x v="3"/>
    <x v="10"/>
    <x v="6"/>
    <n v="43783"/>
    <n v="0"/>
    <n v="43783"/>
    <x v="0"/>
    <x v="1"/>
    <n v="660068"/>
    <x v="5"/>
    <s v="Comercial Mundo Transfer Ltda"/>
  </r>
  <r>
    <m/>
    <s v="TRASPASO"/>
    <d v="2022-02-21T00:00:00"/>
    <n v="2"/>
    <x v="0"/>
    <x v="11"/>
    <x v="6"/>
    <n v="8319"/>
    <n v="0"/>
    <n v="8319"/>
    <x v="0"/>
    <x v="1"/>
    <n v="660068"/>
    <x v="5"/>
    <s v="Comercial Mundo Transfer Ltda"/>
  </r>
  <r>
    <m/>
    <s v="TRASPASO"/>
    <d v="2022-02-21T00:00:00"/>
    <n v="2"/>
    <x v="1"/>
    <x v="12"/>
    <x v="6"/>
    <n v="0"/>
    <n v="52102"/>
    <n v="-52102"/>
    <x v="0"/>
    <x v="1"/>
    <n v="660068"/>
    <x v="5"/>
    <s v="Comercial Mundo Transfer Ltda"/>
  </r>
  <r>
    <m/>
    <s v="TRASPASO"/>
    <d v="2022-02-22T00:00:00"/>
    <n v="2"/>
    <x v="3"/>
    <x v="10"/>
    <x v="6"/>
    <n v="39510"/>
    <n v="0"/>
    <n v="39510"/>
    <x v="0"/>
    <x v="1"/>
    <n v="366759"/>
    <x v="6"/>
    <s v="Texora S.A"/>
  </r>
  <r>
    <m/>
    <s v="TRASPASO"/>
    <d v="2022-02-22T00:00:00"/>
    <n v="2"/>
    <x v="0"/>
    <x v="11"/>
    <x v="6"/>
    <n v="7507"/>
    <n v="0"/>
    <n v="7507"/>
    <x v="0"/>
    <x v="1"/>
    <n v="366759"/>
    <x v="6"/>
    <s v="Texora S.A"/>
  </r>
  <r>
    <m/>
    <s v="TRASPASO"/>
    <d v="2022-02-22T00:00:00"/>
    <n v="2"/>
    <x v="1"/>
    <x v="12"/>
    <x v="6"/>
    <n v="0"/>
    <n v="47017"/>
    <n v="-47017"/>
    <x v="0"/>
    <x v="1"/>
    <n v="366759"/>
    <x v="6"/>
    <s v="Texora S.A"/>
  </r>
  <r>
    <m/>
    <s v="TRASPASO"/>
    <d v="2022-02-22T00:00:00"/>
    <n v="2"/>
    <x v="3"/>
    <x v="10"/>
    <x v="6"/>
    <n v="406525"/>
    <n v="0"/>
    <n v="406525"/>
    <x v="0"/>
    <x v="1"/>
    <n v="168743"/>
    <x v="7"/>
    <s v="MICROGEO S.A."/>
  </r>
  <r>
    <m/>
    <s v="TRASPASO"/>
    <d v="2022-02-22T00:00:00"/>
    <n v="2"/>
    <x v="0"/>
    <x v="11"/>
    <x v="6"/>
    <n v="77240"/>
    <n v="0"/>
    <n v="77240"/>
    <x v="0"/>
    <x v="1"/>
    <n v="168743"/>
    <x v="7"/>
    <s v="MICROGEO S.A."/>
  </r>
  <r>
    <m/>
    <s v="TRASPASO"/>
    <d v="2022-02-22T00:00:00"/>
    <n v="2"/>
    <x v="1"/>
    <x v="12"/>
    <x v="6"/>
    <n v="0"/>
    <n v="483765"/>
    <n v="-483765"/>
    <x v="0"/>
    <x v="1"/>
    <n v="168743"/>
    <x v="7"/>
    <s v="MICROGEO S.A."/>
  </r>
  <r>
    <m/>
    <s v="TRASPASO"/>
    <d v="2022-02-22T00:00:00"/>
    <n v="2"/>
    <x v="3"/>
    <x v="10"/>
    <x v="6"/>
    <n v="86580"/>
    <n v="0"/>
    <n v="86580"/>
    <x v="0"/>
    <x v="1"/>
    <n v="366840"/>
    <x v="6"/>
    <s v="Texora S.A"/>
  </r>
  <r>
    <m/>
    <s v="TRASPASO"/>
    <d v="2022-02-22T00:00:00"/>
    <n v="2"/>
    <x v="0"/>
    <x v="11"/>
    <x v="6"/>
    <n v="16450"/>
    <n v="0"/>
    <n v="16450"/>
    <x v="0"/>
    <x v="1"/>
    <n v="366840"/>
    <x v="6"/>
    <s v="Texora S.A"/>
  </r>
  <r>
    <m/>
    <s v="TRASPASO"/>
    <d v="2022-02-22T00:00:00"/>
    <n v="2"/>
    <x v="1"/>
    <x v="12"/>
    <x v="6"/>
    <n v="0"/>
    <n v="103030"/>
    <n v="-103030"/>
    <x v="0"/>
    <x v="1"/>
    <n v="366840"/>
    <x v="6"/>
    <s v="Texora S.A"/>
  </r>
  <r>
    <m/>
    <s v="TRASPASO"/>
    <d v="2022-02-22T00:00:00"/>
    <n v="2"/>
    <x v="3"/>
    <x v="10"/>
    <x v="6"/>
    <n v="52680"/>
    <n v="0"/>
    <n v="52680"/>
    <x v="0"/>
    <x v="1"/>
    <n v="366843"/>
    <x v="6"/>
    <s v="Texora S.A"/>
  </r>
  <r>
    <m/>
    <s v="TRASPASO"/>
    <d v="2022-02-22T00:00:00"/>
    <n v="2"/>
    <x v="0"/>
    <x v="11"/>
    <x v="6"/>
    <n v="10009"/>
    <n v="0"/>
    <n v="10009"/>
    <x v="0"/>
    <x v="1"/>
    <n v="366843"/>
    <x v="6"/>
    <s v="Texora S.A"/>
  </r>
  <r>
    <m/>
    <s v="TRASPASO"/>
    <d v="2022-02-22T00:00:00"/>
    <n v="2"/>
    <x v="1"/>
    <x v="12"/>
    <x v="6"/>
    <n v="0"/>
    <n v="62689"/>
    <n v="-62689"/>
    <x v="0"/>
    <x v="1"/>
    <n v="366843"/>
    <x v="6"/>
    <s v="Texora S.A"/>
  </r>
  <r>
    <m/>
    <s v="TRASPASO"/>
    <d v="2022-02-22T00:00:00"/>
    <n v="2"/>
    <x v="3"/>
    <x v="10"/>
    <x v="6"/>
    <n v="44276"/>
    <n v="0"/>
    <n v="44276"/>
    <x v="0"/>
    <x v="1"/>
    <n v="660287"/>
    <x v="5"/>
    <s v="Comercial Mundo Transfer Ltda"/>
  </r>
  <r>
    <m/>
    <s v="TRASPASO"/>
    <d v="2022-02-22T00:00:00"/>
    <n v="2"/>
    <x v="0"/>
    <x v="11"/>
    <x v="6"/>
    <n v="8412"/>
    <n v="0"/>
    <n v="8412"/>
    <x v="0"/>
    <x v="1"/>
    <n v="660287"/>
    <x v="5"/>
    <s v="Comercial Mundo Transfer Ltda"/>
  </r>
  <r>
    <m/>
    <s v="TRASPASO"/>
    <d v="2022-02-22T00:00:00"/>
    <n v="2"/>
    <x v="1"/>
    <x v="12"/>
    <x v="6"/>
    <n v="0"/>
    <n v="52688"/>
    <n v="-52688"/>
    <x v="0"/>
    <x v="1"/>
    <n v="660287"/>
    <x v="5"/>
    <s v="Comercial Mundo Transfer Ltda"/>
  </r>
  <r>
    <m/>
    <s v="TRASPASO"/>
    <d v="2022-02-22T00:00:00"/>
    <n v="2"/>
    <x v="3"/>
    <x v="10"/>
    <x v="6"/>
    <n v="14749"/>
    <n v="0"/>
    <n v="14749"/>
    <x v="0"/>
    <x v="1"/>
    <n v="288345"/>
    <x v="12"/>
    <s v="COMERCIAL SATEX LTDA"/>
  </r>
  <r>
    <m/>
    <s v="TRASPASO"/>
    <d v="2022-02-22T00:00:00"/>
    <n v="2"/>
    <x v="0"/>
    <x v="11"/>
    <x v="6"/>
    <n v="2802"/>
    <n v="0"/>
    <n v="2802"/>
    <x v="0"/>
    <x v="1"/>
    <n v="288345"/>
    <x v="12"/>
    <s v="COMERCIAL SATEX LTDA"/>
  </r>
  <r>
    <m/>
    <s v="TRASPASO"/>
    <d v="2022-02-22T00:00:00"/>
    <n v="2"/>
    <x v="1"/>
    <x v="12"/>
    <x v="6"/>
    <n v="0"/>
    <n v="17551"/>
    <n v="-17551"/>
    <x v="0"/>
    <x v="1"/>
    <n v="288345"/>
    <x v="12"/>
    <s v="COMERCIAL SATEX LTDA"/>
  </r>
  <r>
    <m/>
    <s v="TRASPASO"/>
    <d v="2022-02-22T00:00:00"/>
    <n v="2"/>
    <x v="3"/>
    <x v="10"/>
    <x v="6"/>
    <n v="46420"/>
    <n v="0"/>
    <n v="46420"/>
    <x v="0"/>
    <x v="1"/>
    <n v="366951"/>
    <x v="6"/>
    <s v="Texora S.A"/>
  </r>
  <r>
    <m/>
    <s v="TRASPASO"/>
    <d v="2022-02-22T00:00:00"/>
    <n v="2"/>
    <x v="0"/>
    <x v="11"/>
    <x v="6"/>
    <n v="8820"/>
    <n v="0"/>
    <n v="8820"/>
    <x v="0"/>
    <x v="1"/>
    <n v="366951"/>
    <x v="6"/>
    <s v="Texora S.A"/>
  </r>
  <r>
    <m/>
    <s v="TRASPASO"/>
    <d v="2022-02-22T00:00:00"/>
    <n v="2"/>
    <x v="1"/>
    <x v="12"/>
    <x v="6"/>
    <n v="0"/>
    <n v="55240"/>
    <n v="-55240"/>
    <x v="0"/>
    <x v="1"/>
    <n v="366951"/>
    <x v="6"/>
    <s v="Texora S.A"/>
  </r>
  <r>
    <m/>
    <s v="TRASPASO"/>
    <d v="2022-02-23T00:00:00"/>
    <n v="2"/>
    <x v="3"/>
    <x v="10"/>
    <x v="6"/>
    <n v="32859"/>
    <n v="0"/>
    <n v="32859"/>
    <x v="0"/>
    <x v="1"/>
    <n v="288454"/>
    <x v="12"/>
    <s v="COMERCIAL SATEX LTDA"/>
  </r>
  <r>
    <m/>
    <s v="TRASPASO"/>
    <d v="2022-02-23T00:00:00"/>
    <n v="2"/>
    <x v="0"/>
    <x v="11"/>
    <x v="6"/>
    <n v="6243"/>
    <n v="0"/>
    <n v="6243"/>
    <x v="0"/>
    <x v="1"/>
    <n v="288454"/>
    <x v="12"/>
    <s v="COMERCIAL SATEX LTDA"/>
  </r>
  <r>
    <m/>
    <s v="TRASPASO"/>
    <d v="2022-02-23T00:00:00"/>
    <n v="2"/>
    <x v="1"/>
    <x v="12"/>
    <x v="6"/>
    <n v="0"/>
    <n v="39102"/>
    <n v="-39102"/>
    <x v="0"/>
    <x v="1"/>
    <n v="288454"/>
    <x v="12"/>
    <s v="COMERCIAL SATEX LTDA"/>
  </r>
  <r>
    <m/>
    <s v="TRASPASO"/>
    <d v="2022-02-23T00:00:00"/>
    <n v="2"/>
    <x v="3"/>
    <x v="10"/>
    <x v="6"/>
    <n v="8739"/>
    <n v="0"/>
    <n v="8739"/>
    <x v="0"/>
    <x v="1"/>
    <n v="40705"/>
    <x v="13"/>
    <s v="INVERSIONES SIRACUSA SPA"/>
  </r>
  <r>
    <m/>
    <s v="TRASPASO"/>
    <d v="2022-02-23T00:00:00"/>
    <n v="2"/>
    <x v="0"/>
    <x v="11"/>
    <x v="6"/>
    <n v="1660"/>
    <n v="0"/>
    <n v="1660"/>
    <x v="0"/>
    <x v="1"/>
    <n v="40705"/>
    <x v="13"/>
    <s v="INVERSIONES SIRACUSA SPA"/>
  </r>
  <r>
    <m/>
    <s v="TRASPASO"/>
    <d v="2022-02-23T00:00:00"/>
    <n v="2"/>
    <x v="1"/>
    <x v="12"/>
    <x v="6"/>
    <n v="0"/>
    <n v="10399"/>
    <n v="-10399"/>
    <x v="0"/>
    <x v="1"/>
    <n v="40705"/>
    <x v="13"/>
    <s v="INVERSIONES SIRACUSA SPA"/>
  </r>
  <r>
    <m/>
    <s v="TRASPASO"/>
    <d v="2022-02-22T00:00:00"/>
    <n v="2"/>
    <x v="3"/>
    <x v="10"/>
    <x v="6"/>
    <n v="135268"/>
    <n v="0"/>
    <n v="135268"/>
    <x v="0"/>
    <x v="1"/>
    <n v="288276"/>
    <x v="12"/>
    <s v="COMERCIAL SATEX LTDA"/>
  </r>
  <r>
    <m/>
    <s v="TRASPASO"/>
    <d v="2022-02-22T00:00:00"/>
    <n v="2"/>
    <x v="0"/>
    <x v="11"/>
    <x v="6"/>
    <n v="25701"/>
    <n v="0"/>
    <n v="25701"/>
    <x v="0"/>
    <x v="1"/>
    <n v="288276"/>
    <x v="12"/>
    <s v="COMERCIAL SATEX LTDA"/>
  </r>
  <r>
    <m/>
    <s v="TRASPASO"/>
    <d v="2022-02-22T00:00:00"/>
    <n v="2"/>
    <x v="1"/>
    <x v="12"/>
    <x v="6"/>
    <n v="0"/>
    <n v="160969"/>
    <n v="-160969"/>
    <x v="0"/>
    <x v="1"/>
    <n v="288276"/>
    <x v="12"/>
    <s v="COMERCIAL SATEX LTDA"/>
  </r>
  <r>
    <m/>
    <s v="TRASPASO"/>
    <d v="2022-02-25T00:00:00"/>
    <n v="2"/>
    <x v="3"/>
    <x v="10"/>
    <x v="6"/>
    <n v="191760"/>
    <n v="0"/>
    <n v="191760"/>
    <x v="0"/>
    <x v="1"/>
    <n v="20973"/>
    <x v="15"/>
    <s v="COMERCIAL TEXTIL LAMAS SPA"/>
  </r>
  <r>
    <m/>
    <s v="TRASPASO"/>
    <d v="2022-02-25T00:00:00"/>
    <n v="2"/>
    <x v="0"/>
    <x v="11"/>
    <x v="6"/>
    <n v="36434"/>
    <n v="0"/>
    <n v="36434"/>
    <x v="0"/>
    <x v="1"/>
    <n v="20973"/>
    <x v="15"/>
    <s v="COMERCIAL TEXTIL LAMAS SPA"/>
  </r>
  <r>
    <m/>
    <s v="TRASPASO"/>
    <d v="2022-02-25T00:00:00"/>
    <n v="2"/>
    <x v="1"/>
    <x v="12"/>
    <x v="6"/>
    <n v="0"/>
    <n v="228194"/>
    <n v="-228194"/>
    <x v="0"/>
    <x v="1"/>
    <n v="20973"/>
    <x v="15"/>
    <s v="COMERCIAL TEXTIL LAMAS SPA"/>
  </r>
  <r>
    <m/>
    <s v="TRASPASO"/>
    <d v="2022-01-31T00:00:00"/>
    <n v="2"/>
    <x v="3"/>
    <x v="10"/>
    <x v="6"/>
    <n v="109244"/>
    <n v="0"/>
    <n v="109244"/>
    <x v="0"/>
    <x v="3"/>
    <n v="78"/>
    <x v="16"/>
    <s v="SIMPLE TAX SPA"/>
  </r>
  <r>
    <m/>
    <s v="TRASPASO"/>
    <d v="2022-01-31T00:00:00"/>
    <n v="2"/>
    <x v="0"/>
    <x v="11"/>
    <x v="6"/>
    <n v="0"/>
    <n v="0"/>
    <n v="0"/>
    <x v="0"/>
    <x v="3"/>
    <n v="78"/>
    <x v="16"/>
    <s v="SIMPLE TAX SPA"/>
  </r>
  <r>
    <m/>
    <s v="TRASPASO"/>
    <d v="2022-01-31T00:00:00"/>
    <n v="2"/>
    <x v="1"/>
    <x v="12"/>
    <x v="6"/>
    <n v="0"/>
    <n v="109244"/>
    <n v="-109244"/>
    <x v="0"/>
    <x v="3"/>
    <n v="78"/>
    <x v="16"/>
    <s v="SIMPLE TAX SPA"/>
  </r>
  <r>
    <m/>
    <s v="TRASPASO"/>
    <d v="2022-03-01T00:00:00"/>
    <n v="3"/>
    <x v="3"/>
    <x v="10"/>
    <x v="6"/>
    <n v="135274"/>
    <n v="0"/>
    <n v="135274"/>
    <x v="0"/>
    <x v="1"/>
    <n v="288988"/>
    <x v="12"/>
    <s v="COMERCIAL SATEX LTDA"/>
  </r>
  <r>
    <m/>
    <s v="TRASPASO"/>
    <d v="2022-03-01T00:00:00"/>
    <n v="3"/>
    <x v="0"/>
    <x v="11"/>
    <x v="6"/>
    <n v="25702"/>
    <n v="0"/>
    <n v="25702"/>
    <x v="0"/>
    <x v="1"/>
    <n v="288988"/>
    <x v="12"/>
    <s v="COMERCIAL SATEX LTDA"/>
  </r>
  <r>
    <m/>
    <s v="TRASPASO"/>
    <d v="2022-03-01T00:00:00"/>
    <n v="3"/>
    <x v="1"/>
    <x v="12"/>
    <x v="6"/>
    <n v="0"/>
    <n v="160976"/>
    <n v="-160976"/>
    <x v="0"/>
    <x v="1"/>
    <n v="288988"/>
    <x v="12"/>
    <s v="COMERCIAL SATEX LTDA"/>
  </r>
  <r>
    <m/>
    <s v="TRASPASO"/>
    <d v="2022-03-10T00:00:00"/>
    <n v="3"/>
    <x v="3"/>
    <x v="10"/>
    <x v="6"/>
    <n v="27227"/>
    <n v="0"/>
    <n v="27227"/>
    <x v="0"/>
    <x v="1"/>
    <n v="151309"/>
    <x v="3"/>
    <s v="TEXTIL SUMEY LTDA"/>
  </r>
  <r>
    <m/>
    <s v="TRASPASO"/>
    <d v="2022-03-10T00:00:00"/>
    <n v="3"/>
    <x v="0"/>
    <x v="11"/>
    <x v="6"/>
    <n v="5173"/>
    <n v="0"/>
    <n v="5173"/>
    <x v="0"/>
    <x v="1"/>
    <n v="151309"/>
    <x v="3"/>
    <s v="TEXTIL SUMEY LTDA"/>
  </r>
  <r>
    <m/>
    <s v="TRASPASO"/>
    <d v="2022-03-10T00:00:00"/>
    <n v="3"/>
    <x v="1"/>
    <x v="12"/>
    <x v="6"/>
    <n v="0"/>
    <n v="32400"/>
    <n v="-32400"/>
    <x v="0"/>
    <x v="1"/>
    <n v="151309"/>
    <x v="3"/>
    <s v="TEXTIL SUMEY LTDA"/>
  </r>
  <r>
    <m/>
    <s v="TRASPASO"/>
    <d v="2022-03-11T00:00:00"/>
    <n v="3"/>
    <x v="3"/>
    <x v="10"/>
    <x v="6"/>
    <n v="85770"/>
    <n v="0"/>
    <n v="85770"/>
    <x v="0"/>
    <x v="1"/>
    <n v="369279"/>
    <x v="6"/>
    <s v="Texora S.A"/>
  </r>
  <r>
    <m/>
    <s v="TRASPASO"/>
    <d v="2022-03-11T00:00:00"/>
    <n v="3"/>
    <x v="0"/>
    <x v="11"/>
    <x v="6"/>
    <n v="16296"/>
    <n v="0"/>
    <n v="16296"/>
    <x v="0"/>
    <x v="1"/>
    <n v="369279"/>
    <x v="6"/>
    <s v="Texora S.A"/>
  </r>
  <r>
    <m/>
    <s v="TRASPASO"/>
    <d v="2022-03-11T00:00:00"/>
    <n v="3"/>
    <x v="1"/>
    <x v="12"/>
    <x v="6"/>
    <n v="0"/>
    <n v="102066"/>
    <n v="-102066"/>
    <x v="0"/>
    <x v="1"/>
    <n v="369279"/>
    <x v="6"/>
    <s v="Texora S.A"/>
  </r>
  <r>
    <m/>
    <s v="TRASPASO"/>
    <d v="2022-03-14T00:00:00"/>
    <n v="3"/>
    <x v="3"/>
    <x v="10"/>
    <x v="6"/>
    <n v="5040"/>
    <n v="0"/>
    <n v="5040"/>
    <x v="0"/>
    <x v="1"/>
    <n v="179"/>
    <x v="17"/>
    <s v="CASA YSS SPA"/>
  </r>
  <r>
    <m/>
    <s v="TRASPASO"/>
    <d v="2022-03-14T00:00:00"/>
    <n v="3"/>
    <x v="0"/>
    <x v="11"/>
    <x v="6"/>
    <n v="958"/>
    <n v="0"/>
    <n v="958"/>
    <x v="0"/>
    <x v="1"/>
    <n v="179"/>
    <x v="17"/>
    <s v="CASA YSS SPA"/>
  </r>
  <r>
    <m/>
    <s v="TRASPASO"/>
    <d v="2022-03-14T00:00:00"/>
    <n v="3"/>
    <x v="1"/>
    <x v="12"/>
    <x v="6"/>
    <n v="0"/>
    <n v="5998"/>
    <n v="-5998"/>
    <x v="0"/>
    <x v="1"/>
    <n v="179"/>
    <x v="17"/>
    <s v="CASA YSS SPA"/>
  </r>
  <r>
    <m/>
    <s v="TRASPASO"/>
    <d v="2022-03-14T00:00:00"/>
    <n v="3"/>
    <x v="3"/>
    <x v="10"/>
    <x v="6"/>
    <n v="20970"/>
    <n v="0"/>
    <n v="20970"/>
    <x v="0"/>
    <x v="1"/>
    <n v="21083"/>
    <x v="15"/>
    <s v="COMERCIAL TEXTIL LAMAS SPA"/>
  </r>
  <r>
    <m/>
    <s v="TRASPASO"/>
    <d v="2022-03-14T00:00:00"/>
    <n v="3"/>
    <x v="0"/>
    <x v="11"/>
    <x v="6"/>
    <n v="3984"/>
    <n v="0"/>
    <n v="3984"/>
    <x v="0"/>
    <x v="1"/>
    <n v="21083"/>
    <x v="15"/>
    <s v="COMERCIAL TEXTIL LAMAS SPA"/>
  </r>
  <r>
    <m/>
    <s v="TRASPASO"/>
    <d v="2022-03-14T00:00:00"/>
    <n v="3"/>
    <x v="1"/>
    <x v="12"/>
    <x v="6"/>
    <n v="0"/>
    <n v="24954"/>
    <n v="-24954"/>
    <x v="0"/>
    <x v="1"/>
    <n v="21083"/>
    <x v="15"/>
    <s v="COMERCIAL TEXTIL LAMAS SPA"/>
  </r>
  <r>
    <m/>
    <s v="TRASPASO"/>
    <d v="2022-03-17T00:00:00"/>
    <n v="3"/>
    <x v="3"/>
    <x v="10"/>
    <x v="6"/>
    <n v="66280"/>
    <n v="0"/>
    <n v="66280"/>
    <x v="0"/>
    <x v="1"/>
    <n v="369993"/>
    <x v="6"/>
    <s v="Texora S.A"/>
  </r>
  <r>
    <m/>
    <s v="TRASPASO"/>
    <d v="2022-03-17T00:00:00"/>
    <n v="3"/>
    <x v="0"/>
    <x v="11"/>
    <x v="6"/>
    <n v="12593"/>
    <n v="0"/>
    <n v="12593"/>
    <x v="0"/>
    <x v="1"/>
    <n v="369993"/>
    <x v="6"/>
    <s v="Texora S.A"/>
  </r>
  <r>
    <m/>
    <s v="TRASPASO"/>
    <d v="2022-03-17T00:00:00"/>
    <n v="3"/>
    <x v="1"/>
    <x v="12"/>
    <x v="6"/>
    <n v="0"/>
    <n v="78873"/>
    <n v="-78873"/>
    <x v="0"/>
    <x v="1"/>
    <n v="369993"/>
    <x v="6"/>
    <s v="Texora S.A"/>
  </r>
  <r>
    <m/>
    <s v="TRASPASO"/>
    <d v="2022-03-21T00:00:00"/>
    <n v="3"/>
    <x v="3"/>
    <x v="10"/>
    <x v="6"/>
    <n v="52913"/>
    <n v="0"/>
    <n v="52913"/>
    <x v="0"/>
    <x v="1"/>
    <n v="291635"/>
    <x v="12"/>
    <s v="COMERCIAL SATEX LTDA"/>
  </r>
  <r>
    <m/>
    <s v="TRASPASO"/>
    <d v="2022-03-21T00:00:00"/>
    <n v="3"/>
    <x v="0"/>
    <x v="11"/>
    <x v="6"/>
    <n v="10053"/>
    <n v="0"/>
    <n v="10053"/>
    <x v="0"/>
    <x v="1"/>
    <n v="291635"/>
    <x v="12"/>
    <s v="COMERCIAL SATEX LTDA"/>
  </r>
  <r>
    <m/>
    <s v="TRASPASO"/>
    <d v="2022-03-21T00:00:00"/>
    <n v="3"/>
    <x v="1"/>
    <x v="12"/>
    <x v="6"/>
    <n v="0"/>
    <n v="62966"/>
    <n v="-62966"/>
    <x v="0"/>
    <x v="1"/>
    <n v="291635"/>
    <x v="12"/>
    <s v="COMERCIAL SATEX LTDA"/>
  </r>
  <r>
    <m/>
    <s v="TRASPASO"/>
    <d v="2022-03-16T00:00:00"/>
    <n v="3"/>
    <x v="3"/>
    <x v="10"/>
    <x v="6"/>
    <n v="36101"/>
    <n v="0"/>
    <n v="36101"/>
    <x v="0"/>
    <x v="1"/>
    <n v="9755772"/>
    <x v="9"/>
    <s v="WOM S.A."/>
  </r>
  <r>
    <m/>
    <s v="TRASPASO"/>
    <d v="2022-03-16T00:00:00"/>
    <n v="3"/>
    <x v="0"/>
    <x v="11"/>
    <x v="6"/>
    <n v="6859"/>
    <n v="0"/>
    <n v="6859"/>
    <x v="0"/>
    <x v="1"/>
    <n v="9755772"/>
    <x v="9"/>
    <s v="WOM S.A."/>
  </r>
  <r>
    <m/>
    <s v="TRASPASO"/>
    <d v="2022-03-16T00:00:00"/>
    <n v="3"/>
    <x v="1"/>
    <x v="12"/>
    <x v="6"/>
    <n v="0"/>
    <n v="42960"/>
    <n v="-42960"/>
    <x v="0"/>
    <x v="1"/>
    <n v="9755772"/>
    <x v="9"/>
    <s v="WOM S.A."/>
  </r>
  <r>
    <m/>
    <s v="TRASPASO"/>
    <d v="2022-03-22T00:00:00"/>
    <n v="3"/>
    <x v="3"/>
    <x v="10"/>
    <x v="6"/>
    <n v="10588"/>
    <n v="0"/>
    <n v="10588"/>
    <x v="0"/>
    <x v="1"/>
    <n v="15933"/>
    <x v="18"/>
    <s v="COMERCIALIZADORA KASPI LTDA."/>
  </r>
  <r>
    <m/>
    <s v="TRASPASO"/>
    <d v="2022-03-22T00:00:00"/>
    <n v="3"/>
    <x v="0"/>
    <x v="11"/>
    <x v="6"/>
    <n v="2012"/>
    <n v="0"/>
    <n v="2012"/>
    <x v="0"/>
    <x v="1"/>
    <n v="15933"/>
    <x v="18"/>
    <s v="COMERCIALIZADORA KASPI LTDA."/>
  </r>
  <r>
    <m/>
    <s v="TRASPASO"/>
    <d v="2022-03-22T00:00:00"/>
    <n v="3"/>
    <x v="1"/>
    <x v="12"/>
    <x v="6"/>
    <n v="0"/>
    <n v="12600"/>
    <n v="-12600"/>
    <x v="0"/>
    <x v="1"/>
    <n v="15933"/>
    <x v="18"/>
    <s v="COMERCIALIZADORA KASPI LTDA."/>
  </r>
  <r>
    <m/>
    <s v="TRASPASO"/>
    <d v="2022-03-24T00:00:00"/>
    <n v="3"/>
    <x v="3"/>
    <x v="10"/>
    <x v="6"/>
    <n v="4969"/>
    <n v="0"/>
    <n v="4969"/>
    <x v="0"/>
    <x v="1"/>
    <n v="665420"/>
    <x v="5"/>
    <s v="Comercial Mundo Transfer Ltda"/>
  </r>
  <r>
    <m/>
    <s v="TRASPASO"/>
    <d v="2022-03-24T00:00:00"/>
    <n v="3"/>
    <x v="0"/>
    <x v="11"/>
    <x v="6"/>
    <n v="944"/>
    <n v="0"/>
    <n v="944"/>
    <x v="0"/>
    <x v="1"/>
    <n v="665420"/>
    <x v="5"/>
    <s v="Comercial Mundo Transfer Ltda"/>
  </r>
  <r>
    <m/>
    <s v="TRASPASO"/>
    <d v="2022-03-24T00:00:00"/>
    <n v="3"/>
    <x v="1"/>
    <x v="12"/>
    <x v="6"/>
    <n v="0"/>
    <n v="5913"/>
    <n v="-5913"/>
    <x v="0"/>
    <x v="1"/>
    <n v="665420"/>
    <x v="5"/>
    <s v="Comercial Mundo Transfer Ltda"/>
  </r>
  <r>
    <m/>
    <s v="TRASPASO"/>
    <d v="2022-03-28T00:00:00"/>
    <n v="3"/>
    <x v="3"/>
    <x v="10"/>
    <x v="6"/>
    <n v="111930"/>
    <n v="0"/>
    <n v="111930"/>
    <x v="0"/>
    <x v="1"/>
    <n v="370973"/>
    <x v="6"/>
    <s v="Texora S.A"/>
  </r>
  <r>
    <m/>
    <s v="TRASPASO"/>
    <d v="2022-03-28T00:00:00"/>
    <n v="3"/>
    <x v="0"/>
    <x v="11"/>
    <x v="6"/>
    <n v="21267"/>
    <n v="0"/>
    <n v="21267"/>
    <x v="0"/>
    <x v="1"/>
    <n v="370973"/>
    <x v="6"/>
    <s v="Texora S.A"/>
  </r>
  <r>
    <m/>
    <s v="TRASPASO"/>
    <d v="2022-03-28T00:00:00"/>
    <n v="3"/>
    <x v="1"/>
    <x v="12"/>
    <x v="6"/>
    <n v="0"/>
    <n v="133197"/>
    <n v="-133197"/>
    <x v="0"/>
    <x v="1"/>
    <n v="370973"/>
    <x v="6"/>
    <s v="Texora S.A"/>
  </r>
  <r>
    <m/>
    <s v="TRASPASO"/>
    <d v="2022-03-28T00:00:00"/>
    <n v="3"/>
    <x v="3"/>
    <x v="10"/>
    <x v="6"/>
    <n v="213520"/>
    <n v="0"/>
    <n v="213520"/>
    <x v="0"/>
    <x v="1"/>
    <n v="370974"/>
    <x v="6"/>
    <s v="Texora S.A"/>
  </r>
  <r>
    <m/>
    <s v="TRASPASO"/>
    <d v="2022-03-28T00:00:00"/>
    <n v="3"/>
    <x v="0"/>
    <x v="11"/>
    <x v="6"/>
    <n v="40569"/>
    <n v="0"/>
    <n v="40569"/>
    <x v="0"/>
    <x v="1"/>
    <n v="370974"/>
    <x v="6"/>
    <s v="Texora S.A"/>
  </r>
  <r>
    <m/>
    <s v="TRASPASO"/>
    <d v="2022-03-28T00:00:00"/>
    <n v="3"/>
    <x v="1"/>
    <x v="12"/>
    <x v="6"/>
    <n v="0"/>
    <n v="254089"/>
    <n v="-254089"/>
    <x v="0"/>
    <x v="1"/>
    <n v="370974"/>
    <x v="6"/>
    <s v="Texora S.A"/>
  </r>
  <r>
    <m/>
    <s v="TRASPASO"/>
    <d v="2022-03-29T00:00:00"/>
    <n v="3"/>
    <x v="3"/>
    <x v="10"/>
    <x v="6"/>
    <n v="7285"/>
    <n v="0"/>
    <n v="7285"/>
    <x v="0"/>
    <x v="1"/>
    <n v="666164"/>
    <x v="5"/>
    <s v="Comercial Mundo Transfer Ltda"/>
  </r>
  <r>
    <m/>
    <s v="TRASPASO"/>
    <d v="2022-03-29T00:00:00"/>
    <n v="3"/>
    <x v="0"/>
    <x v="11"/>
    <x v="6"/>
    <n v="1384"/>
    <n v="0"/>
    <n v="1384"/>
    <x v="0"/>
    <x v="1"/>
    <n v="666164"/>
    <x v="5"/>
    <s v="Comercial Mundo Transfer Ltda"/>
  </r>
  <r>
    <m/>
    <s v="TRASPASO"/>
    <d v="2022-03-29T00:00:00"/>
    <n v="3"/>
    <x v="1"/>
    <x v="12"/>
    <x v="6"/>
    <n v="0"/>
    <n v="8669"/>
    <n v="-8669"/>
    <x v="0"/>
    <x v="1"/>
    <n v="666164"/>
    <x v="5"/>
    <s v="Comercial Mundo Transfer Ltda"/>
  </r>
  <r>
    <m/>
    <s v="TRASPASO"/>
    <d v="2022-03-15T00:00:00"/>
    <n v="3"/>
    <x v="3"/>
    <x v="10"/>
    <x v="6"/>
    <n v="110387"/>
    <n v="0"/>
    <n v="110387"/>
    <x v="0"/>
    <x v="3"/>
    <n v="84"/>
    <x v="16"/>
    <s v="SIMPLE TAX SPA"/>
  </r>
  <r>
    <m/>
    <s v="TRASPASO"/>
    <d v="2022-03-15T00:00:00"/>
    <n v="3"/>
    <x v="0"/>
    <x v="11"/>
    <x v="6"/>
    <n v="0"/>
    <n v="0"/>
    <n v="0"/>
    <x v="0"/>
    <x v="3"/>
    <n v="84"/>
    <x v="16"/>
    <s v="SIMPLE TAX SPA"/>
  </r>
  <r>
    <m/>
    <s v="TRASPASO"/>
    <d v="2022-03-15T00:00:00"/>
    <n v="3"/>
    <x v="1"/>
    <x v="12"/>
    <x v="6"/>
    <n v="0"/>
    <n v="110387"/>
    <n v="-110387"/>
    <x v="0"/>
    <x v="3"/>
    <n v="84"/>
    <x v="16"/>
    <s v="SIMPLE TAX SPA"/>
  </r>
  <r>
    <m/>
    <s v="TRASPASO"/>
    <d v="2022-03-24T00:00:00"/>
    <n v="4"/>
    <x v="3"/>
    <x v="10"/>
    <x v="6"/>
    <n v="57110"/>
    <n v="0"/>
    <n v="57110"/>
    <x v="0"/>
    <x v="1"/>
    <n v="292136"/>
    <x v="12"/>
    <s v="COMERCIAL SATEX LTDA"/>
  </r>
  <r>
    <m/>
    <s v="TRASPASO"/>
    <d v="2022-03-24T00:00:00"/>
    <n v="4"/>
    <x v="0"/>
    <x v="11"/>
    <x v="6"/>
    <n v="10851"/>
    <n v="0"/>
    <n v="10851"/>
    <x v="0"/>
    <x v="1"/>
    <n v="292136"/>
    <x v="12"/>
    <s v="COMERCIAL SATEX LTDA"/>
  </r>
  <r>
    <m/>
    <s v="TRASPASO"/>
    <d v="2022-03-24T00:00:00"/>
    <n v="4"/>
    <x v="1"/>
    <x v="12"/>
    <x v="6"/>
    <n v="0"/>
    <n v="67961"/>
    <n v="-67961"/>
    <x v="0"/>
    <x v="1"/>
    <n v="292136"/>
    <x v="12"/>
    <s v="COMERCIAL SATEX LTDA"/>
  </r>
  <r>
    <m/>
    <s v="TRASPASO"/>
    <d v="2022-03-28T00:00:00"/>
    <n v="4"/>
    <x v="3"/>
    <x v="10"/>
    <x v="6"/>
    <n v="182925"/>
    <n v="0"/>
    <n v="182925"/>
    <x v="0"/>
    <x v="1"/>
    <n v="170389"/>
    <x v="7"/>
    <s v="MICROGEO S.A."/>
  </r>
  <r>
    <m/>
    <s v="TRASPASO"/>
    <d v="2022-03-28T00:00:00"/>
    <n v="4"/>
    <x v="0"/>
    <x v="11"/>
    <x v="6"/>
    <n v="34756"/>
    <n v="0"/>
    <n v="34756"/>
    <x v="0"/>
    <x v="1"/>
    <n v="170389"/>
    <x v="7"/>
    <s v="MICROGEO S.A."/>
  </r>
  <r>
    <m/>
    <s v="TRASPASO"/>
    <d v="2022-03-28T00:00:00"/>
    <n v="4"/>
    <x v="1"/>
    <x v="12"/>
    <x v="6"/>
    <n v="0"/>
    <n v="217681"/>
    <n v="-217681"/>
    <x v="0"/>
    <x v="1"/>
    <n v="170389"/>
    <x v="7"/>
    <s v="MICROGEO S.A."/>
  </r>
  <r>
    <m/>
    <s v="TRASPASO"/>
    <d v="2022-03-29T00:00:00"/>
    <n v="4"/>
    <x v="3"/>
    <x v="10"/>
    <x v="6"/>
    <n v="5183"/>
    <n v="0"/>
    <n v="5183"/>
    <x v="0"/>
    <x v="1"/>
    <n v="292701"/>
    <x v="12"/>
    <s v="COMERCIAL SATEX LTDA"/>
  </r>
  <r>
    <m/>
    <s v="TRASPASO"/>
    <d v="2022-03-29T00:00:00"/>
    <n v="4"/>
    <x v="0"/>
    <x v="11"/>
    <x v="6"/>
    <n v="985"/>
    <n v="0"/>
    <n v="985"/>
    <x v="0"/>
    <x v="1"/>
    <n v="292701"/>
    <x v="12"/>
    <s v="COMERCIAL SATEX LTDA"/>
  </r>
  <r>
    <m/>
    <s v="TRASPASO"/>
    <d v="2022-03-29T00:00:00"/>
    <n v="4"/>
    <x v="1"/>
    <x v="12"/>
    <x v="6"/>
    <n v="0"/>
    <n v="6168"/>
    <n v="-6168"/>
    <x v="0"/>
    <x v="1"/>
    <n v="292701"/>
    <x v="12"/>
    <s v="COMERCIAL SATEX LTDA"/>
  </r>
  <r>
    <m/>
    <s v="TRASPASO"/>
    <d v="2022-03-29T00:00:00"/>
    <n v="4"/>
    <x v="3"/>
    <x v="10"/>
    <x v="6"/>
    <n v="44100"/>
    <n v="0"/>
    <n v="44100"/>
    <x v="0"/>
    <x v="1"/>
    <n v="1725"/>
    <x v="19"/>
    <s v="TEXTIL HAPI LIMITADA"/>
  </r>
  <r>
    <m/>
    <s v="TRASPASO"/>
    <d v="2022-03-29T00:00:00"/>
    <n v="4"/>
    <x v="0"/>
    <x v="11"/>
    <x v="6"/>
    <n v="8379"/>
    <n v="0"/>
    <n v="8379"/>
    <x v="0"/>
    <x v="1"/>
    <n v="1725"/>
    <x v="19"/>
    <s v="TEXTIL HAPI LIMITADA"/>
  </r>
  <r>
    <m/>
    <s v="TRASPASO"/>
    <d v="2022-03-29T00:00:00"/>
    <n v="4"/>
    <x v="1"/>
    <x v="12"/>
    <x v="6"/>
    <n v="0"/>
    <n v="52479"/>
    <n v="-52479"/>
    <x v="0"/>
    <x v="1"/>
    <n v="1725"/>
    <x v="19"/>
    <s v="TEXTIL HAPI LIMITADA"/>
  </r>
  <r>
    <m/>
    <s v="TRASPASO"/>
    <d v="2022-04-04T00:00:00"/>
    <n v="4"/>
    <x v="3"/>
    <x v="10"/>
    <x v="6"/>
    <n v="65126"/>
    <n v="0"/>
    <n v="65126"/>
    <x v="0"/>
    <x v="1"/>
    <n v="152687"/>
    <x v="3"/>
    <s v="TEXTIL SUMEY LTDA"/>
  </r>
  <r>
    <m/>
    <s v="TRASPASO"/>
    <d v="2022-04-04T00:00:00"/>
    <n v="4"/>
    <x v="0"/>
    <x v="11"/>
    <x v="6"/>
    <n v="12374"/>
    <n v="0"/>
    <n v="12374"/>
    <x v="0"/>
    <x v="1"/>
    <n v="152687"/>
    <x v="3"/>
    <s v="TEXTIL SUMEY LTDA"/>
  </r>
  <r>
    <m/>
    <s v="TRASPASO"/>
    <d v="2022-04-04T00:00:00"/>
    <n v="4"/>
    <x v="1"/>
    <x v="12"/>
    <x v="6"/>
    <n v="0"/>
    <n v="77500"/>
    <n v="-77500"/>
    <x v="0"/>
    <x v="1"/>
    <n v="152687"/>
    <x v="3"/>
    <s v="TEXTIL SUMEY LTDA"/>
  </r>
  <r>
    <m/>
    <s v="TRASPASO"/>
    <d v="2022-04-04T00:00:00"/>
    <n v="4"/>
    <x v="3"/>
    <x v="10"/>
    <x v="6"/>
    <n v="267800"/>
    <n v="0"/>
    <n v="267800"/>
    <x v="0"/>
    <x v="1"/>
    <n v="372197"/>
    <x v="6"/>
    <s v="Texora S.A"/>
  </r>
  <r>
    <m/>
    <s v="TRASPASO"/>
    <d v="2022-04-04T00:00:00"/>
    <n v="4"/>
    <x v="0"/>
    <x v="11"/>
    <x v="6"/>
    <n v="50882"/>
    <n v="0"/>
    <n v="50882"/>
    <x v="0"/>
    <x v="1"/>
    <n v="372197"/>
    <x v="6"/>
    <s v="Texora S.A"/>
  </r>
  <r>
    <m/>
    <s v="TRASPASO"/>
    <d v="2022-04-04T00:00:00"/>
    <n v="4"/>
    <x v="1"/>
    <x v="12"/>
    <x v="6"/>
    <n v="0"/>
    <n v="318682"/>
    <n v="-318682"/>
    <x v="0"/>
    <x v="1"/>
    <n v="372197"/>
    <x v="6"/>
    <s v="Texora S.A"/>
  </r>
  <r>
    <m/>
    <s v="TRASPASO"/>
    <d v="2022-04-04T00:00:00"/>
    <n v="4"/>
    <x v="3"/>
    <x v="10"/>
    <x v="6"/>
    <n v="78530"/>
    <n v="0"/>
    <n v="78530"/>
    <x v="0"/>
    <x v="1"/>
    <n v="372214"/>
    <x v="6"/>
    <s v="Texora S.A"/>
  </r>
  <r>
    <m/>
    <s v="TRASPASO"/>
    <d v="2022-04-04T00:00:00"/>
    <n v="4"/>
    <x v="0"/>
    <x v="11"/>
    <x v="6"/>
    <n v="14921"/>
    <n v="0"/>
    <n v="14921"/>
    <x v="0"/>
    <x v="1"/>
    <n v="372214"/>
    <x v="6"/>
    <s v="Texora S.A"/>
  </r>
  <r>
    <m/>
    <s v="TRASPASO"/>
    <d v="2022-04-04T00:00:00"/>
    <n v="4"/>
    <x v="1"/>
    <x v="12"/>
    <x v="6"/>
    <n v="0"/>
    <n v="93451"/>
    <n v="-93451"/>
    <x v="0"/>
    <x v="1"/>
    <n v="372214"/>
    <x v="6"/>
    <s v="Texora S.A"/>
  </r>
  <r>
    <m/>
    <s v="TRASPASO"/>
    <d v="2022-04-05T00:00:00"/>
    <n v="4"/>
    <x v="3"/>
    <x v="10"/>
    <x v="6"/>
    <n v="168674"/>
    <n v="0"/>
    <n v="168674"/>
    <x v="0"/>
    <x v="1"/>
    <n v="293831"/>
    <x v="12"/>
    <s v="COMERCIAL SATEX LTDA"/>
  </r>
  <r>
    <m/>
    <s v="TRASPASO"/>
    <d v="2022-04-05T00:00:00"/>
    <n v="4"/>
    <x v="0"/>
    <x v="11"/>
    <x v="6"/>
    <n v="32048"/>
    <n v="0"/>
    <n v="32048"/>
    <x v="0"/>
    <x v="1"/>
    <n v="293831"/>
    <x v="12"/>
    <s v="COMERCIAL SATEX LTDA"/>
  </r>
  <r>
    <m/>
    <s v="TRASPASO"/>
    <d v="2022-04-05T00:00:00"/>
    <n v="4"/>
    <x v="1"/>
    <x v="12"/>
    <x v="6"/>
    <n v="0"/>
    <n v="200722"/>
    <n v="-200722"/>
    <x v="0"/>
    <x v="1"/>
    <n v="293831"/>
    <x v="12"/>
    <s v="COMERCIAL SATEX LTDA"/>
  </r>
  <r>
    <m/>
    <s v="TRASPASO"/>
    <d v="2022-04-07T00:00:00"/>
    <n v="4"/>
    <x v="3"/>
    <x v="10"/>
    <x v="6"/>
    <n v="70000"/>
    <n v="0"/>
    <n v="70000"/>
    <x v="0"/>
    <x v="1"/>
    <n v="1430"/>
    <x v="20"/>
    <s v="CONFECCIONES GUTIERREZ Y ARAOS LIMITADA"/>
  </r>
  <r>
    <m/>
    <s v="TRASPASO"/>
    <d v="2022-04-07T00:00:00"/>
    <n v="4"/>
    <x v="0"/>
    <x v="11"/>
    <x v="6"/>
    <n v="13300"/>
    <n v="0"/>
    <n v="13300"/>
    <x v="0"/>
    <x v="1"/>
    <n v="1430"/>
    <x v="20"/>
    <s v="CONFECCIONES GUTIERREZ Y ARAOS LIMITADA"/>
  </r>
  <r>
    <m/>
    <s v="TRASPASO"/>
    <d v="2022-04-07T00:00:00"/>
    <n v="4"/>
    <x v="1"/>
    <x v="12"/>
    <x v="6"/>
    <n v="0"/>
    <n v="83300"/>
    <n v="-83300"/>
    <x v="0"/>
    <x v="1"/>
    <n v="1430"/>
    <x v="20"/>
    <s v="CONFECCIONES GUTIERREZ Y ARAOS LIMITADA"/>
  </r>
  <r>
    <m/>
    <s v="TRASPASO"/>
    <d v="2022-04-08T00:00:00"/>
    <n v="4"/>
    <x v="3"/>
    <x v="10"/>
    <x v="6"/>
    <n v="299260"/>
    <n v="0"/>
    <n v="299260"/>
    <x v="0"/>
    <x v="1"/>
    <n v="373171"/>
    <x v="6"/>
    <s v="Texora S.A"/>
  </r>
  <r>
    <m/>
    <s v="TRASPASO"/>
    <d v="2022-04-08T00:00:00"/>
    <n v="4"/>
    <x v="0"/>
    <x v="11"/>
    <x v="6"/>
    <n v="56859"/>
    <n v="0"/>
    <n v="56859"/>
    <x v="0"/>
    <x v="1"/>
    <n v="373171"/>
    <x v="6"/>
    <s v="Texora S.A"/>
  </r>
  <r>
    <m/>
    <s v="TRASPASO"/>
    <d v="2022-04-08T00:00:00"/>
    <n v="4"/>
    <x v="1"/>
    <x v="12"/>
    <x v="6"/>
    <n v="0"/>
    <n v="356119"/>
    <n v="-356119"/>
    <x v="0"/>
    <x v="1"/>
    <n v="373171"/>
    <x v="6"/>
    <s v="Texora S.A"/>
  </r>
  <r>
    <m/>
    <s v="TRASPASO"/>
    <d v="2022-04-08T00:00:00"/>
    <n v="4"/>
    <x v="3"/>
    <x v="10"/>
    <x v="6"/>
    <n v="365170"/>
    <n v="0"/>
    <n v="365170"/>
    <x v="0"/>
    <x v="1"/>
    <n v="373218"/>
    <x v="6"/>
    <s v="Texora S.A"/>
  </r>
  <r>
    <m/>
    <s v="TRASPASO"/>
    <d v="2022-04-08T00:00:00"/>
    <n v="4"/>
    <x v="0"/>
    <x v="11"/>
    <x v="6"/>
    <n v="69382"/>
    <n v="0"/>
    <n v="69382"/>
    <x v="0"/>
    <x v="1"/>
    <n v="373218"/>
    <x v="6"/>
    <s v="Texora S.A"/>
  </r>
  <r>
    <m/>
    <s v="TRASPASO"/>
    <d v="2022-04-08T00:00:00"/>
    <n v="4"/>
    <x v="1"/>
    <x v="12"/>
    <x v="6"/>
    <n v="0"/>
    <n v="434552"/>
    <n v="-434552"/>
    <x v="0"/>
    <x v="1"/>
    <n v="373218"/>
    <x v="6"/>
    <s v="Texora S.A"/>
  </r>
  <r>
    <m/>
    <s v="TRASPASO"/>
    <d v="2022-04-12T00:00:00"/>
    <n v="4"/>
    <x v="3"/>
    <x v="10"/>
    <x v="6"/>
    <n v="4370"/>
    <n v="0"/>
    <n v="4370"/>
    <x v="0"/>
    <x v="1"/>
    <n v="42459"/>
    <x v="13"/>
    <s v="INVERSIONES SIRACUSA SPA"/>
  </r>
  <r>
    <m/>
    <s v="TRASPASO"/>
    <d v="2022-04-12T00:00:00"/>
    <n v="4"/>
    <x v="0"/>
    <x v="11"/>
    <x v="6"/>
    <n v="830"/>
    <n v="0"/>
    <n v="830"/>
    <x v="0"/>
    <x v="1"/>
    <n v="42459"/>
    <x v="13"/>
    <s v="INVERSIONES SIRACUSA SPA"/>
  </r>
  <r>
    <m/>
    <s v="TRASPASO"/>
    <d v="2022-04-12T00:00:00"/>
    <n v="4"/>
    <x v="1"/>
    <x v="12"/>
    <x v="6"/>
    <n v="0"/>
    <n v="5200"/>
    <n v="-5200"/>
    <x v="0"/>
    <x v="1"/>
    <n v="42459"/>
    <x v="13"/>
    <s v="INVERSIONES SIRACUSA SPA"/>
  </r>
  <r>
    <m/>
    <s v="TRASPASO"/>
    <d v="2022-04-12T00:00:00"/>
    <n v="4"/>
    <x v="3"/>
    <x v="10"/>
    <x v="6"/>
    <n v="69667"/>
    <n v="0"/>
    <n v="69667"/>
    <x v="0"/>
    <x v="1"/>
    <n v="294966"/>
    <x v="12"/>
    <s v="COMERCIAL SATEX LTDA"/>
  </r>
  <r>
    <m/>
    <s v="TRASPASO"/>
    <d v="2022-04-12T00:00:00"/>
    <n v="4"/>
    <x v="0"/>
    <x v="11"/>
    <x v="6"/>
    <n v="13237"/>
    <n v="0"/>
    <n v="13237"/>
    <x v="0"/>
    <x v="1"/>
    <n v="294966"/>
    <x v="12"/>
    <s v="COMERCIAL SATEX LTDA"/>
  </r>
  <r>
    <m/>
    <s v="TRASPASO"/>
    <d v="2022-04-12T00:00:00"/>
    <n v="4"/>
    <x v="1"/>
    <x v="12"/>
    <x v="6"/>
    <n v="0"/>
    <n v="82904"/>
    <n v="-82904"/>
    <x v="0"/>
    <x v="1"/>
    <n v="294966"/>
    <x v="12"/>
    <s v="COMERCIAL SATEX LTDA"/>
  </r>
  <r>
    <m/>
    <s v="TRASPASO"/>
    <d v="2022-04-12T00:00:00"/>
    <n v="4"/>
    <x v="3"/>
    <x v="10"/>
    <x v="6"/>
    <n v="16126"/>
    <n v="0"/>
    <n v="16126"/>
    <x v="0"/>
    <x v="1"/>
    <n v="28784"/>
    <x v="21"/>
    <s v="SOCIEDAD TEXORA WORKWEAR STORE CHILE SPA"/>
  </r>
  <r>
    <m/>
    <s v="TRASPASO"/>
    <d v="2022-04-12T00:00:00"/>
    <n v="4"/>
    <x v="0"/>
    <x v="11"/>
    <x v="6"/>
    <n v="3064"/>
    <n v="0"/>
    <n v="3064"/>
    <x v="0"/>
    <x v="1"/>
    <n v="28784"/>
    <x v="21"/>
    <s v="SOCIEDAD TEXORA WORKWEAR STORE CHILE SPA"/>
  </r>
  <r>
    <m/>
    <s v="TRASPASO"/>
    <d v="2022-04-12T00:00:00"/>
    <n v="4"/>
    <x v="1"/>
    <x v="12"/>
    <x v="6"/>
    <n v="0"/>
    <n v="19190"/>
    <n v="-19190"/>
    <x v="0"/>
    <x v="1"/>
    <n v="28784"/>
    <x v="21"/>
    <s v="SOCIEDAD TEXORA WORKWEAR STORE CHILE SPA"/>
  </r>
  <r>
    <m/>
    <s v="TRASPASO"/>
    <d v="2022-04-12T00:00:00"/>
    <n v="4"/>
    <x v="3"/>
    <x v="10"/>
    <x v="6"/>
    <n v="100000"/>
    <n v="0"/>
    <n v="100000"/>
    <x v="0"/>
    <x v="1"/>
    <n v="625"/>
    <x v="22"/>
    <s v="IMPORTADORA Y EXPORTADORA FUMI ZZ LIMITADA"/>
  </r>
  <r>
    <m/>
    <s v="TRASPASO"/>
    <d v="2022-04-12T00:00:00"/>
    <n v="4"/>
    <x v="0"/>
    <x v="11"/>
    <x v="6"/>
    <n v="19000"/>
    <n v="0"/>
    <n v="19000"/>
    <x v="0"/>
    <x v="1"/>
    <n v="625"/>
    <x v="22"/>
    <s v="IMPORTADORA Y EXPORTADORA FUMI ZZ LIMITADA"/>
  </r>
  <r>
    <m/>
    <s v="TRASPASO"/>
    <d v="2022-04-12T00:00:00"/>
    <n v="4"/>
    <x v="1"/>
    <x v="12"/>
    <x v="6"/>
    <n v="0"/>
    <n v="119000"/>
    <n v="-119000"/>
    <x v="0"/>
    <x v="1"/>
    <n v="625"/>
    <x v="22"/>
    <s v="IMPORTADORA Y EXPORTADORA FUMI ZZ LIMITADA"/>
  </r>
  <r>
    <m/>
    <s v="TRASPASO"/>
    <d v="2022-04-13T00:00:00"/>
    <n v="4"/>
    <x v="3"/>
    <x v="10"/>
    <x v="6"/>
    <n v="113000"/>
    <n v="0"/>
    <n v="113000"/>
    <x v="0"/>
    <x v="1"/>
    <n v="373775"/>
    <x v="6"/>
    <s v="Texora S.A"/>
  </r>
  <r>
    <m/>
    <s v="TRASPASO"/>
    <d v="2022-04-13T00:00:00"/>
    <n v="4"/>
    <x v="0"/>
    <x v="11"/>
    <x v="6"/>
    <n v="21470"/>
    <n v="0"/>
    <n v="21470"/>
    <x v="0"/>
    <x v="1"/>
    <n v="373775"/>
    <x v="6"/>
    <s v="Texora S.A"/>
  </r>
  <r>
    <m/>
    <s v="TRASPASO"/>
    <d v="2022-04-13T00:00:00"/>
    <n v="4"/>
    <x v="1"/>
    <x v="12"/>
    <x v="6"/>
    <n v="0"/>
    <n v="134470"/>
    <n v="-134470"/>
    <x v="0"/>
    <x v="1"/>
    <n v="373775"/>
    <x v="6"/>
    <s v="Texora S.A"/>
  </r>
  <r>
    <m/>
    <s v="TRASPASO"/>
    <d v="2022-04-14T00:00:00"/>
    <n v="4"/>
    <x v="3"/>
    <x v="10"/>
    <x v="6"/>
    <n v="190348"/>
    <n v="0"/>
    <n v="190348"/>
    <x v="0"/>
    <x v="1"/>
    <n v="171415"/>
    <x v="7"/>
    <s v="MICROGEO S.A."/>
  </r>
  <r>
    <m/>
    <s v="TRASPASO"/>
    <d v="2022-04-14T00:00:00"/>
    <n v="4"/>
    <x v="0"/>
    <x v="11"/>
    <x v="6"/>
    <n v="36166"/>
    <n v="0"/>
    <n v="36166"/>
    <x v="0"/>
    <x v="1"/>
    <n v="171415"/>
    <x v="7"/>
    <s v="MICROGEO S.A."/>
  </r>
  <r>
    <m/>
    <s v="TRASPASO"/>
    <d v="2022-04-14T00:00:00"/>
    <n v="4"/>
    <x v="1"/>
    <x v="12"/>
    <x v="6"/>
    <n v="0"/>
    <n v="226514"/>
    <n v="-226514"/>
    <x v="0"/>
    <x v="1"/>
    <n v="171415"/>
    <x v="7"/>
    <s v="MICROGEO S.A."/>
  </r>
  <r>
    <m/>
    <s v="TRASPASO"/>
    <d v="2022-04-18T00:00:00"/>
    <n v="4"/>
    <x v="3"/>
    <x v="10"/>
    <x v="6"/>
    <n v="724540"/>
    <n v="0"/>
    <n v="724540"/>
    <x v="0"/>
    <x v="1"/>
    <n v="374426"/>
    <x v="6"/>
    <s v="Texora S.A"/>
  </r>
  <r>
    <m/>
    <s v="TRASPASO"/>
    <d v="2022-04-18T00:00:00"/>
    <n v="4"/>
    <x v="0"/>
    <x v="11"/>
    <x v="6"/>
    <n v="137663"/>
    <n v="0"/>
    <n v="137663"/>
    <x v="0"/>
    <x v="1"/>
    <n v="374426"/>
    <x v="6"/>
    <s v="Texora S.A"/>
  </r>
  <r>
    <m/>
    <s v="TRASPASO"/>
    <d v="2022-04-18T00:00:00"/>
    <n v="4"/>
    <x v="1"/>
    <x v="12"/>
    <x v="6"/>
    <n v="0"/>
    <n v="862203"/>
    <n v="-862203"/>
    <x v="0"/>
    <x v="1"/>
    <n v="374426"/>
    <x v="6"/>
    <s v="Texora S.A"/>
  </r>
  <r>
    <m/>
    <s v="TRASPASO"/>
    <d v="2022-04-18T00:00:00"/>
    <n v="4"/>
    <x v="3"/>
    <x v="10"/>
    <x v="6"/>
    <n v="241840"/>
    <n v="0"/>
    <n v="241840"/>
    <x v="0"/>
    <x v="1"/>
    <n v="374427"/>
    <x v="6"/>
    <s v="Texora S.A"/>
  </r>
  <r>
    <m/>
    <s v="TRASPASO"/>
    <d v="2022-04-18T00:00:00"/>
    <n v="4"/>
    <x v="0"/>
    <x v="11"/>
    <x v="6"/>
    <n v="45950"/>
    <n v="0"/>
    <n v="45950"/>
    <x v="0"/>
    <x v="1"/>
    <n v="374427"/>
    <x v="6"/>
    <s v="Texora S.A"/>
  </r>
  <r>
    <m/>
    <s v="TRASPASO"/>
    <d v="2022-04-18T00:00:00"/>
    <n v="4"/>
    <x v="1"/>
    <x v="12"/>
    <x v="6"/>
    <n v="0"/>
    <n v="287790"/>
    <n v="-287790"/>
    <x v="0"/>
    <x v="1"/>
    <n v="374427"/>
    <x v="6"/>
    <s v="Texora S.A"/>
  </r>
  <r>
    <m/>
    <s v="TRASPASO"/>
    <d v="2022-04-20T00:00:00"/>
    <n v="4"/>
    <x v="3"/>
    <x v="10"/>
    <x v="6"/>
    <n v="200341"/>
    <n v="0"/>
    <n v="200341"/>
    <x v="0"/>
    <x v="1"/>
    <n v="670124"/>
    <x v="5"/>
    <s v="Comercial Mundo Transfer Ltda"/>
  </r>
  <r>
    <m/>
    <s v="TRASPASO"/>
    <d v="2022-04-20T00:00:00"/>
    <n v="4"/>
    <x v="0"/>
    <x v="11"/>
    <x v="6"/>
    <n v="38065"/>
    <n v="0"/>
    <n v="38065"/>
    <x v="0"/>
    <x v="1"/>
    <n v="670124"/>
    <x v="5"/>
    <s v="Comercial Mundo Transfer Ltda"/>
  </r>
  <r>
    <m/>
    <s v="TRASPASO"/>
    <d v="2022-04-20T00:00:00"/>
    <n v="4"/>
    <x v="1"/>
    <x v="12"/>
    <x v="6"/>
    <n v="0"/>
    <n v="238406"/>
    <n v="-238406"/>
    <x v="0"/>
    <x v="1"/>
    <n v="670124"/>
    <x v="5"/>
    <s v="Comercial Mundo Transfer Ltda"/>
  </r>
  <r>
    <m/>
    <s v="TRASPASO"/>
    <d v="2022-04-20T00:00:00"/>
    <n v="4"/>
    <x v="3"/>
    <x v="10"/>
    <x v="6"/>
    <n v="56550"/>
    <n v="0"/>
    <n v="56550"/>
    <x v="0"/>
    <x v="1"/>
    <n v="345161"/>
    <x v="23"/>
    <s v="Sociedad Importadora Maritex Spa"/>
  </r>
  <r>
    <m/>
    <s v="TRASPASO"/>
    <d v="2022-04-20T00:00:00"/>
    <n v="4"/>
    <x v="0"/>
    <x v="11"/>
    <x v="6"/>
    <n v="10745"/>
    <n v="0"/>
    <n v="10745"/>
    <x v="0"/>
    <x v="1"/>
    <n v="345161"/>
    <x v="23"/>
    <s v="Sociedad Importadora Maritex Spa"/>
  </r>
  <r>
    <m/>
    <s v="TRASPASO"/>
    <d v="2022-04-20T00:00:00"/>
    <n v="4"/>
    <x v="1"/>
    <x v="12"/>
    <x v="6"/>
    <n v="0"/>
    <n v="67295"/>
    <n v="-67295"/>
    <x v="0"/>
    <x v="1"/>
    <n v="345161"/>
    <x v="23"/>
    <s v="Sociedad Importadora Maritex Spa"/>
  </r>
  <r>
    <m/>
    <s v="TRASPASO"/>
    <d v="2022-04-20T00:00:00"/>
    <n v="4"/>
    <x v="3"/>
    <x v="10"/>
    <x v="6"/>
    <n v="105298"/>
    <n v="0"/>
    <n v="105298"/>
    <x v="0"/>
    <x v="1"/>
    <n v="295993"/>
    <x v="12"/>
    <s v="COMERCIAL SATEX LTDA"/>
  </r>
  <r>
    <m/>
    <s v="TRASPASO"/>
    <d v="2022-04-20T00:00:00"/>
    <n v="4"/>
    <x v="0"/>
    <x v="11"/>
    <x v="6"/>
    <n v="20007"/>
    <n v="0"/>
    <n v="20007"/>
    <x v="0"/>
    <x v="1"/>
    <n v="295993"/>
    <x v="12"/>
    <s v="COMERCIAL SATEX LTDA"/>
  </r>
  <r>
    <m/>
    <s v="TRASPASO"/>
    <d v="2022-04-20T00:00:00"/>
    <n v="4"/>
    <x v="1"/>
    <x v="12"/>
    <x v="6"/>
    <n v="0"/>
    <n v="125305"/>
    <n v="-125305"/>
    <x v="0"/>
    <x v="1"/>
    <n v="295993"/>
    <x v="12"/>
    <s v="COMERCIAL SATEX LTDA"/>
  </r>
  <r>
    <m/>
    <s v="TRASPASO"/>
    <d v="2022-04-21T00:00:00"/>
    <n v="4"/>
    <x v="3"/>
    <x v="10"/>
    <x v="6"/>
    <n v="7689"/>
    <n v="0"/>
    <n v="7689"/>
    <x v="0"/>
    <x v="1"/>
    <n v="42761"/>
    <x v="13"/>
    <s v="INVERSIONES SIRACUSA SPA"/>
  </r>
  <r>
    <m/>
    <s v="TRASPASO"/>
    <d v="2022-04-21T00:00:00"/>
    <n v="4"/>
    <x v="0"/>
    <x v="11"/>
    <x v="6"/>
    <n v="1461"/>
    <n v="0"/>
    <n v="1461"/>
    <x v="0"/>
    <x v="1"/>
    <n v="42761"/>
    <x v="13"/>
    <s v="INVERSIONES SIRACUSA SPA"/>
  </r>
  <r>
    <m/>
    <s v="TRASPASO"/>
    <d v="2022-04-21T00:00:00"/>
    <n v="4"/>
    <x v="1"/>
    <x v="12"/>
    <x v="6"/>
    <n v="0"/>
    <n v="9150"/>
    <n v="-9150"/>
    <x v="0"/>
    <x v="1"/>
    <n v="42761"/>
    <x v="13"/>
    <s v="INVERSIONES SIRACUSA SPA"/>
  </r>
  <r>
    <m/>
    <s v="TRASPASO"/>
    <d v="2022-04-16T00:00:00"/>
    <n v="4"/>
    <x v="3"/>
    <x v="10"/>
    <x v="6"/>
    <n v="36101"/>
    <n v="0"/>
    <n v="36101"/>
    <x v="0"/>
    <x v="1"/>
    <n v="9909278"/>
    <x v="9"/>
    <s v="WOM S.A."/>
  </r>
  <r>
    <m/>
    <s v="TRASPASO"/>
    <d v="2022-04-16T00:00:00"/>
    <n v="4"/>
    <x v="0"/>
    <x v="11"/>
    <x v="6"/>
    <n v="6859"/>
    <n v="0"/>
    <n v="6859"/>
    <x v="0"/>
    <x v="1"/>
    <n v="9909278"/>
    <x v="9"/>
    <s v="WOM S.A."/>
  </r>
  <r>
    <m/>
    <s v="TRASPASO"/>
    <d v="2022-04-16T00:00:00"/>
    <n v="4"/>
    <x v="1"/>
    <x v="12"/>
    <x v="6"/>
    <n v="0"/>
    <n v="42960"/>
    <n v="-42960"/>
    <x v="0"/>
    <x v="1"/>
    <n v="9909278"/>
    <x v="9"/>
    <s v="WOM S.A."/>
  </r>
  <r>
    <m/>
    <s v="TRASPASO"/>
    <d v="2022-04-22T00:00:00"/>
    <n v="4"/>
    <x v="3"/>
    <x v="10"/>
    <x v="6"/>
    <n v="2154824"/>
    <n v="0"/>
    <n v="2154824"/>
    <x v="0"/>
    <x v="1"/>
    <n v="375436"/>
    <x v="6"/>
    <s v="Texora S.A"/>
  </r>
  <r>
    <m/>
    <s v="TRASPASO"/>
    <d v="2022-04-22T00:00:00"/>
    <n v="4"/>
    <x v="0"/>
    <x v="11"/>
    <x v="6"/>
    <n v="409417"/>
    <n v="0"/>
    <n v="409417"/>
    <x v="0"/>
    <x v="1"/>
    <n v="375436"/>
    <x v="6"/>
    <s v="Texora S.A"/>
  </r>
  <r>
    <m/>
    <s v="TRASPASO"/>
    <d v="2022-04-22T00:00:00"/>
    <n v="4"/>
    <x v="1"/>
    <x v="12"/>
    <x v="6"/>
    <n v="0"/>
    <n v="2564241"/>
    <n v="-2564241"/>
    <x v="0"/>
    <x v="1"/>
    <n v="375436"/>
    <x v="6"/>
    <s v="Texora S.A"/>
  </r>
  <r>
    <m/>
    <s v="TRASPASO"/>
    <d v="2022-04-22T00:00:00"/>
    <n v="4"/>
    <x v="3"/>
    <x v="10"/>
    <x v="6"/>
    <n v="151580"/>
    <n v="0"/>
    <n v="151580"/>
    <x v="0"/>
    <x v="1"/>
    <n v="375437"/>
    <x v="6"/>
    <s v="Texora S.A"/>
  </r>
  <r>
    <m/>
    <s v="TRASPASO"/>
    <d v="2022-04-22T00:00:00"/>
    <n v="4"/>
    <x v="0"/>
    <x v="11"/>
    <x v="6"/>
    <n v="28800"/>
    <n v="0"/>
    <n v="28800"/>
    <x v="0"/>
    <x v="1"/>
    <n v="375437"/>
    <x v="6"/>
    <s v="Texora S.A"/>
  </r>
  <r>
    <m/>
    <s v="TRASPASO"/>
    <d v="2022-04-22T00:00:00"/>
    <n v="4"/>
    <x v="1"/>
    <x v="12"/>
    <x v="6"/>
    <n v="0"/>
    <n v="180380"/>
    <n v="-180380"/>
    <x v="0"/>
    <x v="1"/>
    <n v="375437"/>
    <x v="6"/>
    <s v="Texora S.A"/>
  </r>
  <r>
    <m/>
    <s v="TRASPASO"/>
    <d v="2022-04-26T00:00:00"/>
    <n v="4"/>
    <x v="3"/>
    <x v="10"/>
    <x v="6"/>
    <n v="90400"/>
    <n v="0"/>
    <n v="90400"/>
    <x v="0"/>
    <x v="1"/>
    <n v="375980"/>
    <x v="6"/>
    <s v="Texora S.A"/>
  </r>
  <r>
    <m/>
    <s v="TRASPASO"/>
    <d v="2022-04-26T00:00:00"/>
    <n v="4"/>
    <x v="0"/>
    <x v="11"/>
    <x v="6"/>
    <n v="17176"/>
    <n v="0"/>
    <n v="17176"/>
    <x v="0"/>
    <x v="1"/>
    <n v="375980"/>
    <x v="6"/>
    <s v="Texora S.A"/>
  </r>
  <r>
    <m/>
    <s v="TRASPASO"/>
    <d v="2022-04-26T00:00:00"/>
    <n v="4"/>
    <x v="1"/>
    <x v="12"/>
    <x v="6"/>
    <n v="0"/>
    <n v="107576"/>
    <n v="-107576"/>
    <x v="0"/>
    <x v="1"/>
    <n v="375980"/>
    <x v="6"/>
    <s v="Texora S.A"/>
  </r>
  <r>
    <m/>
    <s v="TRASPASO"/>
    <d v="2022-04-27T00:00:00"/>
    <n v="4"/>
    <x v="3"/>
    <x v="10"/>
    <x v="6"/>
    <n v="341260"/>
    <n v="0"/>
    <n v="341260"/>
    <x v="0"/>
    <x v="1"/>
    <n v="376174"/>
    <x v="6"/>
    <s v="Texora S.A"/>
  </r>
  <r>
    <m/>
    <s v="TRASPASO"/>
    <d v="2022-04-27T00:00:00"/>
    <n v="4"/>
    <x v="0"/>
    <x v="11"/>
    <x v="6"/>
    <n v="64839"/>
    <n v="0"/>
    <n v="64839"/>
    <x v="0"/>
    <x v="1"/>
    <n v="376174"/>
    <x v="6"/>
    <s v="Texora S.A"/>
  </r>
  <r>
    <m/>
    <s v="TRASPASO"/>
    <d v="2022-04-27T00:00:00"/>
    <n v="4"/>
    <x v="1"/>
    <x v="12"/>
    <x v="6"/>
    <n v="0"/>
    <n v="406099"/>
    <n v="-406099"/>
    <x v="0"/>
    <x v="1"/>
    <n v="376174"/>
    <x v="6"/>
    <s v="Texora S.A"/>
  </r>
  <r>
    <m/>
    <s v="TRASPASO"/>
    <d v="2022-04-27T00:00:00"/>
    <n v="4"/>
    <x v="3"/>
    <x v="10"/>
    <x v="6"/>
    <n v="49010"/>
    <n v="0"/>
    <n v="49010"/>
    <x v="0"/>
    <x v="1"/>
    <n v="29603"/>
    <x v="21"/>
    <s v="SOCIEDAD TEXORA WORKWEAR STORE CHILE SPA"/>
  </r>
  <r>
    <m/>
    <s v="TRASPASO"/>
    <d v="2022-04-27T00:00:00"/>
    <n v="4"/>
    <x v="0"/>
    <x v="11"/>
    <x v="6"/>
    <n v="9312"/>
    <n v="0"/>
    <n v="9312"/>
    <x v="0"/>
    <x v="1"/>
    <n v="29603"/>
    <x v="21"/>
    <s v="SOCIEDAD TEXORA WORKWEAR STORE CHILE SPA"/>
  </r>
  <r>
    <m/>
    <s v="TRASPASO"/>
    <d v="2022-04-27T00:00:00"/>
    <n v="4"/>
    <x v="1"/>
    <x v="12"/>
    <x v="6"/>
    <n v="0"/>
    <n v="58322"/>
    <n v="-58322"/>
    <x v="0"/>
    <x v="1"/>
    <n v="29603"/>
    <x v="21"/>
    <s v="SOCIEDAD TEXORA WORKWEAR STORE CHILE SPA"/>
  </r>
  <r>
    <m/>
    <s v="TRASPASO"/>
    <d v="2022-04-28T00:00:00"/>
    <n v="4"/>
    <x v="3"/>
    <x v="10"/>
    <x v="6"/>
    <n v="79900"/>
    <n v="0"/>
    <n v="79900"/>
    <x v="0"/>
    <x v="1"/>
    <n v="2407"/>
    <x v="24"/>
    <s v="CONFECCIONES ESMONT LIMITADA"/>
  </r>
  <r>
    <m/>
    <s v="TRASPASO"/>
    <d v="2022-04-28T00:00:00"/>
    <n v="4"/>
    <x v="0"/>
    <x v="11"/>
    <x v="6"/>
    <n v="15181"/>
    <n v="0"/>
    <n v="15181"/>
    <x v="0"/>
    <x v="1"/>
    <n v="2407"/>
    <x v="24"/>
    <s v="CONFECCIONES ESMONT LIMITADA"/>
  </r>
  <r>
    <m/>
    <s v="TRASPASO"/>
    <d v="2022-04-28T00:00:00"/>
    <n v="4"/>
    <x v="1"/>
    <x v="12"/>
    <x v="6"/>
    <n v="0"/>
    <n v="95081"/>
    <n v="-95081"/>
    <x v="0"/>
    <x v="1"/>
    <n v="2407"/>
    <x v="24"/>
    <s v="CONFECCIONES ESMONT LIMITADA"/>
  </r>
  <r>
    <m/>
    <s v="TRASPASO"/>
    <d v="2022-04-28T00:00:00"/>
    <n v="4"/>
    <x v="3"/>
    <x v="10"/>
    <x v="6"/>
    <n v="20500"/>
    <n v="0"/>
    <n v="20500"/>
    <x v="0"/>
    <x v="1"/>
    <n v="21465"/>
    <x v="15"/>
    <s v="COMERCIAL TEXTIL LAMAS SPA"/>
  </r>
  <r>
    <m/>
    <s v="TRASPASO"/>
    <d v="2022-04-28T00:00:00"/>
    <n v="4"/>
    <x v="0"/>
    <x v="11"/>
    <x v="6"/>
    <n v="3895"/>
    <n v="0"/>
    <n v="3895"/>
    <x v="0"/>
    <x v="1"/>
    <n v="21465"/>
    <x v="15"/>
    <s v="COMERCIAL TEXTIL LAMAS SPA"/>
  </r>
  <r>
    <m/>
    <s v="TRASPASO"/>
    <d v="2022-04-28T00:00:00"/>
    <n v="4"/>
    <x v="1"/>
    <x v="12"/>
    <x v="6"/>
    <n v="0"/>
    <n v="24395"/>
    <n v="-24395"/>
    <x v="0"/>
    <x v="1"/>
    <n v="21465"/>
    <x v="15"/>
    <s v="COMERCIAL TEXTIL LAMAS SPA"/>
  </r>
  <r>
    <m/>
    <s v="TRASPASO"/>
    <d v="2022-04-28T00:00:00"/>
    <n v="4"/>
    <x v="3"/>
    <x v="10"/>
    <x v="6"/>
    <n v="53945"/>
    <n v="0"/>
    <n v="53945"/>
    <x v="0"/>
    <x v="1"/>
    <n v="671752"/>
    <x v="5"/>
    <s v="Comercial Mundo Transfer Ltda"/>
  </r>
  <r>
    <m/>
    <s v="TRASPASO"/>
    <d v="2022-04-28T00:00:00"/>
    <n v="4"/>
    <x v="0"/>
    <x v="11"/>
    <x v="6"/>
    <n v="10250"/>
    <n v="0"/>
    <n v="10250"/>
    <x v="0"/>
    <x v="1"/>
    <n v="671752"/>
    <x v="5"/>
    <s v="Comercial Mundo Transfer Ltda"/>
  </r>
  <r>
    <m/>
    <s v="TRASPASO"/>
    <d v="2022-04-28T00:00:00"/>
    <n v="4"/>
    <x v="1"/>
    <x v="12"/>
    <x v="6"/>
    <n v="0"/>
    <n v="64195"/>
    <n v="-64195"/>
    <x v="0"/>
    <x v="1"/>
    <n v="671752"/>
    <x v="5"/>
    <s v="Comercial Mundo Transfer Ltda"/>
  </r>
  <r>
    <m/>
    <s v="TRASPASO"/>
    <d v="2022-04-28T00:00:00"/>
    <n v="4"/>
    <x v="3"/>
    <x v="10"/>
    <x v="6"/>
    <n v="147970"/>
    <n v="0"/>
    <n v="147970"/>
    <x v="0"/>
    <x v="1"/>
    <n v="376569"/>
    <x v="6"/>
    <s v="Texora S.A"/>
  </r>
  <r>
    <m/>
    <s v="TRASPASO"/>
    <d v="2022-04-28T00:00:00"/>
    <n v="4"/>
    <x v="0"/>
    <x v="11"/>
    <x v="6"/>
    <n v="28114"/>
    <n v="0"/>
    <n v="28114"/>
    <x v="0"/>
    <x v="1"/>
    <n v="376569"/>
    <x v="6"/>
    <s v="Texora S.A"/>
  </r>
  <r>
    <m/>
    <s v="TRASPASO"/>
    <d v="2022-04-28T00:00:00"/>
    <n v="4"/>
    <x v="1"/>
    <x v="12"/>
    <x v="6"/>
    <n v="0"/>
    <n v="176084"/>
    <n v="-176084"/>
    <x v="0"/>
    <x v="1"/>
    <n v="376569"/>
    <x v="6"/>
    <s v="Texora S.A"/>
  </r>
  <r>
    <m/>
    <s v="TRASPASO"/>
    <d v="2022-04-29T00:00:00"/>
    <n v="4"/>
    <x v="3"/>
    <x v="10"/>
    <x v="6"/>
    <n v="425660"/>
    <n v="0"/>
    <n v="425660"/>
    <x v="0"/>
    <x v="1"/>
    <n v="377108"/>
    <x v="6"/>
    <s v="Texora S.A"/>
  </r>
  <r>
    <m/>
    <s v="TRASPASO"/>
    <d v="2022-04-29T00:00:00"/>
    <n v="4"/>
    <x v="0"/>
    <x v="11"/>
    <x v="6"/>
    <n v="80875"/>
    <n v="0"/>
    <n v="80875"/>
    <x v="0"/>
    <x v="1"/>
    <n v="377108"/>
    <x v="6"/>
    <s v="Texora S.A"/>
  </r>
  <r>
    <m/>
    <s v="TRASPASO"/>
    <d v="2022-04-29T00:00:00"/>
    <n v="4"/>
    <x v="1"/>
    <x v="12"/>
    <x v="6"/>
    <n v="0"/>
    <n v="506535"/>
    <n v="-506535"/>
    <x v="0"/>
    <x v="1"/>
    <n v="377108"/>
    <x v="6"/>
    <s v="Texora S.A"/>
  </r>
  <r>
    <m/>
    <s v="TRASPASO"/>
    <d v="2022-04-14T00:00:00"/>
    <n v="4"/>
    <x v="3"/>
    <x v="10"/>
    <x v="6"/>
    <n v="111493"/>
    <n v="0"/>
    <n v="111493"/>
    <x v="0"/>
    <x v="3"/>
    <n v="85"/>
    <x v="16"/>
    <s v="SIMPLE TAX SPA"/>
  </r>
  <r>
    <m/>
    <s v="TRASPASO"/>
    <d v="2022-04-14T00:00:00"/>
    <n v="4"/>
    <x v="0"/>
    <x v="11"/>
    <x v="6"/>
    <n v="0"/>
    <n v="0"/>
    <n v="0"/>
    <x v="0"/>
    <x v="3"/>
    <n v="85"/>
    <x v="16"/>
    <s v="SIMPLE TAX SPA"/>
  </r>
  <r>
    <m/>
    <s v="TRASPASO"/>
    <d v="2022-04-14T00:00:00"/>
    <n v="4"/>
    <x v="1"/>
    <x v="12"/>
    <x v="6"/>
    <n v="0"/>
    <n v="111493"/>
    <n v="-111493"/>
    <x v="0"/>
    <x v="3"/>
    <n v="85"/>
    <x v="16"/>
    <s v="SIMPLE TAX SPA"/>
  </r>
  <r>
    <m/>
    <s v="TRASPASO"/>
    <d v="2022-05-03T00:00:00"/>
    <n v="5"/>
    <x v="3"/>
    <x v="10"/>
    <x v="6"/>
    <n v="19202"/>
    <n v="0"/>
    <n v="19202"/>
    <x v="0"/>
    <x v="1"/>
    <n v="43169"/>
    <x v="13"/>
    <s v="INVERSIONES SIRACUSA SPA"/>
  </r>
  <r>
    <m/>
    <s v="TRASPASO"/>
    <d v="2022-05-03T00:00:00"/>
    <n v="5"/>
    <x v="0"/>
    <x v="11"/>
    <x v="6"/>
    <n v="3648"/>
    <n v="0"/>
    <n v="3648"/>
    <x v="0"/>
    <x v="1"/>
    <n v="43169"/>
    <x v="13"/>
    <s v="INVERSIONES SIRACUSA SPA"/>
  </r>
  <r>
    <m/>
    <s v="TRASPASO"/>
    <d v="2022-05-03T00:00:00"/>
    <n v="5"/>
    <x v="1"/>
    <x v="12"/>
    <x v="6"/>
    <n v="0"/>
    <n v="22850"/>
    <n v="-22850"/>
    <x v="0"/>
    <x v="1"/>
    <n v="43169"/>
    <x v="13"/>
    <s v="INVERSIONES SIRACUSA SPA"/>
  </r>
  <r>
    <m/>
    <s v="TRASPASO"/>
    <d v="2022-05-05T00:00:00"/>
    <n v="5"/>
    <x v="3"/>
    <x v="10"/>
    <x v="6"/>
    <n v="71820"/>
    <n v="0"/>
    <n v="71820"/>
    <x v="0"/>
    <x v="1"/>
    <n v="1783"/>
    <x v="19"/>
    <s v="TEXTIL HAPI LIMITADA"/>
  </r>
  <r>
    <m/>
    <s v="TRASPASO"/>
    <d v="2022-05-05T00:00:00"/>
    <n v="5"/>
    <x v="0"/>
    <x v="11"/>
    <x v="6"/>
    <n v="13646"/>
    <n v="0"/>
    <n v="13646"/>
    <x v="0"/>
    <x v="1"/>
    <n v="1783"/>
    <x v="19"/>
    <s v="TEXTIL HAPI LIMITADA"/>
  </r>
  <r>
    <m/>
    <s v="TRASPASO"/>
    <d v="2022-05-05T00:00:00"/>
    <n v="5"/>
    <x v="1"/>
    <x v="12"/>
    <x v="6"/>
    <n v="0"/>
    <n v="85466"/>
    <n v="-85466"/>
    <x v="0"/>
    <x v="1"/>
    <n v="1783"/>
    <x v="19"/>
    <s v="TEXTIL HAPI LIMITADA"/>
  </r>
  <r>
    <m/>
    <s v="TRASPASO"/>
    <d v="2022-05-10T00:00:00"/>
    <n v="5"/>
    <x v="3"/>
    <x v="10"/>
    <x v="6"/>
    <n v="20924"/>
    <n v="0"/>
    <n v="20924"/>
    <x v="0"/>
    <x v="1"/>
    <n v="9903"/>
    <x v="11"/>
    <s v="COMERCIALIZADORA COTTONEXT LIMITADA"/>
  </r>
  <r>
    <m/>
    <s v="TRASPASO"/>
    <d v="2022-05-10T00:00:00"/>
    <n v="5"/>
    <x v="0"/>
    <x v="11"/>
    <x v="6"/>
    <n v="3976"/>
    <n v="0"/>
    <n v="3976"/>
    <x v="0"/>
    <x v="1"/>
    <n v="9903"/>
    <x v="11"/>
    <s v="COMERCIALIZADORA COTTONEXT LIMITADA"/>
  </r>
  <r>
    <m/>
    <s v="TRASPASO"/>
    <d v="2022-05-10T00:00:00"/>
    <n v="5"/>
    <x v="1"/>
    <x v="12"/>
    <x v="6"/>
    <n v="0"/>
    <n v="24900"/>
    <n v="-24900"/>
    <x v="0"/>
    <x v="1"/>
    <n v="9903"/>
    <x v="11"/>
    <s v="COMERCIALIZADORA COTTONEXT LIMITADA"/>
  </r>
  <r>
    <m/>
    <s v="TRASPASO"/>
    <d v="2022-05-10T00:00:00"/>
    <n v="5"/>
    <x v="3"/>
    <x v="10"/>
    <x v="6"/>
    <n v="12185"/>
    <n v="0"/>
    <n v="12185"/>
    <x v="0"/>
    <x v="1"/>
    <n v="43403"/>
    <x v="13"/>
    <s v="INVERSIONES SIRACUSA SPA"/>
  </r>
  <r>
    <m/>
    <s v="TRASPASO"/>
    <d v="2022-05-10T00:00:00"/>
    <n v="5"/>
    <x v="0"/>
    <x v="11"/>
    <x v="6"/>
    <n v="2315"/>
    <n v="0"/>
    <n v="2315"/>
    <x v="0"/>
    <x v="1"/>
    <n v="43403"/>
    <x v="13"/>
    <s v="INVERSIONES SIRACUSA SPA"/>
  </r>
  <r>
    <m/>
    <s v="TRASPASO"/>
    <d v="2022-05-10T00:00:00"/>
    <n v="5"/>
    <x v="1"/>
    <x v="12"/>
    <x v="6"/>
    <n v="0"/>
    <n v="14500"/>
    <n v="-14500"/>
    <x v="0"/>
    <x v="1"/>
    <n v="43403"/>
    <x v="13"/>
    <s v="INVERSIONES SIRACUSA SPA"/>
  </r>
  <r>
    <m/>
    <s v="TRASPASO"/>
    <d v="2022-05-10T00:00:00"/>
    <n v="5"/>
    <x v="3"/>
    <x v="10"/>
    <x v="6"/>
    <n v="292455"/>
    <n v="0"/>
    <n v="292455"/>
    <x v="0"/>
    <x v="1"/>
    <n v="172737"/>
    <x v="7"/>
    <s v="MICROGEO S.A."/>
  </r>
  <r>
    <m/>
    <s v="TRASPASO"/>
    <d v="2022-05-10T00:00:00"/>
    <n v="5"/>
    <x v="0"/>
    <x v="11"/>
    <x v="6"/>
    <n v="55566"/>
    <n v="0"/>
    <n v="55566"/>
    <x v="0"/>
    <x v="1"/>
    <n v="172737"/>
    <x v="7"/>
    <s v="MICROGEO S.A."/>
  </r>
  <r>
    <m/>
    <s v="TRASPASO"/>
    <d v="2022-05-10T00:00:00"/>
    <n v="5"/>
    <x v="1"/>
    <x v="12"/>
    <x v="6"/>
    <n v="0"/>
    <n v="348021"/>
    <n v="-348021"/>
    <x v="0"/>
    <x v="1"/>
    <n v="172737"/>
    <x v="7"/>
    <s v="MICROGEO S.A."/>
  </r>
  <r>
    <m/>
    <s v="TRASPASO"/>
    <d v="2022-05-10T00:00:00"/>
    <n v="5"/>
    <x v="3"/>
    <x v="10"/>
    <x v="6"/>
    <n v="4118"/>
    <n v="0"/>
    <n v="4118"/>
    <x v="0"/>
    <x v="1"/>
    <n v="1928628"/>
    <x v="25"/>
    <s v="PULLMAN CARGO S.A"/>
  </r>
  <r>
    <m/>
    <s v="TRASPASO"/>
    <d v="2022-05-10T00:00:00"/>
    <n v="5"/>
    <x v="0"/>
    <x v="11"/>
    <x v="6"/>
    <n v="782"/>
    <n v="0"/>
    <n v="782"/>
    <x v="0"/>
    <x v="1"/>
    <n v="1928628"/>
    <x v="25"/>
    <s v="PULLMAN CARGO S.A"/>
  </r>
  <r>
    <m/>
    <s v="TRASPASO"/>
    <d v="2022-05-10T00:00:00"/>
    <n v="5"/>
    <x v="1"/>
    <x v="12"/>
    <x v="6"/>
    <n v="0"/>
    <n v="4900"/>
    <n v="-4900"/>
    <x v="0"/>
    <x v="1"/>
    <n v="1928628"/>
    <x v="25"/>
    <s v="PULLMAN CARGO S.A"/>
  </r>
  <r>
    <m/>
    <s v="TRASPASO"/>
    <d v="2022-05-10T00:00:00"/>
    <n v="5"/>
    <x v="3"/>
    <x v="10"/>
    <x v="6"/>
    <n v="602610"/>
    <n v="0"/>
    <n v="602610"/>
    <x v="0"/>
    <x v="1"/>
    <n v="378905"/>
    <x v="6"/>
    <s v="Texora S.A"/>
  </r>
  <r>
    <m/>
    <s v="TRASPASO"/>
    <d v="2022-05-10T00:00:00"/>
    <n v="5"/>
    <x v="0"/>
    <x v="11"/>
    <x v="6"/>
    <n v="114496"/>
    <n v="0"/>
    <n v="114496"/>
    <x v="0"/>
    <x v="1"/>
    <n v="378905"/>
    <x v="6"/>
    <s v="Texora S.A"/>
  </r>
  <r>
    <m/>
    <s v="TRASPASO"/>
    <d v="2022-05-10T00:00:00"/>
    <n v="5"/>
    <x v="1"/>
    <x v="12"/>
    <x v="6"/>
    <n v="0"/>
    <n v="717106"/>
    <n v="-717106"/>
    <x v="0"/>
    <x v="1"/>
    <n v="378905"/>
    <x v="6"/>
    <s v="Texora S.A"/>
  </r>
  <r>
    <m/>
    <s v="TRASPASO"/>
    <d v="2022-05-17T00:00:00"/>
    <n v="5"/>
    <x v="3"/>
    <x v="10"/>
    <x v="6"/>
    <n v="12261"/>
    <n v="0"/>
    <n v="12261"/>
    <x v="0"/>
    <x v="1"/>
    <n v="30653"/>
    <x v="21"/>
    <s v="SOCIEDAD TEXORA WORKWEAR STORE CHILE SPA"/>
  </r>
  <r>
    <m/>
    <s v="TRASPASO"/>
    <d v="2022-05-17T00:00:00"/>
    <n v="5"/>
    <x v="0"/>
    <x v="11"/>
    <x v="6"/>
    <n v="2330"/>
    <n v="0"/>
    <n v="2330"/>
    <x v="0"/>
    <x v="1"/>
    <n v="30653"/>
    <x v="21"/>
    <s v="SOCIEDAD TEXORA WORKWEAR STORE CHILE SPA"/>
  </r>
  <r>
    <m/>
    <s v="TRASPASO"/>
    <d v="2022-05-17T00:00:00"/>
    <n v="5"/>
    <x v="1"/>
    <x v="12"/>
    <x v="6"/>
    <n v="0"/>
    <n v="14591"/>
    <n v="-14591"/>
    <x v="0"/>
    <x v="1"/>
    <n v="30653"/>
    <x v="21"/>
    <s v="SOCIEDAD TEXORA WORKWEAR STORE CHILE SPA"/>
  </r>
  <r>
    <m/>
    <s v="TRASPASO"/>
    <d v="2022-05-19T00:00:00"/>
    <n v="5"/>
    <x v="3"/>
    <x v="10"/>
    <x v="6"/>
    <n v="233899"/>
    <n v="0"/>
    <n v="233899"/>
    <x v="0"/>
    <x v="1"/>
    <n v="349296"/>
    <x v="23"/>
    <s v="Sociedad Importadora Maritex Spa"/>
  </r>
  <r>
    <m/>
    <s v="TRASPASO"/>
    <d v="2022-05-19T00:00:00"/>
    <n v="5"/>
    <x v="0"/>
    <x v="11"/>
    <x v="6"/>
    <n v="44441"/>
    <n v="0"/>
    <n v="44441"/>
    <x v="0"/>
    <x v="1"/>
    <n v="349296"/>
    <x v="23"/>
    <s v="Sociedad Importadora Maritex Spa"/>
  </r>
  <r>
    <m/>
    <s v="TRASPASO"/>
    <d v="2022-05-19T00:00:00"/>
    <n v="5"/>
    <x v="1"/>
    <x v="12"/>
    <x v="6"/>
    <n v="0"/>
    <n v="278340"/>
    <n v="-278340"/>
    <x v="0"/>
    <x v="1"/>
    <n v="349296"/>
    <x v="23"/>
    <s v="Sociedad Importadora Maritex Spa"/>
  </r>
  <r>
    <m/>
    <s v="TRASPASO"/>
    <d v="2022-05-16T00:00:00"/>
    <n v="5"/>
    <x v="3"/>
    <x v="10"/>
    <x v="6"/>
    <n v="36101"/>
    <n v="0"/>
    <n v="36101"/>
    <x v="0"/>
    <x v="1"/>
    <n v="10045091"/>
    <x v="9"/>
    <s v="WOM S.A."/>
  </r>
  <r>
    <m/>
    <s v="TRASPASO"/>
    <d v="2022-05-16T00:00:00"/>
    <n v="5"/>
    <x v="0"/>
    <x v="11"/>
    <x v="6"/>
    <n v="6859"/>
    <n v="0"/>
    <n v="6859"/>
    <x v="0"/>
    <x v="1"/>
    <n v="10045091"/>
    <x v="9"/>
    <s v="WOM S.A."/>
  </r>
  <r>
    <m/>
    <s v="TRASPASO"/>
    <d v="2022-05-16T00:00:00"/>
    <n v="5"/>
    <x v="1"/>
    <x v="12"/>
    <x v="6"/>
    <n v="0"/>
    <n v="42960"/>
    <n v="-42960"/>
    <x v="0"/>
    <x v="1"/>
    <n v="10045091"/>
    <x v="9"/>
    <s v="WOM S.A."/>
  </r>
  <r>
    <m/>
    <s v="TRASPASO"/>
    <d v="2022-05-20T00:00:00"/>
    <n v="5"/>
    <x v="3"/>
    <x v="10"/>
    <x v="6"/>
    <n v="97310"/>
    <n v="0"/>
    <n v="97310"/>
    <x v="0"/>
    <x v="1"/>
    <n v="676306"/>
    <x v="5"/>
    <s v="Comercial Mundo Transfer Ltda"/>
  </r>
  <r>
    <m/>
    <s v="TRASPASO"/>
    <d v="2022-05-20T00:00:00"/>
    <n v="5"/>
    <x v="0"/>
    <x v="11"/>
    <x v="6"/>
    <n v="18489"/>
    <n v="0"/>
    <n v="18489"/>
    <x v="0"/>
    <x v="1"/>
    <n v="676306"/>
    <x v="5"/>
    <s v="Comercial Mundo Transfer Ltda"/>
  </r>
  <r>
    <m/>
    <s v="TRASPASO"/>
    <d v="2022-05-20T00:00:00"/>
    <n v="5"/>
    <x v="1"/>
    <x v="12"/>
    <x v="6"/>
    <n v="0"/>
    <n v="115799"/>
    <n v="-115799"/>
    <x v="0"/>
    <x v="1"/>
    <n v="676306"/>
    <x v="5"/>
    <s v="Comercial Mundo Transfer Ltda"/>
  </r>
  <r>
    <m/>
    <s v="TRASPASO"/>
    <d v="2022-05-20T00:00:00"/>
    <n v="5"/>
    <x v="3"/>
    <x v="10"/>
    <x v="6"/>
    <n v="279414"/>
    <n v="0"/>
    <n v="279414"/>
    <x v="0"/>
    <x v="1"/>
    <n v="349537"/>
    <x v="23"/>
    <s v="Sociedad Importadora Maritex Spa"/>
  </r>
  <r>
    <m/>
    <s v="TRASPASO"/>
    <d v="2022-05-20T00:00:00"/>
    <n v="5"/>
    <x v="0"/>
    <x v="11"/>
    <x v="6"/>
    <n v="53089"/>
    <n v="0"/>
    <n v="53089"/>
    <x v="0"/>
    <x v="1"/>
    <n v="349537"/>
    <x v="23"/>
    <s v="Sociedad Importadora Maritex Spa"/>
  </r>
  <r>
    <m/>
    <s v="TRASPASO"/>
    <d v="2022-05-20T00:00:00"/>
    <n v="5"/>
    <x v="1"/>
    <x v="12"/>
    <x v="6"/>
    <n v="0"/>
    <n v="332503"/>
    <n v="-332503"/>
    <x v="0"/>
    <x v="1"/>
    <n v="349537"/>
    <x v="23"/>
    <s v="Sociedad Importadora Maritex Spa"/>
  </r>
  <r>
    <m/>
    <s v="TRASPASO"/>
    <d v="2022-05-23T00:00:00"/>
    <n v="5"/>
    <x v="3"/>
    <x v="10"/>
    <x v="6"/>
    <n v="456810"/>
    <n v="0"/>
    <n v="456810"/>
    <x v="0"/>
    <x v="1"/>
    <n v="381092"/>
    <x v="6"/>
    <s v="Texora S.A"/>
  </r>
  <r>
    <m/>
    <s v="TRASPASO"/>
    <d v="2022-05-23T00:00:00"/>
    <n v="5"/>
    <x v="0"/>
    <x v="11"/>
    <x v="6"/>
    <n v="86794"/>
    <n v="0"/>
    <n v="86794"/>
    <x v="0"/>
    <x v="1"/>
    <n v="381092"/>
    <x v="6"/>
    <s v="Texora S.A"/>
  </r>
  <r>
    <m/>
    <s v="TRASPASO"/>
    <d v="2022-05-23T00:00:00"/>
    <n v="5"/>
    <x v="1"/>
    <x v="12"/>
    <x v="6"/>
    <n v="0"/>
    <n v="543604"/>
    <n v="-543604"/>
    <x v="0"/>
    <x v="1"/>
    <n v="381092"/>
    <x v="6"/>
    <s v="Texora S.A"/>
  </r>
  <r>
    <m/>
    <s v="TRASPASO"/>
    <d v="2022-05-30T00:00:00"/>
    <n v="5"/>
    <x v="3"/>
    <x v="10"/>
    <x v="6"/>
    <n v="899700"/>
    <n v="0"/>
    <n v="899700"/>
    <x v="0"/>
    <x v="1"/>
    <n v="382560"/>
    <x v="6"/>
    <s v="Texora S.A"/>
  </r>
  <r>
    <m/>
    <s v="TRASPASO"/>
    <d v="2022-05-30T00:00:00"/>
    <n v="5"/>
    <x v="0"/>
    <x v="11"/>
    <x v="6"/>
    <n v="170943"/>
    <n v="0"/>
    <n v="170943"/>
    <x v="0"/>
    <x v="1"/>
    <n v="382560"/>
    <x v="6"/>
    <s v="Texora S.A"/>
  </r>
  <r>
    <m/>
    <s v="TRASPASO"/>
    <d v="2022-05-30T00:00:00"/>
    <n v="5"/>
    <x v="1"/>
    <x v="12"/>
    <x v="6"/>
    <n v="0"/>
    <n v="1070643"/>
    <n v="-1070643"/>
    <x v="0"/>
    <x v="1"/>
    <n v="382560"/>
    <x v="6"/>
    <s v="Texora S.A"/>
  </r>
  <r>
    <m/>
    <s v="TRASPASO"/>
    <d v="2022-05-31T00:00:00"/>
    <n v="5"/>
    <x v="3"/>
    <x v="10"/>
    <x v="6"/>
    <n v="50400"/>
    <n v="0"/>
    <n v="50400"/>
    <x v="0"/>
    <x v="1"/>
    <n v="1834"/>
    <x v="19"/>
    <s v="TEXTIL HAPI LIMITADA"/>
  </r>
  <r>
    <m/>
    <s v="TRASPASO"/>
    <d v="2022-05-31T00:00:00"/>
    <n v="5"/>
    <x v="0"/>
    <x v="11"/>
    <x v="6"/>
    <n v="9576"/>
    <n v="0"/>
    <n v="9576"/>
    <x v="0"/>
    <x v="1"/>
    <n v="1834"/>
    <x v="19"/>
    <s v="TEXTIL HAPI LIMITADA"/>
  </r>
  <r>
    <m/>
    <s v="TRASPASO"/>
    <d v="2022-05-31T00:00:00"/>
    <n v="5"/>
    <x v="1"/>
    <x v="12"/>
    <x v="6"/>
    <n v="0"/>
    <n v="59976"/>
    <n v="-59976"/>
    <x v="0"/>
    <x v="1"/>
    <n v="1834"/>
    <x v="19"/>
    <s v="TEXTIL HAPI LIMITADA"/>
  </r>
  <r>
    <m/>
    <s v="TRASPASO"/>
    <d v="2022-05-31T00:00:00"/>
    <n v="5"/>
    <x v="3"/>
    <x v="10"/>
    <x v="6"/>
    <n v="78900"/>
    <n v="0"/>
    <n v="78900"/>
    <x v="0"/>
    <x v="1"/>
    <n v="382796"/>
    <x v="6"/>
    <s v="Texora S.A"/>
  </r>
  <r>
    <m/>
    <s v="TRASPASO"/>
    <d v="2022-05-31T00:00:00"/>
    <n v="5"/>
    <x v="0"/>
    <x v="11"/>
    <x v="6"/>
    <n v="14991"/>
    <n v="0"/>
    <n v="14991"/>
    <x v="0"/>
    <x v="1"/>
    <n v="382796"/>
    <x v="6"/>
    <s v="Texora S.A"/>
  </r>
  <r>
    <m/>
    <s v="TRASPASO"/>
    <d v="2022-05-31T00:00:00"/>
    <n v="5"/>
    <x v="1"/>
    <x v="12"/>
    <x v="6"/>
    <n v="0"/>
    <n v="93891"/>
    <n v="-93891"/>
    <x v="0"/>
    <x v="1"/>
    <n v="382796"/>
    <x v="6"/>
    <s v="Texora S.A"/>
  </r>
  <r>
    <m/>
    <s v="TRASPASO"/>
    <d v="2022-05-31T00:00:00"/>
    <n v="5"/>
    <x v="3"/>
    <x v="10"/>
    <x v="6"/>
    <n v="15715"/>
    <n v="0"/>
    <n v="15715"/>
    <x v="0"/>
    <x v="1"/>
    <n v="18"/>
    <x v="26"/>
    <s v="TODO EMPAQUE SPA"/>
  </r>
  <r>
    <m/>
    <s v="TRASPASO"/>
    <d v="2022-05-31T00:00:00"/>
    <n v="5"/>
    <x v="0"/>
    <x v="11"/>
    <x v="6"/>
    <n v="2986"/>
    <n v="0"/>
    <n v="2986"/>
    <x v="0"/>
    <x v="1"/>
    <n v="18"/>
    <x v="26"/>
    <s v="TODO EMPAQUE SPA"/>
  </r>
  <r>
    <m/>
    <s v="TRASPASO"/>
    <d v="2022-05-31T00:00:00"/>
    <n v="5"/>
    <x v="1"/>
    <x v="12"/>
    <x v="6"/>
    <n v="0"/>
    <n v="18701"/>
    <n v="-18701"/>
    <x v="0"/>
    <x v="1"/>
    <n v="18"/>
    <x v="26"/>
    <s v="TODO EMPAQUE SPA"/>
  </r>
  <r>
    <m/>
    <s v="TRASPASO"/>
    <d v="2022-05-17T00:00:00"/>
    <n v="5"/>
    <x v="3"/>
    <x v="10"/>
    <x v="6"/>
    <n v="112618"/>
    <n v="0"/>
    <n v="112618"/>
    <x v="0"/>
    <x v="3"/>
    <n v="92"/>
    <x v="16"/>
    <s v="SIMPLE TAX SPA"/>
  </r>
  <r>
    <m/>
    <s v="TRASPASO"/>
    <d v="2022-05-17T00:00:00"/>
    <n v="5"/>
    <x v="0"/>
    <x v="11"/>
    <x v="6"/>
    <n v="0"/>
    <n v="0"/>
    <n v="0"/>
    <x v="0"/>
    <x v="3"/>
    <n v="92"/>
    <x v="16"/>
    <s v="SIMPLE TAX SPA"/>
  </r>
  <r>
    <m/>
    <s v="TRASPASO"/>
    <d v="2022-05-17T00:00:00"/>
    <n v="5"/>
    <x v="1"/>
    <x v="12"/>
    <x v="6"/>
    <n v="0"/>
    <n v="112618"/>
    <n v="-112618"/>
    <x v="0"/>
    <x v="3"/>
    <n v="92"/>
    <x v="16"/>
    <s v="SIMPLE TAX SPA"/>
  </r>
  <r>
    <m/>
    <s v="TRASPASO"/>
    <d v="2022-05-24T00:00:00"/>
    <n v="6"/>
    <x v="3"/>
    <x v="10"/>
    <x v="6"/>
    <n v="3361"/>
    <n v="0"/>
    <n v="3361"/>
    <x v="0"/>
    <x v="1"/>
    <n v="155327"/>
    <x v="3"/>
    <s v="TEXTIL SUMEY LTDA"/>
  </r>
  <r>
    <m/>
    <s v="TRASPASO"/>
    <d v="2022-05-24T00:00:00"/>
    <n v="6"/>
    <x v="0"/>
    <x v="11"/>
    <x v="6"/>
    <n v="639"/>
    <n v="0"/>
    <n v="639"/>
    <x v="0"/>
    <x v="1"/>
    <n v="155327"/>
    <x v="3"/>
    <s v="TEXTIL SUMEY LTDA"/>
  </r>
  <r>
    <m/>
    <s v="TRASPASO"/>
    <d v="2022-05-24T00:00:00"/>
    <n v="6"/>
    <x v="1"/>
    <x v="12"/>
    <x v="6"/>
    <n v="0"/>
    <n v="4000"/>
    <n v="-4000"/>
    <x v="0"/>
    <x v="1"/>
    <n v="155327"/>
    <x v="3"/>
    <s v="TEXTIL SUMEY LTDA"/>
  </r>
  <r>
    <m/>
    <s v="TRASPASO"/>
    <d v="2022-05-25T00:00:00"/>
    <n v="6"/>
    <x v="3"/>
    <x v="10"/>
    <x v="6"/>
    <n v="54538"/>
    <n v="0"/>
    <n v="54538"/>
    <x v="0"/>
    <x v="1"/>
    <n v="155441"/>
    <x v="3"/>
    <s v="TEXTIL SUMEY LTDA"/>
  </r>
  <r>
    <m/>
    <s v="TRASPASO"/>
    <d v="2022-05-25T00:00:00"/>
    <n v="6"/>
    <x v="0"/>
    <x v="11"/>
    <x v="6"/>
    <n v="10362"/>
    <n v="0"/>
    <n v="10362"/>
    <x v="0"/>
    <x v="1"/>
    <n v="155441"/>
    <x v="3"/>
    <s v="TEXTIL SUMEY LTDA"/>
  </r>
  <r>
    <m/>
    <s v="TRASPASO"/>
    <d v="2022-05-25T00:00:00"/>
    <n v="6"/>
    <x v="1"/>
    <x v="12"/>
    <x v="6"/>
    <n v="0"/>
    <n v="64900"/>
    <n v="-64900"/>
    <x v="0"/>
    <x v="1"/>
    <n v="155441"/>
    <x v="3"/>
    <s v="TEXTIL SUMEY LTDA"/>
  </r>
  <r>
    <m/>
    <s v="TRASPASO"/>
    <d v="2022-05-26T00:00:00"/>
    <n v="6"/>
    <x v="3"/>
    <x v="10"/>
    <x v="6"/>
    <n v="223541"/>
    <n v="0"/>
    <n v="223541"/>
    <x v="0"/>
    <x v="1"/>
    <n v="301273"/>
    <x v="12"/>
    <s v="COMERCIAL SATEX LTDA"/>
  </r>
  <r>
    <m/>
    <s v="TRASPASO"/>
    <d v="2022-05-26T00:00:00"/>
    <n v="6"/>
    <x v="0"/>
    <x v="11"/>
    <x v="6"/>
    <n v="42473"/>
    <n v="0"/>
    <n v="42473"/>
    <x v="0"/>
    <x v="1"/>
    <n v="301273"/>
    <x v="12"/>
    <s v="COMERCIAL SATEX LTDA"/>
  </r>
  <r>
    <m/>
    <s v="TRASPASO"/>
    <d v="2022-05-26T00:00:00"/>
    <n v="6"/>
    <x v="1"/>
    <x v="12"/>
    <x v="6"/>
    <n v="0"/>
    <n v="266014"/>
    <n v="-266014"/>
    <x v="0"/>
    <x v="1"/>
    <n v="301273"/>
    <x v="12"/>
    <s v="COMERCIAL SATEX LTDA"/>
  </r>
  <r>
    <m/>
    <s v="TRASPASO"/>
    <d v="2022-05-31T00:00:00"/>
    <n v="6"/>
    <x v="3"/>
    <x v="10"/>
    <x v="6"/>
    <n v="24790"/>
    <n v="0"/>
    <n v="24790"/>
    <x v="0"/>
    <x v="1"/>
    <n v="155656"/>
    <x v="3"/>
    <s v="TEXTIL SUMEY LTDA"/>
  </r>
  <r>
    <m/>
    <s v="TRASPASO"/>
    <d v="2022-05-31T00:00:00"/>
    <n v="6"/>
    <x v="0"/>
    <x v="11"/>
    <x v="6"/>
    <n v="4710"/>
    <n v="0"/>
    <n v="4710"/>
    <x v="0"/>
    <x v="1"/>
    <n v="155656"/>
    <x v="3"/>
    <s v="TEXTIL SUMEY LTDA"/>
  </r>
  <r>
    <m/>
    <s v="TRASPASO"/>
    <d v="2022-05-31T00:00:00"/>
    <n v="6"/>
    <x v="1"/>
    <x v="12"/>
    <x v="6"/>
    <n v="0"/>
    <n v="29500"/>
    <n v="-29500"/>
    <x v="0"/>
    <x v="1"/>
    <n v="155656"/>
    <x v="3"/>
    <s v="TEXTIL SUMEY LTDA"/>
  </r>
  <r>
    <m/>
    <s v="TRASPASO"/>
    <d v="2022-06-06T00:00:00"/>
    <n v="6"/>
    <x v="3"/>
    <x v="10"/>
    <x v="6"/>
    <n v="29970"/>
    <n v="0"/>
    <n v="29970"/>
    <x v="0"/>
    <x v="1"/>
    <n v="8048"/>
    <x v="27"/>
    <s v="MAXTAR SPA"/>
  </r>
  <r>
    <m/>
    <s v="TRASPASO"/>
    <d v="2022-06-06T00:00:00"/>
    <n v="6"/>
    <x v="0"/>
    <x v="11"/>
    <x v="6"/>
    <n v="5694"/>
    <n v="0"/>
    <n v="5694"/>
    <x v="0"/>
    <x v="1"/>
    <n v="8048"/>
    <x v="27"/>
    <s v="MAXTAR SPA"/>
  </r>
  <r>
    <m/>
    <s v="TRASPASO"/>
    <d v="2022-06-06T00:00:00"/>
    <n v="6"/>
    <x v="1"/>
    <x v="12"/>
    <x v="6"/>
    <n v="0"/>
    <n v="35664"/>
    <n v="-35664"/>
    <x v="0"/>
    <x v="1"/>
    <n v="8048"/>
    <x v="27"/>
    <s v="MAXTAR SPA"/>
  </r>
  <r>
    <m/>
    <s v="TRASPASO"/>
    <d v="2022-06-08T00:00:00"/>
    <n v="6"/>
    <x v="3"/>
    <x v="10"/>
    <x v="6"/>
    <n v="206700"/>
    <n v="0"/>
    <n v="206700"/>
    <x v="0"/>
    <x v="1"/>
    <n v="384375"/>
    <x v="6"/>
    <s v="Texora S.A"/>
  </r>
  <r>
    <m/>
    <s v="TRASPASO"/>
    <d v="2022-06-08T00:00:00"/>
    <n v="6"/>
    <x v="0"/>
    <x v="11"/>
    <x v="6"/>
    <n v="39273"/>
    <n v="0"/>
    <n v="39273"/>
    <x v="0"/>
    <x v="1"/>
    <n v="384375"/>
    <x v="6"/>
    <s v="Texora S.A"/>
  </r>
  <r>
    <m/>
    <s v="TRASPASO"/>
    <d v="2022-06-08T00:00:00"/>
    <n v="6"/>
    <x v="1"/>
    <x v="12"/>
    <x v="6"/>
    <n v="0"/>
    <n v="245973"/>
    <n v="-245973"/>
    <x v="0"/>
    <x v="1"/>
    <n v="384375"/>
    <x v="6"/>
    <s v="Texora S.A"/>
  </r>
  <r>
    <m/>
    <s v="TRASPASO"/>
    <d v="2022-06-08T00:00:00"/>
    <n v="6"/>
    <x v="3"/>
    <x v="10"/>
    <x v="6"/>
    <n v="250520"/>
    <n v="0"/>
    <n v="250520"/>
    <x v="0"/>
    <x v="1"/>
    <n v="384380"/>
    <x v="6"/>
    <s v="Texora S.A"/>
  </r>
  <r>
    <m/>
    <s v="TRASPASO"/>
    <d v="2022-06-08T00:00:00"/>
    <n v="6"/>
    <x v="0"/>
    <x v="11"/>
    <x v="6"/>
    <n v="47599"/>
    <n v="0"/>
    <n v="47599"/>
    <x v="0"/>
    <x v="1"/>
    <n v="384380"/>
    <x v="6"/>
    <s v="Texora S.A"/>
  </r>
  <r>
    <m/>
    <s v="TRASPASO"/>
    <d v="2022-06-08T00:00:00"/>
    <n v="6"/>
    <x v="1"/>
    <x v="12"/>
    <x v="6"/>
    <n v="0"/>
    <n v="298119"/>
    <n v="-298119"/>
    <x v="0"/>
    <x v="1"/>
    <n v="384380"/>
    <x v="6"/>
    <s v="Texora S.A"/>
  </r>
  <r>
    <m/>
    <s v="TRASPASO"/>
    <d v="2022-06-09T00:00:00"/>
    <n v="6"/>
    <x v="3"/>
    <x v="10"/>
    <x v="6"/>
    <n v="206700"/>
    <n v="0"/>
    <n v="206700"/>
    <x v="0"/>
    <x v="1"/>
    <n v="384597"/>
    <x v="6"/>
    <s v="Texora S.A"/>
  </r>
  <r>
    <m/>
    <s v="TRASPASO"/>
    <d v="2022-06-09T00:00:00"/>
    <n v="6"/>
    <x v="0"/>
    <x v="11"/>
    <x v="6"/>
    <n v="39273"/>
    <n v="0"/>
    <n v="39273"/>
    <x v="0"/>
    <x v="1"/>
    <n v="384597"/>
    <x v="6"/>
    <s v="Texora S.A"/>
  </r>
  <r>
    <m/>
    <s v="TRASPASO"/>
    <d v="2022-06-09T00:00:00"/>
    <n v="6"/>
    <x v="1"/>
    <x v="12"/>
    <x v="6"/>
    <n v="0"/>
    <n v="245973"/>
    <n v="-245973"/>
    <x v="0"/>
    <x v="1"/>
    <n v="384597"/>
    <x v="6"/>
    <s v="Texora S.A"/>
  </r>
  <r>
    <m/>
    <s v="TRASPASO"/>
    <d v="2022-06-13T00:00:00"/>
    <n v="6"/>
    <x v="3"/>
    <x v="10"/>
    <x v="6"/>
    <n v="396210"/>
    <n v="0"/>
    <n v="396210"/>
    <x v="0"/>
    <x v="1"/>
    <n v="385254"/>
    <x v="6"/>
    <s v="Texora S.A"/>
  </r>
  <r>
    <m/>
    <s v="TRASPASO"/>
    <d v="2022-06-13T00:00:00"/>
    <n v="6"/>
    <x v="0"/>
    <x v="11"/>
    <x v="6"/>
    <n v="75280"/>
    <n v="0"/>
    <n v="75280"/>
    <x v="0"/>
    <x v="1"/>
    <n v="385254"/>
    <x v="6"/>
    <s v="Texora S.A"/>
  </r>
  <r>
    <m/>
    <s v="TRASPASO"/>
    <d v="2022-06-13T00:00:00"/>
    <n v="6"/>
    <x v="1"/>
    <x v="12"/>
    <x v="6"/>
    <n v="0"/>
    <n v="471490"/>
    <n v="-471490"/>
    <x v="0"/>
    <x v="1"/>
    <n v="385254"/>
    <x v="6"/>
    <s v="Texora S.A"/>
  </r>
  <r>
    <m/>
    <s v="TRASPASO"/>
    <d v="2022-06-14T00:00:00"/>
    <n v="6"/>
    <x v="3"/>
    <x v="10"/>
    <x v="6"/>
    <n v="30592"/>
    <n v="0"/>
    <n v="30592"/>
    <x v="0"/>
    <x v="1"/>
    <n v="2916332"/>
    <x v="28"/>
    <s v="Universidad de Chile"/>
  </r>
  <r>
    <m/>
    <s v="TRASPASO"/>
    <d v="2022-06-14T00:00:00"/>
    <n v="6"/>
    <x v="0"/>
    <x v="11"/>
    <x v="6"/>
    <n v="5813"/>
    <n v="0"/>
    <n v="5813"/>
    <x v="0"/>
    <x v="1"/>
    <n v="2916332"/>
    <x v="28"/>
    <s v="Universidad de Chile"/>
  </r>
  <r>
    <m/>
    <s v="TRASPASO"/>
    <d v="2022-06-14T00:00:00"/>
    <n v="6"/>
    <x v="1"/>
    <x v="12"/>
    <x v="6"/>
    <n v="0"/>
    <n v="36405"/>
    <n v="-36405"/>
    <x v="0"/>
    <x v="1"/>
    <n v="2916332"/>
    <x v="28"/>
    <s v="Universidad de Chile"/>
  </r>
  <r>
    <m/>
    <s v="TRASPASO"/>
    <d v="2022-06-15T00:00:00"/>
    <n v="6"/>
    <x v="3"/>
    <x v="10"/>
    <x v="6"/>
    <n v="16950"/>
    <n v="0"/>
    <n v="16950"/>
    <x v="0"/>
    <x v="1"/>
    <n v="385678"/>
    <x v="6"/>
    <s v="Texora S.A"/>
  </r>
  <r>
    <m/>
    <s v="TRASPASO"/>
    <d v="2022-06-15T00:00:00"/>
    <n v="6"/>
    <x v="0"/>
    <x v="11"/>
    <x v="6"/>
    <n v="3221"/>
    <n v="0"/>
    <n v="3221"/>
    <x v="0"/>
    <x v="1"/>
    <n v="385678"/>
    <x v="6"/>
    <s v="Texora S.A"/>
  </r>
  <r>
    <m/>
    <s v="TRASPASO"/>
    <d v="2022-06-15T00:00:00"/>
    <n v="6"/>
    <x v="1"/>
    <x v="12"/>
    <x v="6"/>
    <n v="0"/>
    <n v="20171"/>
    <n v="-20171"/>
    <x v="0"/>
    <x v="1"/>
    <n v="385678"/>
    <x v="6"/>
    <s v="Texora S.A"/>
  </r>
  <r>
    <m/>
    <s v="TRASPASO"/>
    <d v="2022-06-16T00:00:00"/>
    <n v="6"/>
    <x v="3"/>
    <x v="10"/>
    <x v="6"/>
    <n v="65940"/>
    <n v="0"/>
    <n v="65940"/>
    <x v="0"/>
    <x v="1"/>
    <n v="33279"/>
    <x v="29"/>
    <s v="Torino SPA"/>
  </r>
  <r>
    <m/>
    <s v="TRASPASO"/>
    <d v="2022-06-16T00:00:00"/>
    <n v="6"/>
    <x v="0"/>
    <x v="11"/>
    <x v="6"/>
    <n v="12529"/>
    <n v="0"/>
    <n v="12529"/>
    <x v="0"/>
    <x v="1"/>
    <n v="33279"/>
    <x v="29"/>
    <s v="Torino SPA"/>
  </r>
  <r>
    <m/>
    <s v="TRASPASO"/>
    <d v="2022-06-16T00:00:00"/>
    <n v="6"/>
    <x v="1"/>
    <x v="12"/>
    <x v="6"/>
    <n v="0"/>
    <n v="78469"/>
    <n v="-78469"/>
    <x v="0"/>
    <x v="1"/>
    <n v="33279"/>
    <x v="29"/>
    <s v="Torino SPA"/>
  </r>
  <r>
    <m/>
    <s v="TRASPASO"/>
    <d v="2022-06-16T00:00:00"/>
    <n v="6"/>
    <x v="3"/>
    <x v="10"/>
    <x v="6"/>
    <n v="341600"/>
    <n v="0"/>
    <n v="341600"/>
    <x v="0"/>
    <x v="1"/>
    <n v="386158"/>
    <x v="6"/>
    <s v="Texora S.A"/>
  </r>
  <r>
    <m/>
    <s v="TRASPASO"/>
    <d v="2022-06-16T00:00:00"/>
    <n v="6"/>
    <x v="0"/>
    <x v="11"/>
    <x v="6"/>
    <n v="64904"/>
    <n v="0"/>
    <n v="64904"/>
    <x v="0"/>
    <x v="1"/>
    <n v="386158"/>
    <x v="6"/>
    <s v="Texora S.A"/>
  </r>
  <r>
    <m/>
    <s v="TRASPASO"/>
    <d v="2022-06-16T00:00:00"/>
    <n v="6"/>
    <x v="1"/>
    <x v="12"/>
    <x v="6"/>
    <n v="0"/>
    <n v="406504"/>
    <n v="-406504"/>
    <x v="0"/>
    <x v="1"/>
    <n v="386158"/>
    <x v="6"/>
    <s v="Texora S.A"/>
  </r>
  <r>
    <m/>
    <s v="TRASPASO"/>
    <d v="2022-06-22T00:00:00"/>
    <n v="6"/>
    <x v="3"/>
    <x v="10"/>
    <x v="6"/>
    <n v="243340"/>
    <n v="0"/>
    <n v="243340"/>
    <x v="0"/>
    <x v="1"/>
    <n v="386988"/>
    <x v="6"/>
    <s v="Texora S.A"/>
  </r>
  <r>
    <m/>
    <s v="TRASPASO"/>
    <d v="2022-06-22T00:00:00"/>
    <n v="6"/>
    <x v="0"/>
    <x v="11"/>
    <x v="6"/>
    <n v="46235"/>
    <n v="0"/>
    <n v="46235"/>
    <x v="0"/>
    <x v="1"/>
    <n v="386988"/>
    <x v="6"/>
    <s v="Texora S.A"/>
  </r>
  <r>
    <m/>
    <s v="TRASPASO"/>
    <d v="2022-06-22T00:00:00"/>
    <n v="6"/>
    <x v="1"/>
    <x v="12"/>
    <x v="6"/>
    <n v="0"/>
    <n v="289575"/>
    <n v="-289575"/>
    <x v="0"/>
    <x v="1"/>
    <n v="386988"/>
    <x v="6"/>
    <s v="Texora S.A"/>
  </r>
  <r>
    <m/>
    <s v="TRASPASO"/>
    <d v="2022-06-16T00:00:00"/>
    <n v="6"/>
    <x v="3"/>
    <x v="10"/>
    <x v="6"/>
    <n v="36101"/>
    <n v="0"/>
    <n v="36101"/>
    <x v="0"/>
    <x v="1"/>
    <n v="10199231"/>
    <x v="9"/>
    <s v="WOM S.A."/>
  </r>
  <r>
    <m/>
    <s v="TRASPASO"/>
    <d v="2022-06-16T00:00:00"/>
    <n v="6"/>
    <x v="0"/>
    <x v="11"/>
    <x v="6"/>
    <n v="6859"/>
    <n v="0"/>
    <n v="6859"/>
    <x v="0"/>
    <x v="1"/>
    <n v="10199231"/>
    <x v="9"/>
    <s v="WOM S.A."/>
  </r>
  <r>
    <m/>
    <s v="TRASPASO"/>
    <d v="2022-06-16T00:00:00"/>
    <n v="6"/>
    <x v="1"/>
    <x v="12"/>
    <x v="6"/>
    <n v="0"/>
    <n v="42960"/>
    <n v="-42960"/>
    <x v="0"/>
    <x v="1"/>
    <n v="10199231"/>
    <x v="9"/>
    <s v="WOM S.A."/>
  </r>
  <r>
    <m/>
    <s v="TRASPASO"/>
    <d v="2022-06-23T00:00:00"/>
    <n v="6"/>
    <x v="3"/>
    <x v="10"/>
    <x v="6"/>
    <n v="114650"/>
    <n v="0"/>
    <n v="114650"/>
    <x v="0"/>
    <x v="1"/>
    <n v="387267"/>
    <x v="6"/>
    <s v="Texora S.A"/>
  </r>
  <r>
    <m/>
    <s v="TRASPASO"/>
    <d v="2022-06-23T00:00:00"/>
    <n v="6"/>
    <x v="0"/>
    <x v="11"/>
    <x v="6"/>
    <n v="21784"/>
    <n v="0"/>
    <n v="21784"/>
    <x v="0"/>
    <x v="1"/>
    <n v="387267"/>
    <x v="6"/>
    <s v="Texora S.A"/>
  </r>
  <r>
    <m/>
    <s v="TRASPASO"/>
    <d v="2022-06-23T00:00:00"/>
    <n v="6"/>
    <x v="1"/>
    <x v="12"/>
    <x v="6"/>
    <n v="0"/>
    <n v="136434"/>
    <n v="-136434"/>
    <x v="0"/>
    <x v="1"/>
    <n v="387267"/>
    <x v="6"/>
    <s v="Texora S.A"/>
  </r>
  <r>
    <m/>
    <s v="TRASPASO"/>
    <d v="2022-06-23T00:00:00"/>
    <n v="6"/>
    <x v="3"/>
    <x v="10"/>
    <x v="6"/>
    <n v="62964"/>
    <n v="0"/>
    <n v="62964"/>
    <x v="0"/>
    <x v="1"/>
    <n v="32885"/>
    <x v="21"/>
    <s v="SOCIEDAD TEXORA WORKWEAR STORE CHILE SPA"/>
  </r>
  <r>
    <m/>
    <s v="TRASPASO"/>
    <d v="2022-06-23T00:00:00"/>
    <n v="6"/>
    <x v="0"/>
    <x v="11"/>
    <x v="6"/>
    <n v="11963"/>
    <n v="0"/>
    <n v="11963"/>
    <x v="0"/>
    <x v="1"/>
    <n v="32885"/>
    <x v="21"/>
    <s v="SOCIEDAD TEXORA WORKWEAR STORE CHILE SPA"/>
  </r>
  <r>
    <m/>
    <s v="TRASPASO"/>
    <d v="2022-06-23T00:00:00"/>
    <n v="6"/>
    <x v="1"/>
    <x v="12"/>
    <x v="6"/>
    <n v="0"/>
    <n v="74927"/>
    <n v="-74927"/>
    <x v="0"/>
    <x v="1"/>
    <n v="32885"/>
    <x v="21"/>
    <s v="SOCIEDAD TEXORA WORKWEAR STORE CHILE SPA"/>
  </r>
  <r>
    <m/>
    <s v="TRASPASO"/>
    <d v="2022-06-28T00:00:00"/>
    <n v="6"/>
    <x v="3"/>
    <x v="10"/>
    <x v="6"/>
    <n v="27560"/>
    <n v="0"/>
    <n v="27560"/>
    <x v="0"/>
    <x v="1"/>
    <n v="388255"/>
    <x v="6"/>
    <s v="Texora S.A"/>
  </r>
  <r>
    <m/>
    <s v="TRASPASO"/>
    <d v="2022-06-28T00:00:00"/>
    <n v="6"/>
    <x v="0"/>
    <x v="11"/>
    <x v="6"/>
    <n v="5236"/>
    <n v="0"/>
    <n v="5236"/>
    <x v="0"/>
    <x v="1"/>
    <n v="388255"/>
    <x v="6"/>
    <s v="Texora S.A"/>
  </r>
  <r>
    <m/>
    <s v="TRASPASO"/>
    <d v="2022-06-28T00:00:00"/>
    <n v="6"/>
    <x v="1"/>
    <x v="12"/>
    <x v="6"/>
    <n v="0"/>
    <n v="32796"/>
    <n v="-32796"/>
    <x v="0"/>
    <x v="1"/>
    <n v="388255"/>
    <x v="6"/>
    <s v="Texora S.A"/>
  </r>
  <r>
    <m/>
    <s v="TRASPASO"/>
    <d v="2022-06-29T00:00:00"/>
    <n v="6"/>
    <x v="3"/>
    <x v="10"/>
    <x v="6"/>
    <n v="71000"/>
    <n v="0"/>
    <n v="71000"/>
    <x v="0"/>
    <x v="1"/>
    <n v="388495"/>
    <x v="6"/>
    <s v="Texora S.A"/>
  </r>
  <r>
    <m/>
    <s v="TRASPASO"/>
    <d v="2022-06-29T00:00:00"/>
    <n v="6"/>
    <x v="0"/>
    <x v="11"/>
    <x v="6"/>
    <n v="13490"/>
    <n v="0"/>
    <n v="13490"/>
    <x v="0"/>
    <x v="1"/>
    <n v="388495"/>
    <x v="6"/>
    <s v="Texora S.A"/>
  </r>
  <r>
    <m/>
    <s v="TRASPASO"/>
    <d v="2022-06-29T00:00:00"/>
    <n v="6"/>
    <x v="1"/>
    <x v="12"/>
    <x v="6"/>
    <n v="0"/>
    <n v="84490"/>
    <n v="-84490"/>
    <x v="0"/>
    <x v="1"/>
    <n v="388495"/>
    <x v="6"/>
    <s v="Texora S.A"/>
  </r>
  <r>
    <m/>
    <s v="TRASPASO"/>
    <d v="2022-06-10T00:00:00"/>
    <n v="6"/>
    <x v="3"/>
    <x v="10"/>
    <x v="6"/>
    <n v="114377"/>
    <n v="0"/>
    <n v="114377"/>
    <x v="0"/>
    <x v="3"/>
    <n v="98"/>
    <x v="16"/>
    <s v="SIMPLE TAX SPA"/>
  </r>
  <r>
    <m/>
    <s v="TRASPASO"/>
    <d v="2022-06-10T00:00:00"/>
    <n v="6"/>
    <x v="0"/>
    <x v="11"/>
    <x v="6"/>
    <n v="0"/>
    <n v="0"/>
    <n v="0"/>
    <x v="0"/>
    <x v="3"/>
    <n v="98"/>
    <x v="16"/>
    <s v="SIMPLE TAX SPA"/>
  </r>
  <r>
    <m/>
    <s v="TRASPASO"/>
    <d v="2022-06-10T00:00:00"/>
    <n v="6"/>
    <x v="1"/>
    <x v="12"/>
    <x v="6"/>
    <n v="0"/>
    <n v="114377"/>
    <n v="-114377"/>
    <x v="0"/>
    <x v="3"/>
    <n v="98"/>
    <x v="16"/>
    <s v="SIMPLE TAX SPA"/>
  </r>
  <r>
    <m/>
    <s v="TRASPASO"/>
    <d v="2022-07-04T00:00:00"/>
    <n v="7"/>
    <x v="3"/>
    <x v="10"/>
    <x v="6"/>
    <n v="176020"/>
    <n v="0"/>
    <n v="176020"/>
    <x v="0"/>
    <x v="1"/>
    <n v="389080"/>
    <x v="6"/>
    <s v="Texora S.A"/>
  </r>
  <r>
    <m/>
    <s v="TRASPASO"/>
    <d v="2022-07-04T00:00:00"/>
    <n v="7"/>
    <x v="0"/>
    <x v="11"/>
    <x v="6"/>
    <n v="33444"/>
    <n v="0"/>
    <n v="33444"/>
    <x v="0"/>
    <x v="1"/>
    <n v="389080"/>
    <x v="6"/>
    <s v="Texora S.A"/>
  </r>
  <r>
    <m/>
    <s v="TRASPASO"/>
    <d v="2022-07-04T00:00:00"/>
    <n v="7"/>
    <x v="1"/>
    <x v="12"/>
    <x v="6"/>
    <n v="0"/>
    <n v="209464"/>
    <n v="-209464"/>
    <x v="0"/>
    <x v="1"/>
    <n v="389080"/>
    <x v="6"/>
    <s v="Texora S.A"/>
  </r>
  <r>
    <m/>
    <s v="TRASPASO"/>
    <d v="2022-07-08T00:00:00"/>
    <n v="7"/>
    <x v="3"/>
    <x v="10"/>
    <x v="6"/>
    <n v="10084"/>
    <n v="0"/>
    <n v="10084"/>
    <x v="0"/>
    <x v="1"/>
    <n v="18005"/>
    <x v="18"/>
    <s v="COMERCIALIZADORA KASPI LTDA."/>
  </r>
  <r>
    <m/>
    <s v="TRASPASO"/>
    <d v="2022-07-08T00:00:00"/>
    <n v="7"/>
    <x v="0"/>
    <x v="11"/>
    <x v="6"/>
    <n v="1916"/>
    <n v="0"/>
    <n v="1916"/>
    <x v="0"/>
    <x v="1"/>
    <n v="18005"/>
    <x v="18"/>
    <s v="COMERCIALIZADORA KASPI LTDA."/>
  </r>
  <r>
    <m/>
    <s v="TRASPASO"/>
    <d v="2022-07-08T00:00:00"/>
    <n v="7"/>
    <x v="1"/>
    <x v="12"/>
    <x v="6"/>
    <n v="0"/>
    <n v="12000"/>
    <n v="-12000"/>
    <x v="0"/>
    <x v="1"/>
    <n v="18005"/>
    <x v="18"/>
    <s v="COMERCIALIZADORA KASPI LTDA."/>
  </r>
  <r>
    <m/>
    <s v="TRASPASO"/>
    <d v="2022-07-14T00:00:00"/>
    <n v="7"/>
    <x v="3"/>
    <x v="10"/>
    <x v="6"/>
    <n v="79960"/>
    <n v="0"/>
    <n v="79960"/>
    <x v="0"/>
    <x v="1"/>
    <n v="390768"/>
    <x v="6"/>
    <s v="Texora S.A"/>
  </r>
  <r>
    <m/>
    <s v="TRASPASO"/>
    <d v="2022-07-14T00:00:00"/>
    <n v="7"/>
    <x v="0"/>
    <x v="11"/>
    <x v="6"/>
    <n v="15192"/>
    <n v="0"/>
    <n v="15192"/>
    <x v="0"/>
    <x v="1"/>
    <n v="390768"/>
    <x v="6"/>
    <s v="Texora S.A"/>
  </r>
  <r>
    <m/>
    <s v="TRASPASO"/>
    <d v="2022-07-14T00:00:00"/>
    <n v="7"/>
    <x v="1"/>
    <x v="12"/>
    <x v="6"/>
    <n v="0"/>
    <n v="95152"/>
    <n v="-95152"/>
    <x v="0"/>
    <x v="1"/>
    <n v="390768"/>
    <x v="6"/>
    <s v="Texora S.A"/>
  </r>
  <r>
    <m/>
    <s v="TRASPASO"/>
    <d v="2022-07-15T00:00:00"/>
    <n v="7"/>
    <x v="3"/>
    <x v="10"/>
    <x v="6"/>
    <n v="58779"/>
    <n v="0"/>
    <n v="58779"/>
    <x v="0"/>
    <x v="1"/>
    <n v="176186"/>
    <x v="7"/>
    <s v="MICROGEO S.A."/>
  </r>
  <r>
    <m/>
    <s v="TRASPASO"/>
    <d v="2022-07-15T00:00:00"/>
    <n v="7"/>
    <x v="0"/>
    <x v="11"/>
    <x v="6"/>
    <n v="11168"/>
    <n v="0"/>
    <n v="11168"/>
    <x v="0"/>
    <x v="1"/>
    <n v="176186"/>
    <x v="7"/>
    <s v="MICROGEO S.A."/>
  </r>
  <r>
    <m/>
    <s v="TRASPASO"/>
    <d v="2022-07-15T00:00:00"/>
    <n v="7"/>
    <x v="1"/>
    <x v="12"/>
    <x v="6"/>
    <n v="0"/>
    <n v="69947"/>
    <n v="-69947"/>
    <x v="0"/>
    <x v="1"/>
    <n v="176186"/>
    <x v="7"/>
    <s v="MICROGEO S.A."/>
  </r>
  <r>
    <m/>
    <s v="TRASPASO"/>
    <d v="2022-07-20T00:00:00"/>
    <n v="7"/>
    <x v="3"/>
    <x v="10"/>
    <x v="6"/>
    <n v="104289"/>
    <n v="0"/>
    <n v="104289"/>
    <x v="0"/>
    <x v="1"/>
    <n v="356113"/>
    <x v="23"/>
    <s v="Sociedad Importadora Maritex Spa"/>
  </r>
  <r>
    <m/>
    <s v="TRASPASO"/>
    <d v="2022-07-20T00:00:00"/>
    <n v="7"/>
    <x v="0"/>
    <x v="11"/>
    <x v="6"/>
    <n v="19815"/>
    <n v="0"/>
    <n v="19815"/>
    <x v="0"/>
    <x v="1"/>
    <n v="356113"/>
    <x v="23"/>
    <s v="Sociedad Importadora Maritex Spa"/>
  </r>
  <r>
    <m/>
    <s v="TRASPASO"/>
    <d v="2022-07-20T00:00:00"/>
    <n v="7"/>
    <x v="1"/>
    <x v="12"/>
    <x v="6"/>
    <n v="0"/>
    <n v="124104"/>
    <n v="-124104"/>
    <x v="0"/>
    <x v="1"/>
    <n v="356113"/>
    <x v="23"/>
    <s v="Sociedad Importadora Maritex Spa"/>
  </r>
  <r>
    <m/>
    <s v="TRASPASO"/>
    <d v="2022-07-16T00:00:00"/>
    <n v="7"/>
    <x v="3"/>
    <x v="10"/>
    <x v="6"/>
    <n v="36101"/>
    <n v="0"/>
    <n v="36101"/>
    <x v="0"/>
    <x v="1"/>
    <n v="10350611"/>
    <x v="9"/>
    <s v="WOM S.A."/>
  </r>
  <r>
    <m/>
    <s v="TRASPASO"/>
    <d v="2022-07-16T00:00:00"/>
    <n v="7"/>
    <x v="0"/>
    <x v="11"/>
    <x v="6"/>
    <n v="6859"/>
    <n v="0"/>
    <n v="6859"/>
    <x v="0"/>
    <x v="1"/>
    <n v="10350611"/>
    <x v="9"/>
    <s v="WOM S.A."/>
  </r>
  <r>
    <m/>
    <s v="TRASPASO"/>
    <d v="2022-07-16T00:00:00"/>
    <n v="7"/>
    <x v="1"/>
    <x v="12"/>
    <x v="6"/>
    <n v="0"/>
    <n v="42960"/>
    <n v="-42960"/>
    <x v="0"/>
    <x v="1"/>
    <n v="10350611"/>
    <x v="9"/>
    <s v="WOM S.A."/>
  </r>
  <r>
    <m/>
    <s v="TRASPASO"/>
    <d v="2022-07-25T00:00:00"/>
    <n v="7"/>
    <x v="3"/>
    <x v="10"/>
    <x v="6"/>
    <n v="2163830"/>
    <n v="0"/>
    <n v="2163830"/>
    <x v="0"/>
    <x v="1"/>
    <n v="392204"/>
    <x v="6"/>
    <s v="Texora S.A"/>
  </r>
  <r>
    <m/>
    <s v="TRASPASO"/>
    <d v="2022-07-25T00:00:00"/>
    <n v="7"/>
    <x v="0"/>
    <x v="11"/>
    <x v="6"/>
    <n v="411128"/>
    <n v="0"/>
    <n v="411128"/>
    <x v="0"/>
    <x v="1"/>
    <n v="392204"/>
    <x v="6"/>
    <s v="Texora S.A"/>
  </r>
  <r>
    <m/>
    <s v="TRASPASO"/>
    <d v="2022-07-25T00:00:00"/>
    <n v="7"/>
    <x v="1"/>
    <x v="12"/>
    <x v="6"/>
    <n v="0"/>
    <n v="2574958"/>
    <n v="-2574958"/>
    <x v="0"/>
    <x v="1"/>
    <n v="392204"/>
    <x v="6"/>
    <s v="Texora S.A"/>
  </r>
  <r>
    <m/>
    <s v="TRASPASO"/>
    <d v="2022-07-26T00:00:00"/>
    <n v="7"/>
    <x v="3"/>
    <x v="10"/>
    <x v="6"/>
    <n v="73529"/>
    <n v="0"/>
    <n v="73529"/>
    <x v="0"/>
    <x v="1"/>
    <n v="3237"/>
    <x v="22"/>
    <s v="IMPORTADORA Y EXPORTADORA FUMI ZZ LIMITADA"/>
  </r>
  <r>
    <m/>
    <s v="TRASPASO"/>
    <d v="2022-07-26T00:00:00"/>
    <n v="7"/>
    <x v="0"/>
    <x v="11"/>
    <x v="6"/>
    <n v="13971"/>
    <n v="0"/>
    <n v="13971"/>
    <x v="0"/>
    <x v="1"/>
    <n v="3237"/>
    <x v="22"/>
    <s v="IMPORTADORA Y EXPORTADORA FUMI ZZ LIMITADA"/>
  </r>
  <r>
    <m/>
    <s v="TRASPASO"/>
    <d v="2022-07-26T00:00:00"/>
    <n v="7"/>
    <x v="1"/>
    <x v="12"/>
    <x v="6"/>
    <n v="0"/>
    <n v="87500"/>
    <n v="-87500"/>
    <x v="0"/>
    <x v="1"/>
    <n v="3237"/>
    <x v="22"/>
    <s v="IMPORTADORA Y EXPORTADORA FUMI ZZ LIMITADA"/>
  </r>
  <r>
    <m/>
    <s v="TRASPASO"/>
    <d v="2022-07-27T00:00:00"/>
    <n v="7"/>
    <x v="3"/>
    <x v="10"/>
    <x v="6"/>
    <n v="387730"/>
    <n v="0"/>
    <n v="387730"/>
    <x v="0"/>
    <x v="1"/>
    <n v="392719"/>
    <x v="6"/>
    <s v="Texora S.A"/>
  </r>
  <r>
    <m/>
    <s v="TRASPASO"/>
    <d v="2022-07-27T00:00:00"/>
    <n v="7"/>
    <x v="0"/>
    <x v="11"/>
    <x v="6"/>
    <n v="73669"/>
    <n v="0"/>
    <n v="73669"/>
    <x v="0"/>
    <x v="1"/>
    <n v="392719"/>
    <x v="6"/>
    <s v="Texora S.A"/>
  </r>
  <r>
    <m/>
    <s v="TRASPASO"/>
    <d v="2022-07-27T00:00:00"/>
    <n v="7"/>
    <x v="1"/>
    <x v="12"/>
    <x v="6"/>
    <n v="0"/>
    <n v="461399"/>
    <n v="-461399"/>
    <x v="0"/>
    <x v="1"/>
    <n v="392719"/>
    <x v="6"/>
    <s v="Texora S.A"/>
  </r>
  <r>
    <m/>
    <s v="TRASPASO"/>
    <d v="2022-07-27T00:00:00"/>
    <n v="7"/>
    <x v="3"/>
    <x v="10"/>
    <x v="6"/>
    <n v="40680"/>
    <n v="0"/>
    <n v="40680"/>
    <x v="0"/>
    <x v="1"/>
    <n v="392721"/>
    <x v="6"/>
    <s v="Texora S.A"/>
  </r>
  <r>
    <m/>
    <s v="TRASPASO"/>
    <d v="2022-07-27T00:00:00"/>
    <n v="7"/>
    <x v="0"/>
    <x v="11"/>
    <x v="6"/>
    <n v="7729"/>
    <n v="0"/>
    <n v="7729"/>
    <x v="0"/>
    <x v="1"/>
    <n v="392721"/>
    <x v="6"/>
    <s v="Texora S.A"/>
  </r>
  <r>
    <m/>
    <s v="TRASPASO"/>
    <d v="2022-07-27T00:00:00"/>
    <n v="7"/>
    <x v="1"/>
    <x v="12"/>
    <x v="6"/>
    <n v="0"/>
    <n v="48409"/>
    <n v="-48409"/>
    <x v="0"/>
    <x v="1"/>
    <n v="392721"/>
    <x v="6"/>
    <s v="Texora S.A"/>
  </r>
  <r>
    <m/>
    <s v="TRASPASO"/>
    <d v="2022-07-28T00:00:00"/>
    <n v="7"/>
    <x v="3"/>
    <x v="10"/>
    <x v="6"/>
    <n v="49020"/>
    <n v="0"/>
    <n v="49020"/>
    <x v="0"/>
    <x v="1"/>
    <n v="392837"/>
    <x v="6"/>
    <s v="Texora S.A"/>
  </r>
  <r>
    <m/>
    <s v="TRASPASO"/>
    <d v="2022-07-28T00:00:00"/>
    <n v="7"/>
    <x v="0"/>
    <x v="11"/>
    <x v="6"/>
    <n v="9314"/>
    <n v="0"/>
    <n v="9314"/>
    <x v="0"/>
    <x v="1"/>
    <n v="392837"/>
    <x v="6"/>
    <s v="Texora S.A"/>
  </r>
  <r>
    <m/>
    <s v="TRASPASO"/>
    <d v="2022-07-28T00:00:00"/>
    <n v="7"/>
    <x v="1"/>
    <x v="12"/>
    <x v="6"/>
    <n v="0"/>
    <n v="58334"/>
    <n v="-58334"/>
    <x v="0"/>
    <x v="1"/>
    <n v="392837"/>
    <x v="6"/>
    <s v="Texora S.A"/>
  </r>
  <r>
    <m/>
    <s v="TRASPASO"/>
    <d v="2022-07-28T00:00:00"/>
    <n v="7"/>
    <x v="3"/>
    <x v="10"/>
    <x v="6"/>
    <n v="115801"/>
    <n v="0"/>
    <n v="115801"/>
    <x v="0"/>
    <x v="3"/>
    <n v="103"/>
    <x v="16"/>
    <s v="SIMPLE TAX SPA"/>
  </r>
  <r>
    <m/>
    <s v="TRASPASO"/>
    <d v="2022-07-28T00:00:00"/>
    <n v="7"/>
    <x v="0"/>
    <x v="11"/>
    <x v="6"/>
    <n v="0"/>
    <n v="0"/>
    <n v="0"/>
    <x v="0"/>
    <x v="3"/>
    <n v="103"/>
    <x v="16"/>
    <s v="SIMPLE TAX SPA"/>
  </r>
  <r>
    <m/>
    <s v="TRASPASO"/>
    <d v="2022-07-28T00:00:00"/>
    <n v="7"/>
    <x v="1"/>
    <x v="12"/>
    <x v="6"/>
    <n v="0"/>
    <n v="115801"/>
    <n v="-115801"/>
    <x v="0"/>
    <x v="3"/>
    <n v="103"/>
    <x v="16"/>
    <s v="SIMPLE TAX SPA"/>
  </r>
  <r>
    <m/>
    <s v="TRASPASO"/>
    <d v="2022-08-01T00:00:00"/>
    <n v="8"/>
    <x v="3"/>
    <x v="10"/>
    <x v="6"/>
    <n v="35710"/>
    <n v="0"/>
    <n v="35710"/>
    <x v="0"/>
    <x v="1"/>
    <n v="309181"/>
    <x v="12"/>
    <s v="COMERCIAL SATEX LTDA"/>
  </r>
  <r>
    <m/>
    <s v="TRASPASO"/>
    <d v="2022-08-01T00:00:00"/>
    <n v="8"/>
    <x v="0"/>
    <x v="11"/>
    <x v="6"/>
    <n v="6785"/>
    <n v="0"/>
    <n v="6785"/>
    <x v="0"/>
    <x v="1"/>
    <n v="309181"/>
    <x v="12"/>
    <s v="COMERCIAL SATEX LTDA"/>
  </r>
  <r>
    <m/>
    <s v="TRASPASO"/>
    <d v="2022-08-01T00:00:00"/>
    <n v="8"/>
    <x v="1"/>
    <x v="12"/>
    <x v="6"/>
    <n v="0"/>
    <n v="42495"/>
    <n v="-42495"/>
    <x v="0"/>
    <x v="1"/>
    <n v="309181"/>
    <x v="12"/>
    <s v="COMERCIAL SATEX LTDA"/>
  </r>
  <r>
    <m/>
    <s v="TRASPASO"/>
    <d v="2022-08-01T00:00:00"/>
    <n v="8"/>
    <x v="3"/>
    <x v="10"/>
    <x v="6"/>
    <n v="17855"/>
    <n v="0"/>
    <n v="17855"/>
    <x v="0"/>
    <x v="1"/>
    <n v="309185"/>
    <x v="12"/>
    <s v="COMERCIAL SATEX LTDA"/>
  </r>
  <r>
    <m/>
    <s v="TRASPASO"/>
    <d v="2022-08-01T00:00:00"/>
    <n v="8"/>
    <x v="0"/>
    <x v="11"/>
    <x v="6"/>
    <n v="3392"/>
    <n v="0"/>
    <n v="3392"/>
    <x v="0"/>
    <x v="1"/>
    <n v="309185"/>
    <x v="12"/>
    <s v="COMERCIAL SATEX LTDA"/>
  </r>
  <r>
    <m/>
    <s v="TRASPASO"/>
    <d v="2022-08-01T00:00:00"/>
    <n v="8"/>
    <x v="1"/>
    <x v="12"/>
    <x v="6"/>
    <n v="0"/>
    <n v="21247"/>
    <n v="-21247"/>
    <x v="0"/>
    <x v="1"/>
    <n v="309185"/>
    <x v="12"/>
    <s v="COMERCIAL SATEX LTDA"/>
  </r>
  <r>
    <m/>
    <s v="TRASPASO"/>
    <d v="2022-08-01T00:00:00"/>
    <n v="8"/>
    <x v="3"/>
    <x v="10"/>
    <x v="6"/>
    <n v="9916"/>
    <n v="0"/>
    <n v="9916"/>
    <x v="0"/>
    <x v="1"/>
    <n v="208"/>
    <x v="30"/>
    <s v="CHRISTIAN ANDRES TRIGO ALBORNOZ"/>
  </r>
  <r>
    <m/>
    <s v="TRASPASO"/>
    <d v="2022-08-01T00:00:00"/>
    <n v="8"/>
    <x v="0"/>
    <x v="11"/>
    <x v="6"/>
    <n v="1884"/>
    <n v="0"/>
    <n v="1884"/>
    <x v="0"/>
    <x v="1"/>
    <n v="208"/>
    <x v="30"/>
    <s v="CHRISTIAN ANDRES TRIGO ALBORNOZ"/>
  </r>
  <r>
    <m/>
    <s v="TRASPASO"/>
    <d v="2022-08-01T00:00:00"/>
    <n v="8"/>
    <x v="1"/>
    <x v="12"/>
    <x v="6"/>
    <n v="0"/>
    <n v="11800"/>
    <n v="-11800"/>
    <x v="0"/>
    <x v="1"/>
    <n v="208"/>
    <x v="30"/>
    <s v="CHRISTIAN ANDRES TRIGO ALBORNOZ"/>
  </r>
  <r>
    <m/>
    <s v="TRASPASO"/>
    <d v="2022-08-02T00:00:00"/>
    <n v="8"/>
    <x v="3"/>
    <x v="10"/>
    <x v="6"/>
    <n v="70417"/>
    <n v="0"/>
    <n v="70417"/>
    <x v="0"/>
    <x v="1"/>
    <n v="357215"/>
    <x v="23"/>
    <s v="Sociedad Importadora Maritex Spa"/>
  </r>
  <r>
    <m/>
    <s v="TRASPASO"/>
    <d v="2022-08-02T00:00:00"/>
    <n v="8"/>
    <x v="0"/>
    <x v="11"/>
    <x v="6"/>
    <n v="13379"/>
    <n v="0"/>
    <n v="13379"/>
    <x v="0"/>
    <x v="1"/>
    <n v="357215"/>
    <x v="23"/>
    <s v="Sociedad Importadora Maritex Spa"/>
  </r>
  <r>
    <m/>
    <s v="TRASPASO"/>
    <d v="2022-08-02T00:00:00"/>
    <n v="8"/>
    <x v="1"/>
    <x v="12"/>
    <x v="6"/>
    <n v="0"/>
    <n v="83796"/>
    <n v="-83796"/>
    <x v="0"/>
    <x v="1"/>
    <n v="357215"/>
    <x v="23"/>
    <s v="Sociedad Importadora Maritex Spa"/>
  </r>
  <r>
    <m/>
    <s v="TRASPASO"/>
    <d v="2022-08-03T00:00:00"/>
    <n v="8"/>
    <x v="3"/>
    <x v="10"/>
    <x v="6"/>
    <n v="216356"/>
    <n v="0"/>
    <n v="216356"/>
    <x v="0"/>
    <x v="1"/>
    <n v="34874"/>
    <x v="21"/>
    <s v="SOCIEDAD TEXORA WORKWEAR STORE CHILE SPA"/>
  </r>
  <r>
    <m/>
    <s v="TRASPASO"/>
    <d v="2022-08-03T00:00:00"/>
    <n v="8"/>
    <x v="0"/>
    <x v="11"/>
    <x v="6"/>
    <n v="41108"/>
    <n v="0"/>
    <n v="41108"/>
    <x v="0"/>
    <x v="1"/>
    <n v="34874"/>
    <x v="21"/>
    <s v="SOCIEDAD TEXORA WORKWEAR STORE CHILE SPA"/>
  </r>
  <r>
    <m/>
    <s v="TRASPASO"/>
    <d v="2022-08-03T00:00:00"/>
    <n v="8"/>
    <x v="1"/>
    <x v="12"/>
    <x v="6"/>
    <n v="0"/>
    <n v="257464"/>
    <n v="-257464"/>
    <x v="0"/>
    <x v="1"/>
    <n v="34874"/>
    <x v="21"/>
    <s v="SOCIEDAD TEXORA WORKWEAR STORE CHILE SPA"/>
  </r>
  <r>
    <m/>
    <s v="TRASPASO"/>
    <d v="2022-08-03T00:00:00"/>
    <n v="8"/>
    <x v="3"/>
    <x v="10"/>
    <x v="6"/>
    <n v="14970"/>
    <n v="0"/>
    <n v="14970"/>
    <x v="0"/>
    <x v="1"/>
    <n v="393527"/>
    <x v="6"/>
    <s v="Texora S.A"/>
  </r>
  <r>
    <m/>
    <s v="TRASPASO"/>
    <d v="2022-08-03T00:00:00"/>
    <n v="8"/>
    <x v="0"/>
    <x v="11"/>
    <x v="6"/>
    <n v="2844"/>
    <n v="0"/>
    <n v="2844"/>
    <x v="0"/>
    <x v="1"/>
    <n v="393527"/>
    <x v="6"/>
    <s v="Texora S.A"/>
  </r>
  <r>
    <m/>
    <s v="TRASPASO"/>
    <d v="2022-08-03T00:00:00"/>
    <n v="8"/>
    <x v="1"/>
    <x v="12"/>
    <x v="6"/>
    <n v="0"/>
    <n v="17814"/>
    <n v="-17814"/>
    <x v="0"/>
    <x v="1"/>
    <n v="393527"/>
    <x v="6"/>
    <s v="Texora S.A"/>
  </r>
  <r>
    <m/>
    <s v="TRASPASO"/>
    <d v="2022-08-05T00:00:00"/>
    <n v="8"/>
    <x v="3"/>
    <x v="10"/>
    <x v="6"/>
    <n v="23520"/>
    <n v="0"/>
    <n v="23520"/>
    <x v="0"/>
    <x v="1"/>
    <n v="393868"/>
    <x v="6"/>
    <s v="Texora S.A"/>
  </r>
  <r>
    <m/>
    <s v="TRASPASO"/>
    <d v="2022-08-05T00:00:00"/>
    <n v="8"/>
    <x v="0"/>
    <x v="11"/>
    <x v="6"/>
    <n v="4469"/>
    <n v="0"/>
    <n v="4469"/>
    <x v="0"/>
    <x v="1"/>
    <n v="393868"/>
    <x v="6"/>
    <s v="Texora S.A"/>
  </r>
  <r>
    <m/>
    <s v="TRASPASO"/>
    <d v="2022-08-05T00:00:00"/>
    <n v="8"/>
    <x v="1"/>
    <x v="12"/>
    <x v="6"/>
    <n v="0"/>
    <n v="27989"/>
    <n v="-27989"/>
    <x v="0"/>
    <x v="1"/>
    <n v="393868"/>
    <x v="6"/>
    <s v="Texora S.A"/>
  </r>
  <r>
    <m/>
    <s v="TRASPASO"/>
    <d v="2022-08-09T00:00:00"/>
    <n v="8"/>
    <x v="3"/>
    <x v="10"/>
    <x v="6"/>
    <n v="9916"/>
    <n v="0"/>
    <n v="9916"/>
    <x v="0"/>
    <x v="1"/>
    <n v="31"/>
    <x v="26"/>
    <s v="TODO EMPAQUE SPA"/>
  </r>
  <r>
    <m/>
    <s v="TRASPASO"/>
    <d v="2022-08-09T00:00:00"/>
    <n v="8"/>
    <x v="0"/>
    <x v="11"/>
    <x v="6"/>
    <n v="1884"/>
    <n v="0"/>
    <n v="1884"/>
    <x v="0"/>
    <x v="1"/>
    <n v="31"/>
    <x v="26"/>
    <s v="TODO EMPAQUE SPA"/>
  </r>
  <r>
    <m/>
    <s v="TRASPASO"/>
    <d v="2022-08-09T00:00:00"/>
    <n v="8"/>
    <x v="1"/>
    <x v="12"/>
    <x v="6"/>
    <n v="0"/>
    <n v="11800"/>
    <n v="-11800"/>
    <x v="0"/>
    <x v="1"/>
    <n v="31"/>
    <x v="26"/>
    <s v="TODO EMPAQUE SPA"/>
  </r>
  <r>
    <m/>
    <s v="TRASPASO"/>
    <d v="2022-08-11T00:00:00"/>
    <n v="8"/>
    <x v="3"/>
    <x v="10"/>
    <x v="6"/>
    <n v="47100"/>
    <n v="0"/>
    <n v="47100"/>
    <x v="0"/>
    <x v="1"/>
    <n v="952"/>
    <x v="17"/>
    <s v="CASA YSS SPA"/>
  </r>
  <r>
    <m/>
    <s v="TRASPASO"/>
    <d v="2022-08-11T00:00:00"/>
    <n v="8"/>
    <x v="0"/>
    <x v="11"/>
    <x v="6"/>
    <n v="8949"/>
    <n v="0"/>
    <n v="8949"/>
    <x v="0"/>
    <x v="1"/>
    <n v="952"/>
    <x v="17"/>
    <s v="CASA YSS SPA"/>
  </r>
  <r>
    <m/>
    <s v="TRASPASO"/>
    <d v="2022-08-11T00:00:00"/>
    <n v="8"/>
    <x v="1"/>
    <x v="12"/>
    <x v="6"/>
    <n v="0"/>
    <n v="56049"/>
    <n v="-56049"/>
    <x v="0"/>
    <x v="1"/>
    <n v="952"/>
    <x v="17"/>
    <s v="CASA YSS SPA"/>
  </r>
  <r>
    <m/>
    <s v="TRASPASO"/>
    <d v="2022-08-11T00:00:00"/>
    <n v="8"/>
    <x v="3"/>
    <x v="10"/>
    <x v="6"/>
    <n v="51030"/>
    <n v="0"/>
    <n v="51030"/>
    <x v="0"/>
    <x v="1"/>
    <n v="394705"/>
    <x v="6"/>
    <s v="Texora S.A"/>
  </r>
  <r>
    <m/>
    <s v="TRASPASO"/>
    <d v="2022-08-11T00:00:00"/>
    <n v="8"/>
    <x v="0"/>
    <x v="11"/>
    <x v="6"/>
    <n v="9696"/>
    <n v="0"/>
    <n v="9696"/>
    <x v="0"/>
    <x v="1"/>
    <n v="394705"/>
    <x v="6"/>
    <s v="Texora S.A"/>
  </r>
  <r>
    <m/>
    <s v="TRASPASO"/>
    <d v="2022-08-11T00:00:00"/>
    <n v="8"/>
    <x v="1"/>
    <x v="12"/>
    <x v="6"/>
    <n v="0"/>
    <n v="60726"/>
    <n v="-60726"/>
    <x v="0"/>
    <x v="1"/>
    <n v="394705"/>
    <x v="6"/>
    <s v="Texora S.A"/>
  </r>
  <r>
    <m/>
    <s v="TRASPASO"/>
    <d v="2022-08-11T00:00:00"/>
    <n v="8"/>
    <x v="3"/>
    <x v="10"/>
    <x v="6"/>
    <n v="155675"/>
    <n v="0"/>
    <n v="155675"/>
    <x v="0"/>
    <x v="1"/>
    <n v="690593"/>
    <x v="5"/>
    <s v="Comercial Mundo Transfer Ltda"/>
  </r>
  <r>
    <m/>
    <s v="TRASPASO"/>
    <d v="2022-08-11T00:00:00"/>
    <n v="8"/>
    <x v="0"/>
    <x v="11"/>
    <x v="6"/>
    <n v="29578"/>
    <n v="0"/>
    <n v="29578"/>
    <x v="0"/>
    <x v="1"/>
    <n v="690593"/>
    <x v="5"/>
    <s v="Comercial Mundo Transfer Ltda"/>
  </r>
  <r>
    <m/>
    <s v="TRASPASO"/>
    <d v="2022-08-11T00:00:00"/>
    <n v="8"/>
    <x v="1"/>
    <x v="12"/>
    <x v="6"/>
    <n v="0"/>
    <n v="185253"/>
    <n v="-185253"/>
    <x v="0"/>
    <x v="1"/>
    <n v="690593"/>
    <x v="5"/>
    <s v="Comercial Mundo Transfer Ltda"/>
  </r>
  <r>
    <m/>
    <s v="TRASPASO"/>
    <d v="2022-08-12T00:00:00"/>
    <n v="8"/>
    <x v="3"/>
    <x v="10"/>
    <x v="6"/>
    <n v="126520"/>
    <n v="0"/>
    <n v="126520"/>
    <x v="0"/>
    <x v="1"/>
    <n v="394870"/>
    <x v="6"/>
    <s v="Texora S.A"/>
  </r>
  <r>
    <m/>
    <s v="TRASPASO"/>
    <d v="2022-08-12T00:00:00"/>
    <n v="8"/>
    <x v="0"/>
    <x v="11"/>
    <x v="6"/>
    <n v="24039"/>
    <n v="0"/>
    <n v="24039"/>
    <x v="0"/>
    <x v="1"/>
    <n v="394870"/>
    <x v="6"/>
    <s v="Texora S.A"/>
  </r>
  <r>
    <m/>
    <s v="TRASPASO"/>
    <d v="2022-08-12T00:00:00"/>
    <n v="8"/>
    <x v="1"/>
    <x v="12"/>
    <x v="6"/>
    <n v="0"/>
    <n v="150559"/>
    <n v="-150559"/>
    <x v="0"/>
    <x v="1"/>
    <n v="394870"/>
    <x v="6"/>
    <s v="Texora S.A"/>
  </r>
  <r>
    <m/>
    <s v="TRASPASO"/>
    <d v="2022-08-12T00:00:00"/>
    <n v="8"/>
    <x v="3"/>
    <x v="10"/>
    <x v="6"/>
    <n v="137480"/>
    <n v="0"/>
    <n v="137480"/>
    <x v="0"/>
    <x v="1"/>
    <n v="394873"/>
    <x v="6"/>
    <s v="Texora S.A"/>
  </r>
  <r>
    <m/>
    <s v="TRASPASO"/>
    <d v="2022-08-12T00:00:00"/>
    <n v="8"/>
    <x v="0"/>
    <x v="11"/>
    <x v="6"/>
    <n v="26121"/>
    <n v="0"/>
    <n v="26121"/>
    <x v="0"/>
    <x v="1"/>
    <n v="394873"/>
    <x v="6"/>
    <s v="Texora S.A"/>
  </r>
  <r>
    <m/>
    <s v="TRASPASO"/>
    <d v="2022-08-12T00:00:00"/>
    <n v="8"/>
    <x v="1"/>
    <x v="12"/>
    <x v="6"/>
    <n v="0"/>
    <n v="163601"/>
    <n v="-163601"/>
    <x v="0"/>
    <x v="1"/>
    <n v="394873"/>
    <x v="6"/>
    <s v="Texora S.A"/>
  </r>
  <r>
    <m/>
    <s v="TRASPASO"/>
    <d v="2022-08-12T00:00:00"/>
    <n v="8"/>
    <x v="3"/>
    <x v="10"/>
    <x v="6"/>
    <n v="294060"/>
    <n v="0"/>
    <n v="294060"/>
    <x v="0"/>
    <x v="1"/>
    <n v="394874"/>
    <x v="6"/>
    <s v="Texora S.A"/>
  </r>
  <r>
    <m/>
    <s v="TRASPASO"/>
    <d v="2022-08-12T00:00:00"/>
    <n v="8"/>
    <x v="0"/>
    <x v="11"/>
    <x v="6"/>
    <n v="55871"/>
    <n v="0"/>
    <n v="55871"/>
    <x v="0"/>
    <x v="1"/>
    <n v="394874"/>
    <x v="6"/>
    <s v="Texora S.A"/>
  </r>
  <r>
    <m/>
    <s v="TRASPASO"/>
    <d v="2022-08-12T00:00:00"/>
    <n v="8"/>
    <x v="1"/>
    <x v="12"/>
    <x v="6"/>
    <n v="0"/>
    <n v="349931"/>
    <n v="-349931"/>
    <x v="0"/>
    <x v="1"/>
    <n v="394874"/>
    <x v="6"/>
    <s v="Texora S.A"/>
  </r>
  <r>
    <m/>
    <s v="TRASPASO"/>
    <d v="2022-08-12T00:00:00"/>
    <n v="8"/>
    <x v="3"/>
    <x v="10"/>
    <x v="6"/>
    <n v="79530"/>
    <n v="0"/>
    <n v="79530"/>
    <x v="0"/>
    <x v="1"/>
    <n v="394872"/>
    <x v="6"/>
    <s v="Texora S.A"/>
  </r>
  <r>
    <m/>
    <s v="TRASPASO"/>
    <d v="2022-08-12T00:00:00"/>
    <n v="8"/>
    <x v="0"/>
    <x v="11"/>
    <x v="6"/>
    <n v="15111"/>
    <n v="0"/>
    <n v="15111"/>
    <x v="0"/>
    <x v="1"/>
    <n v="394872"/>
    <x v="6"/>
    <s v="Texora S.A"/>
  </r>
  <r>
    <m/>
    <s v="TRASPASO"/>
    <d v="2022-08-12T00:00:00"/>
    <n v="8"/>
    <x v="1"/>
    <x v="12"/>
    <x v="6"/>
    <n v="0"/>
    <n v="94641"/>
    <n v="-94641"/>
    <x v="0"/>
    <x v="1"/>
    <n v="394872"/>
    <x v="6"/>
    <s v="Texora S.A"/>
  </r>
  <r>
    <m/>
    <s v="TRASPASO"/>
    <d v="2022-08-12T00:00:00"/>
    <n v="8"/>
    <x v="3"/>
    <x v="10"/>
    <x v="6"/>
    <n v="50208"/>
    <n v="0"/>
    <n v="50208"/>
    <x v="0"/>
    <x v="1"/>
    <n v="690826"/>
    <x v="5"/>
    <s v="Comercial Mundo Transfer Ltda"/>
  </r>
  <r>
    <m/>
    <s v="TRASPASO"/>
    <d v="2022-08-12T00:00:00"/>
    <n v="8"/>
    <x v="0"/>
    <x v="11"/>
    <x v="6"/>
    <n v="9540"/>
    <n v="0"/>
    <n v="9540"/>
    <x v="0"/>
    <x v="1"/>
    <n v="690826"/>
    <x v="5"/>
    <s v="Comercial Mundo Transfer Ltda"/>
  </r>
  <r>
    <m/>
    <s v="TRASPASO"/>
    <d v="2022-08-12T00:00:00"/>
    <n v="8"/>
    <x v="1"/>
    <x v="12"/>
    <x v="6"/>
    <n v="0"/>
    <n v="59748"/>
    <n v="-59748"/>
    <x v="0"/>
    <x v="1"/>
    <n v="690826"/>
    <x v="5"/>
    <s v="Comercial Mundo Transfer Ltda"/>
  </r>
  <r>
    <m/>
    <s v="TRASPASO"/>
    <d v="2022-08-16T00:00:00"/>
    <n v="8"/>
    <x v="3"/>
    <x v="10"/>
    <x v="6"/>
    <n v="68610"/>
    <n v="0"/>
    <n v="68610"/>
    <x v="0"/>
    <x v="1"/>
    <n v="395181"/>
    <x v="6"/>
    <s v="Texora S.A"/>
  </r>
  <r>
    <m/>
    <s v="TRASPASO"/>
    <d v="2022-08-16T00:00:00"/>
    <n v="8"/>
    <x v="0"/>
    <x v="11"/>
    <x v="6"/>
    <n v="13036"/>
    <n v="0"/>
    <n v="13036"/>
    <x v="0"/>
    <x v="1"/>
    <n v="395181"/>
    <x v="6"/>
    <s v="Texora S.A"/>
  </r>
  <r>
    <m/>
    <s v="TRASPASO"/>
    <d v="2022-08-16T00:00:00"/>
    <n v="8"/>
    <x v="1"/>
    <x v="12"/>
    <x v="6"/>
    <n v="0"/>
    <n v="81646"/>
    <n v="-81646"/>
    <x v="0"/>
    <x v="1"/>
    <n v="395181"/>
    <x v="6"/>
    <s v="Texora S.A"/>
  </r>
  <r>
    <m/>
    <s v="TRASPASO"/>
    <d v="2022-08-17T00:00:00"/>
    <n v="8"/>
    <x v="3"/>
    <x v="10"/>
    <x v="6"/>
    <n v="117550"/>
    <n v="0"/>
    <n v="117550"/>
    <x v="0"/>
    <x v="1"/>
    <n v="395280"/>
    <x v="6"/>
    <s v="Texora S.A"/>
  </r>
  <r>
    <m/>
    <s v="TRASPASO"/>
    <d v="2022-08-17T00:00:00"/>
    <n v="8"/>
    <x v="0"/>
    <x v="11"/>
    <x v="6"/>
    <n v="22335"/>
    <n v="0"/>
    <n v="22335"/>
    <x v="0"/>
    <x v="1"/>
    <n v="395280"/>
    <x v="6"/>
    <s v="Texora S.A"/>
  </r>
  <r>
    <m/>
    <s v="TRASPASO"/>
    <d v="2022-08-17T00:00:00"/>
    <n v="8"/>
    <x v="1"/>
    <x v="12"/>
    <x v="6"/>
    <n v="0"/>
    <n v="139885"/>
    <n v="-139885"/>
    <x v="0"/>
    <x v="1"/>
    <n v="395280"/>
    <x v="6"/>
    <s v="Texora S.A"/>
  </r>
  <r>
    <m/>
    <s v="TRASPASO"/>
    <d v="2022-08-19T00:00:00"/>
    <n v="8"/>
    <x v="3"/>
    <x v="10"/>
    <x v="6"/>
    <n v="441100"/>
    <n v="0"/>
    <n v="441100"/>
    <x v="0"/>
    <x v="1"/>
    <n v="395591"/>
    <x v="6"/>
    <s v="Texora S.A"/>
  </r>
  <r>
    <m/>
    <s v="TRASPASO"/>
    <d v="2022-08-19T00:00:00"/>
    <n v="8"/>
    <x v="0"/>
    <x v="11"/>
    <x v="6"/>
    <n v="83809"/>
    <n v="0"/>
    <n v="83809"/>
    <x v="0"/>
    <x v="1"/>
    <n v="395591"/>
    <x v="6"/>
    <s v="Texora S.A"/>
  </r>
  <r>
    <m/>
    <s v="TRASPASO"/>
    <d v="2022-08-19T00:00:00"/>
    <n v="8"/>
    <x v="1"/>
    <x v="12"/>
    <x v="6"/>
    <n v="0"/>
    <n v="524909"/>
    <n v="-524909"/>
    <x v="0"/>
    <x v="1"/>
    <n v="395591"/>
    <x v="6"/>
    <s v="Texora S.A"/>
  </r>
  <r>
    <m/>
    <s v="TRASPASO"/>
    <d v="2022-08-19T00:00:00"/>
    <n v="8"/>
    <x v="3"/>
    <x v="10"/>
    <x v="6"/>
    <n v="7563"/>
    <n v="0"/>
    <n v="7563"/>
    <x v="0"/>
    <x v="1"/>
    <n v="12141"/>
    <x v="31"/>
    <s v="COMERCIAL AHN Y PAEK LTDA"/>
  </r>
  <r>
    <m/>
    <s v="TRASPASO"/>
    <d v="2022-08-19T00:00:00"/>
    <n v="8"/>
    <x v="0"/>
    <x v="11"/>
    <x v="6"/>
    <n v="1437"/>
    <n v="0"/>
    <n v="1437"/>
    <x v="0"/>
    <x v="1"/>
    <n v="12141"/>
    <x v="31"/>
    <s v="COMERCIAL AHN Y PAEK LTDA"/>
  </r>
  <r>
    <m/>
    <s v="TRASPASO"/>
    <d v="2022-08-19T00:00:00"/>
    <n v="8"/>
    <x v="1"/>
    <x v="12"/>
    <x v="6"/>
    <n v="0"/>
    <n v="9000"/>
    <n v="-9000"/>
    <x v="0"/>
    <x v="1"/>
    <n v="12141"/>
    <x v="31"/>
    <s v="COMERCIAL AHN Y PAEK LTDA"/>
  </r>
  <r>
    <m/>
    <s v="TRASPASO"/>
    <d v="2022-08-19T00:00:00"/>
    <n v="8"/>
    <x v="3"/>
    <x v="10"/>
    <x v="6"/>
    <n v="16014"/>
    <n v="0"/>
    <n v="16014"/>
    <x v="0"/>
    <x v="1"/>
    <n v="1004"/>
    <x v="17"/>
    <s v="CASA YSS SPA"/>
  </r>
  <r>
    <m/>
    <s v="TRASPASO"/>
    <d v="2022-08-19T00:00:00"/>
    <n v="8"/>
    <x v="0"/>
    <x v="11"/>
    <x v="6"/>
    <n v="3043"/>
    <n v="0"/>
    <n v="3043"/>
    <x v="0"/>
    <x v="1"/>
    <n v="1004"/>
    <x v="17"/>
    <s v="CASA YSS SPA"/>
  </r>
  <r>
    <m/>
    <s v="TRASPASO"/>
    <d v="2022-08-19T00:00:00"/>
    <n v="8"/>
    <x v="1"/>
    <x v="12"/>
    <x v="6"/>
    <n v="0"/>
    <n v="19057"/>
    <n v="-19057"/>
    <x v="0"/>
    <x v="1"/>
    <n v="1004"/>
    <x v="17"/>
    <s v="CASA YSS SPA"/>
  </r>
  <r>
    <m/>
    <s v="TRASPASO"/>
    <d v="2022-08-16T00:00:00"/>
    <n v="8"/>
    <x v="3"/>
    <x v="10"/>
    <x v="6"/>
    <n v="36101"/>
    <n v="0"/>
    <n v="36101"/>
    <x v="0"/>
    <x v="1"/>
    <n v="10489159"/>
    <x v="9"/>
    <s v="WOM S.A."/>
  </r>
  <r>
    <m/>
    <s v="TRASPASO"/>
    <d v="2022-08-16T00:00:00"/>
    <n v="8"/>
    <x v="0"/>
    <x v="11"/>
    <x v="6"/>
    <n v="6859"/>
    <n v="0"/>
    <n v="6859"/>
    <x v="0"/>
    <x v="1"/>
    <n v="10489159"/>
    <x v="9"/>
    <s v="WOM S.A."/>
  </r>
  <r>
    <m/>
    <s v="TRASPASO"/>
    <d v="2022-08-16T00:00:00"/>
    <n v="8"/>
    <x v="1"/>
    <x v="12"/>
    <x v="6"/>
    <n v="0"/>
    <n v="42960"/>
    <n v="-42960"/>
    <x v="0"/>
    <x v="1"/>
    <n v="10489159"/>
    <x v="9"/>
    <s v="WOM S.A."/>
  </r>
  <r>
    <m/>
    <s v="TRASPASO"/>
    <d v="2022-08-22T00:00:00"/>
    <n v="8"/>
    <x v="3"/>
    <x v="10"/>
    <x v="6"/>
    <n v="9916"/>
    <n v="0"/>
    <n v="9916"/>
    <x v="0"/>
    <x v="1"/>
    <n v="229"/>
    <x v="30"/>
    <s v="CHRISTIAN ANDRES TRIGO ALBORNOZ"/>
  </r>
  <r>
    <m/>
    <s v="TRASPASO"/>
    <d v="2022-08-22T00:00:00"/>
    <n v="8"/>
    <x v="0"/>
    <x v="11"/>
    <x v="6"/>
    <n v="1884"/>
    <n v="0"/>
    <n v="1884"/>
    <x v="0"/>
    <x v="1"/>
    <n v="229"/>
    <x v="30"/>
    <s v="CHRISTIAN ANDRES TRIGO ALBORNOZ"/>
  </r>
  <r>
    <m/>
    <s v="TRASPASO"/>
    <d v="2022-08-22T00:00:00"/>
    <n v="8"/>
    <x v="1"/>
    <x v="12"/>
    <x v="6"/>
    <n v="0"/>
    <n v="11800"/>
    <n v="-11800"/>
    <x v="0"/>
    <x v="1"/>
    <n v="229"/>
    <x v="30"/>
    <s v="CHRISTIAN ANDRES TRIGO ALBORNOZ"/>
  </r>
  <r>
    <m/>
    <s v="TRASPASO"/>
    <d v="2022-08-29T00:00:00"/>
    <n v="8"/>
    <x v="3"/>
    <x v="10"/>
    <x v="6"/>
    <n v="21523"/>
    <n v="0"/>
    <n v="21523"/>
    <x v="0"/>
    <x v="1"/>
    <n v="693619"/>
    <x v="5"/>
    <s v="Comercial Mundo Transfer Ltda"/>
  </r>
  <r>
    <m/>
    <s v="TRASPASO"/>
    <d v="2022-08-29T00:00:00"/>
    <n v="8"/>
    <x v="0"/>
    <x v="11"/>
    <x v="6"/>
    <n v="4089"/>
    <n v="0"/>
    <n v="4089"/>
    <x v="0"/>
    <x v="1"/>
    <n v="693619"/>
    <x v="5"/>
    <s v="Comercial Mundo Transfer Ltda"/>
  </r>
  <r>
    <m/>
    <s v="TRASPASO"/>
    <d v="2022-08-29T00:00:00"/>
    <n v="8"/>
    <x v="1"/>
    <x v="12"/>
    <x v="6"/>
    <n v="0"/>
    <n v="25612"/>
    <n v="-25612"/>
    <x v="0"/>
    <x v="1"/>
    <n v="693619"/>
    <x v="5"/>
    <s v="Comercial Mundo Transfer Ltda"/>
  </r>
  <r>
    <m/>
    <s v="TRASPASO"/>
    <d v="2022-08-29T00:00:00"/>
    <n v="8"/>
    <x v="3"/>
    <x v="10"/>
    <x v="6"/>
    <n v="4512"/>
    <n v="0"/>
    <n v="4512"/>
    <x v="0"/>
    <x v="1"/>
    <n v="1047"/>
    <x v="17"/>
    <s v="CASA YSS SPA"/>
  </r>
  <r>
    <m/>
    <s v="TRASPASO"/>
    <d v="2022-08-29T00:00:00"/>
    <n v="8"/>
    <x v="0"/>
    <x v="11"/>
    <x v="6"/>
    <n v="857"/>
    <n v="0"/>
    <n v="857"/>
    <x v="0"/>
    <x v="1"/>
    <n v="1047"/>
    <x v="17"/>
    <s v="CASA YSS SPA"/>
  </r>
  <r>
    <m/>
    <s v="TRASPASO"/>
    <d v="2022-08-29T00:00:00"/>
    <n v="8"/>
    <x v="1"/>
    <x v="12"/>
    <x v="6"/>
    <n v="0"/>
    <n v="5369"/>
    <n v="-5369"/>
    <x v="0"/>
    <x v="1"/>
    <n v="1047"/>
    <x v="17"/>
    <s v="CASA YSS SPA"/>
  </r>
  <r>
    <m/>
    <s v="TRASPASO"/>
    <d v="2022-08-16T00:00:00"/>
    <n v="8"/>
    <x v="3"/>
    <x v="10"/>
    <x v="6"/>
    <n v="116960"/>
    <n v="0"/>
    <n v="116960"/>
    <x v="0"/>
    <x v="3"/>
    <n v="109"/>
    <x v="16"/>
    <s v="SIMPLE TAX SPA"/>
  </r>
  <r>
    <m/>
    <s v="TRASPASO"/>
    <d v="2022-08-16T00:00:00"/>
    <n v="8"/>
    <x v="0"/>
    <x v="11"/>
    <x v="6"/>
    <n v="0"/>
    <n v="0"/>
    <n v="0"/>
    <x v="0"/>
    <x v="3"/>
    <n v="109"/>
    <x v="16"/>
    <s v="SIMPLE TAX SPA"/>
  </r>
  <r>
    <m/>
    <s v="TRASPASO"/>
    <d v="2022-08-16T00:00:00"/>
    <n v="8"/>
    <x v="1"/>
    <x v="12"/>
    <x v="6"/>
    <n v="0"/>
    <n v="116960"/>
    <n v="-116960"/>
    <x v="0"/>
    <x v="3"/>
    <n v="109"/>
    <x v="16"/>
    <s v="SIMPLE TAX SPA"/>
  </r>
  <r>
    <m/>
    <s v="TRASPASO"/>
    <d v="2022-08-25T00:00:00"/>
    <n v="9"/>
    <x v="3"/>
    <x v="10"/>
    <x v="6"/>
    <n v="15756"/>
    <n v="0"/>
    <n v="15756"/>
    <x v="0"/>
    <x v="1"/>
    <n v="3354"/>
    <x v="32"/>
    <s v="COMERCIALIZADORA, IMPORTADORA Y EXPORTADORA JV LIFETIME SPA"/>
  </r>
  <r>
    <m/>
    <s v="TRASPASO"/>
    <d v="2022-08-25T00:00:00"/>
    <n v="9"/>
    <x v="0"/>
    <x v="11"/>
    <x v="6"/>
    <n v="2994"/>
    <n v="0"/>
    <n v="2994"/>
    <x v="0"/>
    <x v="1"/>
    <n v="3354"/>
    <x v="32"/>
    <s v="COMERCIALIZADORA, IMPORTADORA Y EXPORTADORA JV LIFETIME SPA"/>
  </r>
  <r>
    <m/>
    <s v="TRASPASO"/>
    <d v="2022-08-25T00:00:00"/>
    <n v="9"/>
    <x v="1"/>
    <x v="12"/>
    <x v="6"/>
    <n v="0"/>
    <n v="18750"/>
    <n v="-18750"/>
    <x v="0"/>
    <x v="1"/>
    <n v="3354"/>
    <x v="32"/>
    <s v="COMERCIALIZADORA, IMPORTADORA Y EXPORTADORA JV LIFETIME SPA"/>
  </r>
  <r>
    <m/>
    <s v="TRASPASO"/>
    <d v="2022-09-01T00:00:00"/>
    <n v="9"/>
    <x v="3"/>
    <x v="10"/>
    <x v="6"/>
    <n v="11921"/>
    <n v="0"/>
    <n v="11921"/>
    <x v="0"/>
    <x v="1"/>
    <n v="694359"/>
    <x v="5"/>
    <s v="Comercial Mundo Transfer Ltda"/>
  </r>
  <r>
    <m/>
    <s v="TRASPASO"/>
    <d v="2022-09-01T00:00:00"/>
    <n v="9"/>
    <x v="0"/>
    <x v="11"/>
    <x v="6"/>
    <n v="2265"/>
    <n v="0"/>
    <n v="2265"/>
    <x v="0"/>
    <x v="1"/>
    <n v="694359"/>
    <x v="5"/>
    <s v="Comercial Mundo Transfer Ltda"/>
  </r>
  <r>
    <m/>
    <s v="TRASPASO"/>
    <d v="2022-09-01T00:00:00"/>
    <n v="9"/>
    <x v="1"/>
    <x v="12"/>
    <x v="6"/>
    <n v="0"/>
    <n v="14186"/>
    <n v="-14186"/>
    <x v="0"/>
    <x v="1"/>
    <n v="694359"/>
    <x v="5"/>
    <s v="Comercial Mundo Transfer Ltda"/>
  </r>
  <r>
    <m/>
    <s v="TRASPASO"/>
    <d v="2022-09-01T00:00:00"/>
    <n v="9"/>
    <x v="3"/>
    <x v="10"/>
    <x v="6"/>
    <n v="4118"/>
    <n v="0"/>
    <n v="4118"/>
    <x v="0"/>
    <x v="1"/>
    <n v="243"/>
    <x v="30"/>
    <s v="CHRISTIAN ANDRES TRIGO ALBORNOZ"/>
  </r>
  <r>
    <m/>
    <s v="TRASPASO"/>
    <d v="2022-09-01T00:00:00"/>
    <n v="9"/>
    <x v="0"/>
    <x v="11"/>
    <x v="6"/>
    <n v="782"/>
    <n v="0"/>
    <n v="782"/>
    <x v="0"/>
    <x v="1"/>
    <n v="243"/>
    <x v="30"/>
    <s v="CHRISTIAN ANDRES TRIGO ALBORNOZ"/>
  </r>
  <r>
    <m/>
    <s v="TRASPASO"/>
    <d v="2022-09-01T00:00:00"/>
    <n v="9"/>
    <x v="1"/>
    <x v="12"/>
    <x v="6"/>
    <n v="0"/>
    <n v="4900"/>
    <n v="-4900"/>
    <x v="0"/>
    <x v="1"/>
    <n v="243"/>
    <x v="30"/>
    <s v="CHRISTIAN ANDRES TRIGO ALBORNOZ"/>
  </r>
  <r>
    <m/>
    <s v="TRASPASO"/>
    <d v="2022-09-06T00:00:00"/>
    <n v="9"/>
    <x v="3"/>
    <x v="10"/>
    <x v="6"/>
    <n v="8045"/>
    <n v="0"/>
    <n v="8045"/>
    <x v="0"/>
    <x v="1"/>
    <n v="695175"/>
    <x v="5"/>
    <s v="Comercial Mundo Transfer Ltda"/>
  </r>
  <r>
    <m/>
    <s v="TRASPASO"/>
    <d v="2022-09-06T00:00:00"/>
    <n v="9"/>
    <x v="0"/>
    <x v="11"/>
    <x v="6"/>
    <n v="1529"/>
    <n v="0"/>
    <n v="1529"/>
    <x v="0"/>
    <x v="1"/>
    <n v="695175"/>
    <x v="5"/>
    <s v="Comercial Mundo Transfer Ltda"/>
  </r>
  <r>
    <m/>
    <s v="TRASPASO"/>
    <d v="2022-09-06T00:00:00"/>
    <n v="9"/>
    <x v="1"/>
    <x v="12"/>
    <x v="6"/>
    <n v="0"/>
    <n v="9574"/>
    <n v="-9574"/>
    <x v="0"/>
    <x v="1"/>
    <n v="695175"/>
    <x v="5"/>
    <s v="Comercial Mundo Transfer Ltda"/>
  </r>
  <r>
    <m/>
    <s v="TRASPASO"/>
    <d v="2022-09-06T00:00:00"/>
    <n v="9"/>
    <x v="3"/>
    <x v="10"/>
    <x v="6"/>
    <n v="81130"/>
    <n v="0"/>
    <n v="81130"/>
    <x v="0"/>
    <x v="1"/>
    <n v="398650"/>
    <x v="6"/>
    <s v="Texora S.A"/>
  </r>
  <r>
    <m/>
    <s v="TRASPASO"/>
    <d v="2022-09-06T00:00:00"/>
    <n v="9"/>
    <x v="0"/>
    <x v="11"/>
    <x v="6"/>
    <n v="15415"/>
    <n v="0"/>
    <n v="15415"/>
    <x v="0"/>
    <x v="1"/>
    <n v="398650"/>
    <x v="6"/>
    <s v="Texora S.A"/>
  </r>
  <r>
    <m/>
    <s v="TRASPASO"/>
    <d v="2022-09-06T00:00:00"/>
    <n v="9"/>
    <x v="1"/>
    <x v="12"/>
    <x v="6"/>
    <n v="0"/>
    <n v="96545"/>
    <n v="-96545"/>
    <x v="0"/>
    <x v="1"/>
    <n v="398650"/>
    <x v="6"/>
    <s v="Texora S.A"/>
  </r>
  <r>
    <m/>
    <s v="TRASPASO"/>
    <d v="2022-09-07T00:00:00"/>
    <n v="9"/>
    <x v="3"/>
    <x v="10"/>
    <x v="6"/>
    <n v="114420"/>
    <n v="0"/>
    <n v="114420"/>
    <x v="0"/>
    <x v="1"/>
    <n v="398887"/>
    <x v="6"/>
    <s v="Texora S.A"/>
  </r>
  <r>
    <m/>
    <s v="TRASPASO"/>
    <d v="2022-09-07T00:00:00"/>
    <n v="9"/>
    <x v="0"/>
    <x v="11"/>
    <x v="6"/>
    <n v="21740"/>
    <n v="0"/>
    <n v="21740"/>
    <x v="0"/>
    <x v="1"/>
    <n v="398887"/>
    <x v="6"/>
    <s v="Texora S.A"/>
  </r>
  <r>
    <m/>
    <s v="TRASPASO"/>
    <d v="2022-09-07T00:00:00"/>
    <n v="9"/>
    <x v="1"/>
    <x v="12"/>
    <x v="6"/>
    <n v="0"/>
    <n v="136160"/>
    <n v="-136160"/>
    <x v="0"/>
    <x v="1"/>
    <n v="398887"/>
    <x v="6"/>
    <s v="Texora S.A"/>
  </r>
  <r>
    <m/>
    <s v="TRASPASO"/>
    <d v="2022-09-08T00:00:00"/>
    <n v="9"/>
    <x v="3"/>
    <x v="10"/>
    <x v="6"/>
    <n v="14100"/>
    <n v="0"/>
    <n v="14100"/>
    <x v="0"/>
    <x v="1"/>
    <n v="398963"/>
    <x v="6"/>
    <s v="Texora S.A"/>
  </r>
  <r>
    <m/>
    <s v="TRASPASO"/>
    <d v="2022-09-08T00:00:00"/>
    <n v="9"/>
    <x v="0"/>
    <x v="11"/>
    <x v="6"/>
    <n v="2679"/>
    <n v="0"/>
    <n v="2679"/>
    <x v="0"/>
    <x v="1"/>
    <n v="398963"/>
    <x v="6"/>
    <s v="Texora S.A"/>
  </r>
  <r>
    <m/>
    <s v="TRASPASO"/>
    <d v="2022-09-08T00:00:00"/>
    <n v="9"/>
    <x v="1"/>
    <x v="12"/>
    <x v="6"/>
    <n v="0"/>
    <n v="16779"/>
    <n v="-16779"/>
    <x v="0"/>
    <x v="1"/>
    <n v="398963"/>
    <x v="6"/>
    <s v="Texora S.A"/>
  </r>
  <r>
    <m/>
    <s v="TRASPASO"/>
    <d v="2022-09-09T00:00:00"/>
    <n v="9"/>
    <x v="3"/>
    <x v="10"/>
    <x v="6"/>
    <n v="16100"/>
    <n v="0"/>
    <n v="16100"/>
    <x v="0"/>
    <x v="1"/>
    <n v="399125"/>
    <x v="6"/>
    <s v="Texora S.A"/>
  </r>
  <r>
    <m/>
    <s v="TRASPASO"/>
    <d v="2022-09-09T00:00:00"/>
    <n v="9"/>
    <x v="0"/>
    <x v="11"/>
    <x v="6"/>
    <n v="3059"/>
    <n v="0"/>
    <n v="3059"/>
    <x v="0"/>
    <x v="1"/>
    <n v="399125"/>
    <x v="6"/>
    <s v="Texora S.A"/>
  </r>
  <r>
    <m/>
    <s v="TRASPASO"/>
    <d v="2022-09-09T00:00:00"/>
    <n v="9"/>
    <x v="1"/>
    <x v="12"/>
    <x v="6"/>
    <n v="0"/>
    <n v="19159"/>
    <n v="-19159"/>
    <x v="0"/>
    <x v="1"/>
    <n v="399125"/>
    <x v="6"/>
    <s v="Texora S.A"/>
  </r>
  <r>
    <m/>
    <s v="TRASPASO"/>
    <d v="2022-09-09T00:00:00"/>
    <n v="9"/>
    <x v="3"/>
    <x v="10"/>
    <x v="6"/>
    <n v="496336"/>
    <n v="0"/>
    <n v="496336"/>
    <x v="0"/>
    <x v="1"/>
    <n v="4234"/>
    <x v="22"/>
    <s v="IMPORTADORA Y EXPORTADORA FUMI ZZ LIMITADA"/>
  </r>
  <r>
    <m/>
    <s v="TRASPASO"/>
    <d v="2022-09-09T00:00:00"/>
    <n v="9"/>
    <x v="0"/>
    <x v="11"/>
    <x v="6"/>
    <n v="94304"/>
    <n v="0"/>
    <n v="94304"/>
    <x v="0"/>
    <x v="1"/>
    <n v="4234"/>
    <x v="22"/>
    <s v="IMPORTADORA Y EXPORTADORA FUMI ZZ LIMITADA"/>
  </r>
  <r>
    <m/>
    <s v="TRASPASO"/>
    <d v="2022-09-09T00:00:00"/>
    <n v="9"/>
    <x v="1"/>
    <x v="12"/>
    <x v="6"/>
    <n v="0"/>
    <n v="590640"/>
    <n v="-590640"/>
    <x v="0"/>
    <x v="1"/>
    <n v="4234"/>
    <x v="22"/>
    <s v="IMPORTADORA Y EXPORTADORA FUMI ZZ LIMITADA"/>
  </r>
  <r>
    <m/>
    <s v="TRASPASO"/>
    <d v="2022-09-09T00:00:00"/>
    <n v="9"/>
    <x v="3"/>
    <x v="10"/>
    <x v="6"/>
    <n v="94084"/>
    <n v="0"/>
    <n v="94084"/>
    <x v="0"/>
    <x v="1"/>
    <n v="17208"/>
    <x v="33"/>
    <s v="IMPORTADORA ANDESLAND LIMITADA"/>
  </r>
  <r>
    <m/>
    <s v="TRASPASO"/>
    <d v="2022-09-09T00:00:00"/>
    <n v="9"/>
    <x v="0"/>
    <x v="11"/>
    <x v="6"/>
    <n v="17876"/>
    <n v="0"/>
    <n v="17876"/>
    <x v="0"/>
    <x v="1"/>
    <n v="17208"/>
    <x v="33"/>
    <s v="IMPORTADORA ANDESLAND LIMITADA"/>
  </r>
  <r>
    <m/>
    <s v="TRASPASO"/>
    <d v="2022-09-09T00:00:00"/>
    <n v="9"/>
    <x v="1"/>
    <x v="12"/>
    <x v="6"/>
    <n v="0"/>
    <n v="111960"/>
    <n v="-111960"/>
    <x v="0"/>
    <x v="1"/>
    <n v="17208"/>
    <x v="33"/>
    <s v="IMPORTADORA ANDESLAND LIMITADA"/>
  </r>
  <r>
    <m/>
    <s v="TRASPASO"/>
    <d v="2022-09-09T00:00:00"/>
    <n v="9"/>
    <x v="3"/>
    <x v="10"/>
    <x v="6"/>
    <n v="52252"/>
    <n v="0"/>
    <n v="52252"/>
    <x v="0"/>
    <x v="1"/>
    <n v="36471"/>
    <x v="21"/>
    <s v="SOCIEDAD TEXORA WORKWEAR STORE CHILE SPA"/>
  </r>
  <r>
    <m/>
    <s v="TRASPASO"/>
    <d v="2022-09-09T00:00:00"/>
    <n v="9"/>
    <x v="0"/>
    <x v="11"/>
    <x v="6"/>
    <n v="9928"/>
    <n v="0"/>
    <n v="9928"/>
    <x v="0"/>
    <x v="1"/>
    <n v="36471"/>
    <x v="21"/>
    <s v="SOCIEDAD TEXORA WORKWEAR STORE CHILE SPA"/>
  </r>
  <r>
    <m/>
    <s v="TRASPASO"/>
    <d v="2022-09-09T00:00:00"/>
    <n v="9"/>
    <x v="1"/>
    <x v="12"/>
    <x v="6"/>
    <n v="0"/>
    <n v="62180"/>
    <n v="-62180"/>
    <x v="0"/>
    <x v="1"/>
    <n v="36471"/>
    <x v="21"/>
    <s v="SOCIEDAD TEXORA WORKWEAR STORE CHILE SPA"/>
  </r>
  <r>
    <m/>
    <s v="TRASPASO"/>
    <d v="2022-09-12T00:00:00"/>
    <n v="9"/>
    <x v="3"/>
    <x v="10"/>
    <x v="6"/>
    <n v="58403"/>
    <n v="0"/>
    <n v="58403"/>
    <x v="0"/>
    <x v="1"/>
    <n v="344085"/>
    <x v="34"/>
    <s v="FOTOSTYLE REGALOS ESPECIALES LIMITADA"/>
  </r>
  <r>
    <m/>
    <s v="TRASPASO"/>
    <d v="2022-09-12T00:00:00"/>
    <n v="9"/>
    <x v="0"/>
    <x v="11"/>
    <x v="6"/>
    <n v="11097"/>
    <n v="0"/>
    <n v="11097"/>
    <x v="0"/>
    <x v="1"/>
    <n v="344085"/>
    <x v="34"/>
    <s v="FOTOSTYLE REGALOS ESPECIALES LIMITADA"/>
  </r>
  <r>
    <m/>
    <s v="TRASPASO"/>
    <d v="2022-09-12T00:00:00"/>
    <n v="9"/>
    <x v="1"/>
    <x v="12"/>
    <x v="6"/>
    <n v="0"/>
    <n v="69500"/>
    <n v="-69500"/>
    <x v="0"/>
    <x v="1"/>
    <n v="344085"/>
    <x v="34"/>
    <s v="FOTOSTYLE REGALOS ESPECIALES LIMITADA"/>
  </r>
  <r>
    <m/>
    <s v="TRASPASO"/>
    <d v="2022-09-12T00:00:00"/>
    <n v="9"/>
    <x v="3"/>
    <x v="10"/>
    <x v="6"/>
    <n v="120960"/>
    <n v="0"/>
    <n v="120960"/>
    <x v="0"/>
    <x v="1"/>
    <n v="1949"/>
    <x v="19"/>
    <s v="TEXTIL HAPI LIMITADA"/>
  </r>
  <r>
    <m/>
    <s v="TRASPASO"/>
    <d v="2022-09-12T00:00:00"/>
    <n v="9"/>
    <x v="0"/>
    <x v="11"/>
    <x v="6"/>
    <n v="22982"/>
    <n v="0"/>
    <n v="22982"/>
    <x v="0"/>
    <x v="1"/>
    <n v="1949"/>
    <x v="19"/>
    <s v="TEXTIL HAPI LIMITADA"/>
  </r>
  <r>
    <m/>
    <s v="TRASPASO"/>
    <d v="2022-09-12T00:00:00"/>
    <n v="9"/>
    <x v="1"/>
    <x v="12"/>
    <x v="6"/>
    <n v="0"/>
    <n v="143942"/>
    <n v="-143942"/>
    <x v="0"/>
    <x v="1"/>
    <n v="1949"/>
    <x v="19"/>
    <s v="TEXTIL HAPI LIMITADA"/>
  </r>
  <r>
    <m/>
    <s v="TRASPASO"/>
    <d v="2022-09-14T00:00:00"/>
    <n v="9"/>
    <x v="3"/>
    <x v="10"/>
    <x v="6"/>
    <n v="4708"/>
    <n v="0"/>
    <n v="4708"/>
    <x v="0"/>
    <x v="1"/>
    <n v="696802"/>
    <x v="5"/>
    <s v="Comercial Mundo Transfer Ltda"/>
  </r>
  <r>
    <m/>
    <s v="TRASPASO"/>
    <d v="2022-09-14T00:00:00"/>
    <n v="9"/>
    <x v="0"/>
    <x v="11"/>
    <x v="6"/>
    <n v="895"/>
    <n v="0"/>
    <n v="895"/>
    <x v="0"/>
    <x v="1"/>
    <n v="696802"/>
    <x v="5"/>
    <s v="Comercial Mundo Transfer Ltda"/>
  </r>
  <r>
    <m/>
    <s v="TRASPASO"/>
    <d v="2022-09-14T00:00:00"/>
    <n v="9"/>
    <x v="1"/>
    <x v="12"/>
    <x v="6"/>
    <n v="0"/>
    <n v="5603"/>
    <n v="-5603"/>
    <x v="0"/>
    <x v="1"/>
    <n v="696802"/>
    <x v="5"/>
    <s v="Comercial Mundo Transfer Ltda"/>
  </r>
  <r>
    <m/>
    <s v="TRASPASO"/>
    <d v="2022-09-15T00:00:00"/>
    <n v="9"/>
    <x v="3"/>
    <x v="10"/>
    <x v="6"/>
    <n v="22168"/>
    <n v="0"/>
    <n v="22168"/>
    <x v="0"/>
    <x v="1"/>
    <n v="697032"/>
    <x v="5"/>
    <s v="Comercial Mundo Transfer Ltda"/>
  </r>
  <r>
    <m/>
    <s v="TRASPASO"/>
    <d v="2022-09-15T00:00:00"/>
    <n v="9"/>
    <x v="0"/>
    <x v="11"/>
    <x v="6"/>
    <n v="4212"/>
    <n v="0"/>
    <n v="4212"/>
    <x v="0"/>
    <x v="1"/>
    <n v="697032"/>
    <x v="5"/>
    <s v="Comercial Mundo Transfer Ltda"/>
  </r>
  <r>
    <m/>
    <s v="TRASPASO"/>
    <d v="2022-09-15T00:00:00"/>
    <n v="9"/>
    <x v="1"/>
    <x v="12"/>
    <x v="6"/>
    <n v="0"/>
    <n v="26380"/>
    <n v="-26380"/>
    <x v="0"/>
    <x v="1"/>
    <n v="697032"/>
    <x v="5"/>
    <s v="Comercial Mundo Transfer Ltda"/>
  </r>
  <r>
    <m/>
    <s v="TRASPASO"/>
    <d v="2022-09-21T00:00:00"/>
    <n v="9"/>
    <x v="3"/>
    <x v="10"/>
    <x v="6"/>
    <n v="7723"/>
    <n v="0"/>
    <n v="7723"/>
    <x v="0"/>
    <x v="1"/>
    <n v="36733"/>
    <x v="21"/>
    <s v="SOCIEDAD TEXORA WORKWEAR STORE CHILE SPA"/>
  </r>
  <r>
    <m/>
    <s v="TRASPASO"/>
    <d v="2022-09-21T00:00:00"/>
    <n v="9"/>
    <x v="0"/>
    <x v="11"/>
    <x v="6"/>
    <n v="1467"/>
    <n v="0"/>
    <n v="1467"/>
    <x v="0"/>
    <x v="1"/>
    <n v="36733"/>
    <x v="21"/>
    <s v="SOCIEDAD TEXORA WORKWEAR STORE CHILE SPA"/>
  </r>
  <r>
    <m/>
    <s v="TRASPASO"/>
    <d v="2022-09-21T00:00:00"/>
    <n v="9"/>
    <x v="1"/>
    <x v="12"/>
    <x v="6"/>
    <n v="0"/>
    <n v="9190"/>
    <n v="-9190"/>
    <x v="0"/>
    <x v="1"/>
    <n v="36733"/>
    <x v="21"/>
    <s v="SOCIEDAD TEXORA WORKWEAR STORE CHILE SPA"/>
  </r>
  <r>
    <m/>
    <s v="TRASPASO"/>
    <d v="2022-09-27T00:00:00"/>
    <n v="9"/>
    <x v="3"/>
    <x v="10"/>
    <x v="6"/>
    <n v="310000"/>
    <n v="0"/>
    <n v="310000"/>
    <x v="0"/>
    <x v="1"/>
    <n v="17400"/>
    <x v="33"/>
    <s v="IMPORTADORA ANDESLAND LIMITADA"/>
  </r>
  <r>
    <m/>
    <s v="TRASPASO"/>
    <d v="2022-09-27T00:00:00"/>
    <n v="9"/>
    <x v="0"/>
    <x v="11"/>
    <x v="6"/>
    <n v="58900"/>
    <n v="0"/>
    <n v="58900"/>
    <x v="0"/>
    <x v="1"/>
    <n v="17400"/>
    <x v="33"/>
    <s v="IMPORTADORA ANDESLAND LIMITADA"/>
  </r>
  <r>
    <m/>
    <s v="TRASPASO"/>
    <d v="2022-09-27T00:00:00"/>
    <n v="9"/>
    <x v="1"/>
    <x v="12"/>
    <x v="6"/>
    <n v="0"/>
    <n v="368900"/>
    <n v="-368900"/>
    <x v="0"/>
    <x v="1"/>
    <n v="17400"/>
    <x v="33"/>
    <s v="IMPORTADORA ANDESLAND LIMITADA"/>
  </r>
  <r>
    <m/>
    <s v="TRASPASO"/>
    <d v="2022-09-28T00:00:00"/>
    <n v="9"/>
    <x v="3"/>
    <x v="10"/>
    <x v="6"/>
    <n v="167720"/>
    <n v="0"/>
    <n v="167720"/>
    <x v="0"/>
    <x v="1"/>
    <n v="10671"/>
    <x v="35"/>
    <s v="COMERCIALIZADORA Y DISTRIBUIDORA TEXTIL ANONIMA LIMITADA"/>
  </r>
  <r>
    <m/>
    <s v="TRASPASO"/>
    <d v="2022-09-28T00:00:00"/>
    <n v="9"/>
    <x v="0"/>
    <x v="11"/>
    <x v="6"/>
    <n v="31867"/>
    <n v="0"/>
    <n v="31867"/>
    <x v="0"/>
    <x v="1"/>
    <n v="10671"/>
    <x v="35"/>
    <s v="COMERCIALIZADORA Y DISTRIBUIDORA TEXTIL ANONIMA LIMITADA"/>
  </r>
  <r>
    <m/>
    <s v="TRASPASO"/>
    <d v="2022-09-28T00:00:00"/>
    <n v="9"/>
    <x v="1"/>
    <x v="12"/>
    <x v="6"/>
    <n v="0"/>
    <n v="199587"/>
    <n v="-199587"/>
    <x v="0"/>
    <x v="1"/>
    <n v="10671"/>
    <x v="35"/>
    <s v="COMERCIALIZADORA Y DISTRIBUIDORA TEXTIL ANONIMA LIMITADA"/>
  </r>
  <r>
    <m/>
    <s v="TRASPASO"/>
    <d v="2022-09-15T00:00:00"/>
    <n v="9"/>
    <x v="3"/>
    <x v="10"/>
    <x v="6"/>
    <n v="118426"/>
    <n v="0"/>
    <n v="118426"/>
    <x v="0"/>
    <x v="3"/>
    <n v="115"/>
    <x v="16"/>
    <s v="SIMPLE TAX SPA"/>
  </r>
  <r>
    <m/>
    <s v="TRASPASO"/>
    <d v="2022-09-15T00:00:00"/>
    <n v="9"/>
    <x v="0"/>
    <x v="11"/>
    <x v="6"/>
    <n v="0"/>
    <n v="0"/>
    <n v="0"/>
    <x v="0"/>
    <x v="3"/>
    <n v="115"/>
    <x v="16"/>
    <s v="SIMPLE TAX SPA"/>
  </r>
  <r>
    <m/>
    <s v="TRASPASO"/>
    <d v="2022-09-15T00:00:00"/>
    <n v="9"/>
    <x v="1"/>
    <x v="12"/>
    <x v="6"/>
    <n v="0"/>
    <n v="118426"/>
    <n v="-118426"/>
    <x v="0"/>
    <x v="3"/>
    <n v="115"/>
    <x v="16"/>
    <s v="SIMPLE TAX SPA"/>
  </r>
  <r>
    <m/>
    <s v="TRASPASO"/>
    <d v="2022-09-16T00:00:00"/>
    <n v="10"/>
    <x v="3"/>
    <x v="10"/>
    <x v="6"/>
    <n v="36101"/>
    <n v="0"/>
    <n v="36101"/>
    <x v="0"/>
    <x v="1"/>
    <n v="10661140"/>
    <x v="9"/>
    <s v="WOM S.A."/>
  </r>
  <r>
    <m/>
    <s v="TRASPASO"/>
    <d v="2022-09-16T00:00:00"/>
    <n v="10"/>
    <x v="0"/>
    <x v="11"/>
    <x v="6"/>
    <n v="6859"/>
    <n v="0"/>
    <n v="6859"/>
    <x v="0"/>
    <x v="1"/>
    <n v="10661140"/>
    <x v="9"/>
    <s v="WOM S.A."/>
  </r>
  <r>
    <m/>
    <s v="TRASPASO"/>
    <d v="2022-09-16T00:00:00"/>
    <n v="10"/>
    <x v="1"/>
    <x v="12"/>
    <x v="6"/>
    <n v="0"/>
    <n v="42960"/>
    <n v="-42960"/>
    <x v="0"/>
    <x v="1"/>
    <n v="10661140"/>
    <x v="9"/>
    <s v="WOM S.A."/>
  </r>
  <r>
    <m/>
    <s v="TRASPASO"/>
    <d v="2022-10-03T00:00:00"/>
    <n v="10"/>
    <x v="3"/>
    <x v="10"/>
    <x v="6"/>
    <n v="19155"/>
    <n v="0"/>
    <n v="19155"/>
    <x v="0"/>
    <x v="1"/>
    <n v="268389"/>
    <x v="36"/>
    <s v="PROMO IMPORT CHILE LIMITADA"/>
  </r>
  <r>
    <m/>
    <s v="TRASPASO"/>
    <d v="2022-10-03T00:00:00"/>
    <n v="10"/>
    <x v="0"/>
    <x v="11"/>
    <x v="6"/>
    <n v="3639"/>
    <n v="0"/>
    <n v="3639"/>
    <x v="0"/>
    <x v="1"/>
    <n v="268389"/>
    <x v="36"/>
    <s v="PROMO IMPORT CHILE LIMITADA"/>
  </r>
  <r>
    <m/>
    <s v="TRASPASO"/>
    <d v="2022-10-03T00:00:00"/>
    <n v="10"/>
    <x v="1"/>
    <x v="12"/>
    <x v="6"/>
    <n v="0"/>
    <n v="22794"/>
    <n v="-22794"/>
    <x v="0"/>
    <x v="1"/>
    <n v="268389"/>
    <x v="36"/>
    <s v="PROMO IMPORT CHILE LIMITADA"/>
  </r>
  <r>
    <m/>
    <s v="TRASPASO"/>
    <d v="2022-10-04T00:00:00"/>
    <n v="10"/>
    <x v="3"/>
    <x v="10"/>
    <x v="6"/>
    <n v="18840"/>
    <n v="0"/>
    <n v="18840"/>
    <x v="0"/>
    <x v="1"/>
    <n v="1273"/>
    <x v="17"/>
    <s v="CASA YSS SPA"/>
  </r>
  <r>
    <m/>
    <s v="TRASPASO"/>
    <d v="2022-10-04T00:00:00"/>
    <n v="10"/>
    <x v="0"/>
    <x v="11"/>
    <x v="6"/>
    <n v="3580"/>
    <n v="0"/>
    <n v="3580"/>
    <x v="0"/>
    <x v="1"/>
    <n v="1273"/>
    <x v="17"/>
    <s v="CASA YSS SPA"/>
  </r>
  <r>
    <m/>
    <s v="TRASPASO"/>
    <d v="2022-10-04T00:00:00"/>
    <n v="10"/>
    <x v="1"/>
    <x v="12"/>
    <x v="6"/>
    <n v="0"/>
    <n v="22420"/>
    <n v="-22420"/>
    <x v="0"/>
    <x v="1"/>
    <n v="1273"/>
    <x v="17"/>
    <s v="CASA YSS SPA"/>
  </r>
  <r>
    <m/>
    <s v="TRASPASO"/>
    <d v="2022-10-04T00:00:00"/>
    <n v="10"/>
    <x v="3"/>
    <x v="10"/>
    <x v="6"/>
    <n v="117437"/>
    <n v="0"/>
    <n v="117437"/>
    <x v="0"/>
    <x v="1"/>
    <n v="4806"/>
    <x v="22"/>
    <s v="IMPORTADORA Y EXPORTADORA FUMI ZZ LIMITADA"/>
  </r>
  <r>
    <m/>
    <s v="TRASPASO"/>
    <d v="2022-10-04T00:00:00"/>
    <n v="10"/>
    <x v="0"/>
    <x v="11"/>
    <x v="6"/>
    <n v="22313"/>
    <n v="0"/>
    <n v="22313"/>
    <x v="0"/>
    <x v="1"/>
    <n v="4806"/>
    <x v="22"/>
    <s v="IMPORTADORA Y EXPORTADORA FUMI ZZ LIMITADA"/>
  </r>
  <r>
    <m/>
    <s v="TRASPASO"/>
    <d v="2022-10-04T00:00:00"/>
    <n v="10"/>
    <x v="1"/>
    <x v="12"/>
    <x v="6"/>
    <n v="0"/>
    <n v="139750"/>
    <n v="-139750"/>
    <x v="0"/>
    <x v="1"/>
    <n v="4806"/>
    <x v="22"/>
    <s v="IMPORTADORA Y EXPORTADORA FUMI ZZ LIMITADA"/>
  </r>
  <r>
    <m/>
    <s v="TRASPASO"/>
    <d v="2022-10-04T00:00:00"/>
    <n v="10"/>
    <x v="3"/>
    <x v="10"/>
    <x v="6"/>
    <n v="61807"/>
    <n v="0"/>
    <n v="61807"/>
    <x v="0"/>
    <x v="1"/>
    <n v="163879"/>
    <x v="3"/>
    <s v="TEXTIL SUMEY LTDA"/>
  </r>
  <r>
    <m/>
    <s v="TRASPASO"/>
    <d v="2022-10-04T00:00:00"/>
    <n v="10"/>
    <x v="0"/>
    <x v="11"/>
    <x v="6"/>
    <n v="11743"/>
    <n v="0"/>
    <n v="11743"/>
    <x v="0"/>
    <x v="1"/>
    <n v="163879"/>
    <x v="3"/>
    <s v="TEXTIL SUMEY LTDA"/>
  </r>
  <r>
    <m/>
    <s v="TRASPASO"/>
    <d v="2022-10-04T00:00:00"/>
    <n v="10"/>
    <x v="1"/>
    <x v="12"/>
    <x v="6"/>
    <n v="0"/>
    <n v="73550"/>
    <n v="-73550"/>
    <x v="0"/>
    <x v="1"/>
    <n v="163879"/>
    <x v="3"/>
    <s v="TEXTIL SUMEY LTDA"/>
  </r>
  <r>
    <m/>
    <s v="TRASPASO"/>
    <d v="2022-10-04T00:00:00"/>
    <n v="10"/>
    <x v="3"/>
    <x v="10"/>
    <x v="6"/>
    <n v="9916"/>
    <n v="0"/>
    <n v="9916"/>
    <x v="0"/>
    <x v="1"/>
    <n v="273"/>
    <x v="30"/>
    <s v="CHRISTIAN ANDRES TRIGO ALBORNOZ"/>
  </r>
  <r>
    <m/>
    <s v="TRASPASO"/>
    <d v="2022-10-04T00:00:00"/>
    <n v="10"/>
    <x v="0"/>
    <x v="11"/>
    <x v="6"/>
    <n v="1884"/>
    <n v="0"/>
    <n v="1884"/>
    <x v="0"/>
    <x v="1"/>
    <n v="273"/>
    <x v="30"/>
    <s v="CHRISTIAN ANDRES TRIGO ALBORNOZ"/>
  </r>
  <r>
    <m/>
    <s v="TRASPASO"/>
    <d v="2022-10-04T00:00:00"/>
    <n v="10"/>
    <x v="1"/>
    <x v="12"/>
    <x v="6"/>
    <n v="0"/>
    <n v="11800"/>
    <n v="-11800"/>
    <x v="0"/>
    <x v="1"/>
    <n v="273"/>
    <x v="30"/>
    <s v="CHRISTIAN ANDRES TRIGO ALBORNOZ"/>
  </r>
  <r>
    <m/>
    <s v="TRASPASO"/>
    <d v="2022-10-05T00:00:00"/>
    <n v="10"/>
    <x v="3"/>
    <x v="10"/>
    <x v="6"/>
    <n v="154623"/>
    <n v="0"/>
    <n v="154623"/>
    <x v="0"/>
    <x v="1"/>
    <n v="4844"/>
    <x v="22"/>
    <s v="IMPORTADORA Y EXPORTADORA FUMI ZZ LIMITADA"/>
  </r>
  <r>
    <m/>
    <s v="TRASPASO"/>
    <d v="2022-10-05T00:00:00"/>
    <n v="10"/>
    <x v="0"/>
    <x v="11"/>
    <x v="6"/>
    <n v="29378"/>
    <n v="0"/>
    <n v="29378"/>
    <x v="0"/>
    <x v="1"/>
    <n v="4844"/>
    <x v="22"/>
    <s v="IMPORTADORA Y EXPORTADORA FUMI ZZ LIMITADA"/>
  </r>
  <r>
    <m/>
    <s v="TRASPASO"/>
    <d v="2022-10-05T00:00:00"/>
    <n v="10"/>
    <x v="1"/>
    <x v="12"/>
    <x v="6"/>
    <n v="0"/>
    <n v="184001"/>
    <n v="-184001"/>
    <x v="0"/>
    <x v="1"/>
    <n v="4844"/>
    <x v="22"/>
    <s v="IMPORTADORA Y EXPORTADORA FUMI ZZ LIMITADA"/>
  </r>
  <r>
    <m/>
    <s v="TRASPASO"/>
    <d v="2022-10-05T00:00:00"/>
    <n v="10"/>
    <x v="3"/>
    <x v="10"/>
    <x v="6"/>
    <n v="29000"/>
    <n v="0"/>
    <n v="29000"/>
    <x v="0"/>
    <x v="1"/>
    <n v="402033"/>
    <x v="6"/>
    <s v="Texora S.A"/>
  </r>
  <r>
    <m/>
    <s v="TRASPASO"/>
    <d v="2022-10-05T00:00:00"/>
    <n v="10"/>
    <x v="0"/>
    <x v="11"/>
    <x v="6"/>
    <n v="5510"/>
    <n v="0"/>
    <n v="5510"/>
    <x v="0"/>
    <x v="1"/>
    <n v="402033"/>
    <x v="6"/>
    <s v="Texora S.A"/>
  </r>
  <r>
    <m/>
    <s v="TRASPASO"/>
    <d v="2022-10-05T00:00:00"/>
    <n v="10"/>
    <x v="1"/>
    <x v="12"/>
    <x v="6"/>
    <n v="0"/>
    <n v="34510"/>
    <n v="-34510"/>
    <x v="0"/>
    <x v="1"/>
    <n v="402033"/>
    <x v="6"/>
    <s v="Texora S.A"/>
  </r>
  <r>
    <m/>
    <s v="TRASPASO"/>
    <d v="2022-10-06T00:00:00"/>
    <n v="10"/>
    <x v="3"/>
    <x v="10"/>
    <x v="6"/>
    <n v="25202"/>
    <n v="0"/>
    <n v="25202"/>
    <x v="0"/>
    <x v="1"/>
    <n v="1717094"/>
    <x v="37"/>
    <s v="MercadoLibre Chile LTDA"/>
  </r>
  <r>
    <m/>
    <s v="TRASPASO"/>
    <d v="2022-10-06T00:00:00"/>
    <n v="10"/>
    <x v="0"/>
    <x v="11"/>
    <x v="6"/>
    <n v="4788"/>
    <n v="0"/>
    <n v="4788"/>
    <x v="0"/>
    <x v="1"/>
    <n v="1717094"/>
    <x v="37"/>
    <s v="MercadoLibre Chile LTDA"/>
  </r>
  <r>
    <m/>
    <s v="TRASPASO"/>
    <d v="2022-10-06T00:00:00"/>
    <n v="10"/>
    <x v="1"/>
    <x v="12"/>
    <x v="6"/>
    <n v="0"/>
    <n v="29990"/>
    <n v="-29990"/>
    <x v="0"/>
    <x v="1"/>
    <n v="1717094"/>
    <x v="37"/>
    <s v="MercadoLibre Chile LTDA"/>
  </r>
  <r>
    <m/>
    <s v="TRASPASO"/>
    <d v="2022-10-06T00:00:00"/>
    <n v="10"/>
    <x v="3"/>
    <x v="10"/>
    <x v="6"/>
    <n v="164150"/>
    <n v="0"/>
    <n v="164150"/>
    <x v="0"/>
    <x v="1"/>
    <n v="701003"/>
    <x v="5"/>
    <s v="Comercial Mundo Transfer Ltda"/>
  </r>
  <r>
    <m/>
    <s v="TRASPASO"/>
    <d v="2022-10-06T00:00:00"/>
    <n v="10"/>
    <x v="0"/>
    <x v="11"/>
    <x v="6"/>
    <n v="31189"/>
    <n v="0"/>
    <n v="31189"/>
    <x v="0"/>
    <x v="1"/>
    <n v="701003"/>
    <x v="5"/>
    <s v="Comercial Mundo Transfer Ltda"/>
  </r>
  <r>
    <m/>
    <s v="TRASPASO"/>
    <d v="2022-10-06T00:00:00"/>
    <n v="10"/>
    <x v="1"/>
    <x v="12"/>
    <x v="6"/>
    <n v="0"/>
    <n v="195339"/>
    <n v="-195339"/>
    <x v="0"/>
    <x v="1"/>
    <n v="701003"/>
    <x v="5"/>
    <s v="Comercial Mundo Transfer Ltda"/>
  </r>
  <r>
    <m/>
    <s v="TRASPASO"/>
    <d v="2022-10-07T00:00:00"/>
    <n v="10"/>
    <x v="3"/>
    <x v="10"/>
    <x v="6"/>
    <n v="138710"/>
    <n v="0"/>
    <n v="138710"/>
    <x v="0"/>
    <x v="1"/>
    <n v="402271"/>
    <x v="6"/>
    <s v="Texora S.A"/>
  </r>
  <r>
    <m/>
    <s v="TRASPASO"/>
    <d v="2022-10-07T00:00:00"/>
    <n v="10"/>
    <x v="0"/>
    <x v="11"/>
    <x v="6"/>
    <n v="26355"/>
    <n v="0"/>
    <n v="26355"/>
    <x v="0"/>
    <x v="1"/>
    <n v="402271"/>
    <x v="6"/>
    <s v="Texora S.A"/>
  </r>
  <r>
    <m/>
    <s v="TRASPASO"/>
    <d v="2022-10-07T00:00:00"/>
    <n v="10"/>
    <x v="1"/>
    <x v="12"/>
    <x v="6"/>
    <n v="0"/>
    <n v="165065"/>
    <n v="-165065"/>
    <x v="0"/>
    <x v="1"/>
    <n v="402271"/>
    <x v="6"/>
    <s v="Texora S.A"/>
  </r>
  <r>
    <m/>
    <s v="TRASPASO"/>
    <d v="2022-10-12T00:00:00"/>
    <n v="10"/>
    <x v="3"/>
    <x v="10"/>
    <x v="6"/>
    <n v="15126"/>
    <n v="0"/>
    <n v="15126"/>
    <x v="0"/>
    <x v="1"/>
    <n v="164521"/>
    <x v="3"/>
    <s v="TEXTIL SUMEY LTDA"/>
  </r>
  <r>
    <m/>
    <s v="TRASPASO"/>
    <d v="2022-10-12T00:00:00"/>
    <n v="10"/>
    <x v="0"/>
    <x v="11"/>
    <x v="6"/>
    <n v="2874"/>
    <n v="0"/>
    <n v="2874"/>
    <x v="0"/>
    <x v="1"/>
    <n v="164521"/>
    <x v="3"/>
    <s v="TEXTIL SUMEY LTDA"/>
  </r>
  <r>
    <m/>
    <s v="TRASPASO"/>
    <d v="2022-10-12T00:00:00"/>
    <n v="10"/>
    <x v="1"/>
    <x v="12"/>
    <x v="6"/>
    <n v="0"/>
    <n v="18000"/>
    <n v="-18000"/>
    <x v="0"/>
    <x v="1"/>
    <n v="164521"/>
    <x v="3"/>
    <s v="TEXTIL SUMEY LTDA"/>
  </r>
  <r>
    <m/>
    <s v="TRASPASO"/>
    <d v="2022-10-13T00:00:00"/>
    <n v="10"/>
    <x v="3"/>
    <x v="10"/>
    <x v="6"/>
    <n v="2370"/>
    <n v="0"/>
    <n v="2370"/>
    <x v="0"/>
    <x v="1"/>
    <n v="369607"/>
    <x v="38"/>
    <s v="Homs"/>
  </r>
  <r>
    <m/>
    <s v="TRASPASO"/>
    <d v="2022-10-13T00:00:00"/>
    <n v="10"/>
    <x v="0"/>
    <x v="11"/>
    <x v="6"/>
    <n v="450"/>
    <n v="0"/>
    <n v="450"/>
    <x v="0"/>
    <x v="1"/>
    <n v="369607"/>
    <x v="38"/>
    <s v="Homs"/>
  </r>
  <r>
    <m/>
    <s v="TRASPASO"/>
    <d v="2022-10-13T00:00:00"/>
    <n v="10"/>
    <x v="1"/>
    <x v="12"/>
    <x v="6"/>
    <n v="0"/>
    <n v="2820"/>
    <n v="-2820"/>
    <x v="0"/>
    <x v="1"/>
    <n v="369607"/>
    <x v="38"/>
    <s v="Homs"/>
  </r>
  <r>
    <m/>
    <s v="TRASPASO"/>
    <d v="2022-10-14T00:00:00"/>
    <n v="10"/>
    <x v="3"/>
    <x v="10"/>
    <x v="6"/>
    <n v="14370"/>
    <n v="0"/>
    <n v="14370"/>
    <x v="0"/>
    <x v="1"/>
    <n v="5111"/>
    <x v="22"/>
    <s v="IMPORTADORA Y EXPORTADORA FUMI ZZ LIMITADA"/>
  </r>
  <r>
    <m/>
    <s v="TRASPASO"/>
    <d v="2022-10-14T00:00:00"/>
    <n v="10"/>
    <x v="0"/>
    <x v="11"/>
    <x v="6"/>
    <n v="2730"/>
    <n v="0"/>
    <n v="2730"/>
    <x v="0"/>
    <x v="1"/>
    <n v="5111"/>
    <x v="22"/>
    <s v="IMPORTADORA Y EXPORTADORA FUMI ZZ LIMITADA"/>
  </r>
  <r>
    <m/>
    <s v="TRASPASO"/>
    <d v="2022-10-14T00:00:00"/>
    <n v="10"/>
    <x v="1"/>
    <x v="12"/>
    <x v="6"/>
    <n v="0"/>
    <n v="17100"/>
    <n v="-17100"/>
    <x v="0"/>
    <x v="1"/>
    <n v="5111"/>
    <x v="22"/>
    <s v="IMPORTADORA Y EXPORTADORA FUMI ZZ LIMITADA"/>
  </r>
  <r>
    <m/>
    <s v="TRASPASO"/>
    <d v="2022-10-14T00:00:00"/>
    <n v="10"/>
    <x v="3"/>
    <x v="10"/>
    <x v="6"/>
    <n v="161562"/>
    <n v="0"/>
    <n v="161562"/>
    <x v="0"/>
    <x v="1"/>
    <n v="317825"/>
    <x v="12"/>
    <s v="COMERCIAL SATEX LTDA"/>
  </r>
  <r>
    <m/>
    <s v="TRASPASO"/>
    <d v="2022-10-14T00:00:00"/>
    <n v="10"/>
    <x v="0"/>
    <x v="11"/>
    <x v="6"/>
    <n v="30697"/>
    <n v="0"/>
    <n v="30697"/>
    <x v="0"/>
    <x v="1"/>
    <n v="317825"/>
    <x v="12"/>
    <s v="COMERCIAL SATEX LTDA"/>
  </r>
  <r>
    <m/>
    <s v="TRASPASO"/>
    <d v="2022-10-14T00:00:00"/>
    <n v="10"/>
    <x v="1"/>
    <x v="12"/>
    <x v="6"/>
    <n v="0"/>
    <n v="192259"/>
    <n v="-192259"/>
    <x v="0"/>
    <x v="1"/>
    <n v="317825"/>
    <x v="12"/>
    <s v="COMERCIAL SATEX LTDA"/>
  </r>
  <r>
    <m/>
    <s v="TRASPASO"/>
    <d v="2022-10-14T00:00:00"/>
    <n v="10"/>
    <x v="3"/>
    <x v="10"/>
    <x v="6"/>
    <n v="3008"/>
    <n v="0"/>
    <n v="3008"/>
    <x v="0"/>
    <x v="1"/>
    <n v="1354"/>
    <x v="17"/>
    <s v="CASA YSS SPA"/>
  </r>
  <r>
    <m/>
    <s v="TRASPASO"/>
    <d v="2022-10-14T00:00:00"/>
    <n v="10"/>
    <x v="0"/>
    <x v="11"/>
    <x v="6"/>
    <n v="572"/>
    <n v="0"/>
    <n v="572"/>
    <x v="0"/>
    <x v="1"/>
    <n v="1354"/>
    <x v="17"/>
    <s v="CASA YSS SPA"/>
  </r>
  <r>
    <m/>
    <s v="TRASPASO"/>
    <d v="2022-10-14T00:00:00"/>
    <n v="10"/>
    <x v="1"/>
    <x v="12"/>
    <x v="6"/>
    <n v="0"/>
    <n v="3580"/>
    <n v="-3580"/>
    <x v="0"/>
    <x v="1"/>
    <n v="1354"/>
    <x v="17"/>
    <s v="CASA YSS SPA"/>
  </r>
  <r>
    <m/>
    <s v="TRASPASO"/>
    <d v="2022-10-14T00:00:00"/>
    <n v="10"/>
    <x v="3"/>
    <x v="10"/>
    <x v="6"/>
    <n v="5042"/>
    <n v="0"/>
    <n v="5042"/>
    <x v="0"/>
    <x v="1"/>
    <n v="12508"/>
    <x v="31"/>
    <s v="COMERCIAL AHN Y PAEK LTDA"/>
  </r>
  <r>
    <m/>
    <s v="TRASPASO"/>
    <d v="2022-10-14T00:00:00"/>
    <n v="10"/>
    <x v="0"/>
    <x v="11"/>
    <x v="6"/>
    <n v="958"/>
    <n v="0"/>
    <n v="958"/>
    <x v="0"/>
    <x v="1"/>
    <n v="12508"/>
    <x v="31"/>
    <s v="COMERCIAL AHN Y PAEK LTDA"/>
  </r>
  <r>
    <m/>
    <s v="TRASPASO"/>
    <d v="2022-10-14T00:00:00"/>
    <n v="10"/>
    <x v="1"/>
    <x v="12"/>
    <x v="6"/>
    <n v="0"/>
    <n v="6000"/>
    <n v="-6000"/>
    <x v="0"/>
    <x v="1"/>
    <n v="12508"/>
    <x v="31"/>
    <s v="COMERCIAL AHN Y PAEK LTDA"/>
  </r>
  <r>
    <m/>
    <s v="TRASPASO"/>
    <d v="2022-10-17T00:00:00"/>
    <n v="10"/>
    <x v="3"/>
    <x v="10"/>
    <x v="6"/>
    <n v="324250"/>
    <n v="0"/>
    <n v="324250"/>
    <x v="0"/>
    <x v="1"/>
    <n v="403014"/>
    <x v="6"/>
    <s v="Texora S.A"/>
  </r>
  <r>
    <m/>
    <s v="TRASPASO"/>
    <d v="2022-10-17T00:00:00"/>
    <n v="10"/>
    <x v="0"/>
    <x v="11"/>
    <x v="6"/>
    <n v="61608"/>
    <n v="0"/>
    <n v="61608"/>
    <x v="0"/>
    <x v="1"/>
    <n v="403014"/>
    <x v="6"/>
    <s v="Texora S.A"/>
  </r>
  <r>
    <m/>
    <s v="TRASPASO"/>
    <d v="2022-10-17T00:00:00"/>
    <n v="10"/>
    <x v="1"/>
    <x v="12"/>
    <x v="6"/>
    <n v="0"/>
    <n v="385858"/>
    <n v="-385858"/>
    <x v="0"/>
    <x v="1"/>
    <n v="403014"/>
    <x v="6"/>
    <s v="Texora S.A"/>
  </r>
  <r>
    <m/>
    <s v="TRASPASO"/>
    <d v="2022-10-18T00:00:00"/>
    <n v="10"/>
    <x v="3"/>
    <x v="10"/>
    <x v="6"/>
    <n v="6063"/>
    <n v="0"/>
    <n v="6063"/>
    <x v="0"/>
    <x v="1"/>
    <n v="318105"/>
    <x v="12"/>
    <s v="COMERCIAL SATEX LTDA"/>
  </r>
  <r>
    <m/>
    <s v="TRASPASO"/>
    <d v="2022-10-18T00:00:00"/>
    <n v="10"/>
    <x v="0"/>
    <x v="11"/>
    <x v="6"/>
    <n v="1152"/>
    <n v="0"/>
    <n v="1152"/>
    <x v="0"/>
    <x v="1"/>
    <n v="318105"/>
    <x v="12"/>
    <s v="COMERCIAL SATEX LTDA"/>
  </r>
  <r>
    <m/>
    <s v="TRASPASO"/>
    <d v="2022-10-18T00:00:00"/>
    <n v="10"/>
    <x v="1"/>
    <x v="12"/>
    <x v="6"/>
    <n v="0"/>
    <n v="7215"/>
    <n v="-7215"/>
    <x v="0"/>
    <x v="1"/>
    <n v="318105"/>
    <x v="12"/>
    <s v="COMERCIAL SATEX LTDA"/>
  </r>
  <r>
    <m/>
    <s v="TRASPASO"/>
    <d v="2022-10-20T00:00:00"/>
    <n v="10"/>
    <x v="3"/>
    <x v="10"/>
    <x v="6"/>
    <n v="429000"/>
    <n v="0"/>
    <n v="429000"/>
    <x v="0"/>
    <x v="1"/>
    <n v="403735"/>
    <x v="6"/>
    <s v="Texora S.A"/>
  </r>
  <r>
    <m/>
    <s v="TRASPASO"/>
    <d v="2022-10-20T00:00:00"/>
    <n v="10"/>
    <x v="0"/>
    <x v="11"/>
    <x v="6"/>
    <n v="81510"/>
    <n v="0"/>
    <n v="81510"/>
    <x v="0"/>
    <x v="1"/>
    <n v="403735"/>
    <x v="6"/>
    <s v="Texora S.A"/>
  </r>
  <r>
    <m/>
    <s v="TRASPASO"/>
    <d v="2022-10-20T00:00:00"/>
    <n v="10"/>
    <x v="1"/>
    <x v="12"/>
    <x v="6"/>
    <n v="0"/>
    <n v="510510"/>
    <n v="-510510"/>
    <x v="0"/>
    <x v="1"/>
    <n v="403735"/>
    <x v="6"/>
    <s v="Texora S.A"/>
  </r>
  <r>
    <m/>
    <s v="TRASPASO"/>
    <d v="2022-10-16T00:00:00"/>
    <n v="10"/>
    <x v="3"/>
    <x v="10"/>
    <x v="6"/>
    <n v="36101"/>
    <n v="0"/>
    <n v="36101"/>
    <x v="0"/>
    <x v="1"/>
    <n v="10839741"/>
    <x v="9"/>
    <s v="WOM S.A."/>
  </r>
  <r>
    <m/>
    <s v="TRASPASO"/>
    <d v="2022-10-16T00:00:00"/>
    <n v="10"/>
    <x v="0"/>
    <x v="11"/>
    <x v="6"/>
    <n v="6859"/>
    <n v="0"/>
    <n v="6859"/>
    <x v="0"/>
    <x v="1"/>
    <n v="10839741"/>
    <x v="9"/>
    <s v="WOM S.A."/>
  </r>
  <r>
    <m/>
    <s v="TRASPASO"/>
    <d v="2022-10-16T00:00:00"/>
    <n v="10"/>
    <x v="1"/>
    <x v="12"/>
    <x v="6"/>
    <n v="0"/>
    <n v="42960"/>
    <n v="-42960"/>
    <x v="0"/>
    <x v="1"/>
    <n v="10839741"/>
    <x v="9"/>
    <s v="WOM S.A."/>
  </r>
  <r>
    <m/>
    <s v="TRASPASO"/>
    <d v="2022-10-24T00:00:00"/>
    <n v="10"/>
    <x v="3"/>
    <x v="10"/>
    <x v="6"/>
    <n v="7807"/>
    <n v="0"/>
    <n v="7807"/>
    <x v="0"/>
    <x v="1"/>
    <n v="38294"/>
    <x v="21"/>
    <s v="SOCIEDAD TEXORA WORKWEAR STORE CHILE SPA"/>
  </r>
  <r>
    <m/>
    <s v="TRASPASO"/>
    <d v="2022-10-24T00:00:00"/>
    <n v="10"/>
    <x v="0"/>
    <x v="11"/>
    <x v="6"/>
    <n v="1483"/>
    <n v="0"/>
    <n v="1483"/>
    <x v="0"/>
    <x v="1"/>
    <n v="38294"/>
    <x v="21"/>
    <s v="SOCIEDAD TEXORA WORKWEAR STORE CHILE SPA"/>
  </r>
  <r>
    <m/>
    <s v="TRASPASO"/>
    <d v="2022-10-24T00:00:00"/>
    <n v="10"/>
    <x v="1"/>
    <x v="12"/>
    <x v="6"/>
    <n v="0"/>
    <n v="9290"/>
    <n v="-9290"/>
    <x v="0"/>
    <x v="1"/>
    <n v="38294"/>
    <x v="21"/>
    <s v="SOCIEDAD TEXORA WORKWEAR STORE CHILE SPA"/>
  </r>
  <r>
    <m/>
    <s v="TRASPASO"/>
    <d v="2022-10-25T00:00:00"/>
    <n v="10"/>
    <x v="3"/>
    <x v="10"/>
    <x v="6"/>
    <n v="274607"/>
    <n v="0"/>
    <n v="274607"/>
    <x v="0"/>
    <x v="1"/>
    <n v="705839"/>
    <x v="5"/>
    <s v="Comercial Mundo Transfer Ltda"/>
  </r>
  <r>
    <m/>
    <s v="TRASPASO"/>
    <d v="2022-10-25T00:00:00"/>
    <n v="10"/>
    <x v="0"/>
    <x v="11"/>
    <x v="6"/>
    <n v="52175"/>
    <n v="0"/>
    <n v="52175"/>
    <x v="0"/>
    <x v="1"/>
    <n v="705839"/>
    <x v="5"/>
    <s v="Comercial Mundo Transfer Ltda"/>
  </r>
  <r>
    <m/>
    <s v="TRASPASO"/>
    <d v="2022-10-25T00:00:00"/>
    <n v="10"/>
    <x v="1"/>
    <x v="12"/>
    <x v="6"/>
    <n v="0"/>
    <n v="326782"/>
    <n v="-326782"/>
    <x v="0"/>
    <x v="1"/>
    <n v="705839"/>
    <x v="5"/>
    <s v="Comercial Mundo Transfer Ltda"/>
  </r>
  <r>
    <m/>
    <s v="TRASPASO"/>
    <d v="2022-10-28T00:00:00"/>
    <n v="10"/>
    <x v="3"/>
    <x v="10"/>
    <x v="6"/>
    <n v="121170"/>
    <n v="0"/>
    <n v="121170"/>
    <x v="0"/>
    <x v="1"/>
    <n v="405797"/>
    <x v="6"/>
    <s v="Texora S.A"/>
  </r>
  <r>
    <m/>
    <s v="TRASPASO"/>
    <d v="2022-10-28T00:00:00"/>
    <n v="10"/>
    <x v="0"/>
    <x v="11"/>
    <x v="6"/>
    <n v="23022"/>
    <n v="0"/>
    <n v="23022"/>
    <x v="0"/>
    <x v="1"/>
    <n v="405797"/>
    <x v="6"/>
    <s v="Texora S.A"/>
  </r>
  <r>
    <m/>
    <s v="TRASPASO"/>
    <d v="2022-10-28T00:00:00"/>
    <n v="10"/>
    <x v="1"/>
    <x v="12"/>
    <x v="6"/>
    <n v="0"/>
    <n v="144192"/>
    <n v="-144192"/>
    <x v="0"/>
    <x v="1"/>
    <n v="405797"/>
    <x v="6"/>
    <s v="Texora S.A"/>
  </r>
  <r>
    <m/>
    <s v="TRASPASO"/>
    <d v="2022-10-05T00:00:00"/>
    <n v="10"/>
    <x v="3"/>
    <x v="10"/>
    <x v="6"/>
    <n v="0"/>
    <n v="117437"/>
    <n v="-117437"/>
    <x v="0"/>
    <x v="2"/>
    <n v="71"/>
    <x v="22"/>
    <s v="IMPORTADORA Y EXPORTADORA FUMI ZZ LIMITADA"/>
  </r>
  <r>
    <m/>
    <s v="TRASPASO"/>
    <d v="2022-10-05T00:00:00"/>
    <n v="10"/>
    <x v="0"/>
    <x v="11"/>
    <x v="6"/>
    <n v="0"/>
    <n v="22313"/>
    <n v="-22313"/>
    <x v="0"/>
    <x v="2"/>
    <n v="71"/>
    <x v="22"/>
    <s v="IMPORTADORA Y EXPORTADORA FUMI ZZ LIMITADA"/>
  </r>
  <r>
    <m/>
    <s v="TRASPASO"/>
    <d v="2022-10-05T00:00:00"/>
    <n v="10"/>
    <x v="1"/>
    <x v="12"/>
    <x v="6"/>
    <n v="139750"/>
    <n v="0"/>
    <n v="139750"/>
    <x v="0"/>
    <x v="2"/>
    <n v="71"/>
    <x v="22"/>
    <s v="IMPORTADORA Y EXPORTADORA FUMI ZZ LIMITADA"/>
  </r>
  <r>
    <m/>
    <s v="TRASPASO"/>
    <d v="2022-10-26T00:00:00"/>
    <n v="11"/>
    <x v="3"/>
    <x v="10"/>
    <x v="6"/>
    <n v="10190"/>
    <n v="0"/>
    <n v="10190"/>
    <x v="0"/>
    <x v="1"/>
    <n v="319197"/>
    <x v="12"/>
    <s v="COMERCIAL SATEX LTDA"/>
  </r>
  <r>
    <m/>
    <s v="TRASPASO"/>
    <d v="2022-10-26T00:00:00"/>
    <n v="11"/>
    <x v="0"/>
    <x v="11"/>
    <x v="6"/>
    <n v="1936"/>
    <n v="0"/>
    <n v="1936"/>
    <x v="0"/>
    <x v="1"/>
    <n v="319197"/>
    <x v="12"/>
    <s v="COMERCIAL SATEX LTDA"/>
  </r>
  <r>
    <m/>
    <s v="TRASPASO"/>
    <d v="2022-10-26T00:00:00"/>
    <n v="11"/>
    <x v="1"/>
    <x v="12"/>
    <x v="6"/>
    <n v="0"/>
    <n v="12126"/>
    <n v="-12126"/>
    <x v="0"/>
    <x v="1"/>
    <n v="319197"/>
    <x v="12"/>
    <s v="COMERCIAL SATEX LTDA"/>
  </r>
  <r>
    <m/>
    <s v="TRASPASO"/>
    <d v="2022-10-26T00:00:00"/>
    <n v="11"/>
    <x v="3"/>
    <x v="10"/>
    <x v="6"/>
    <n v="589916"/>
    <n v="0"/>
    <n v="589916"/>
    <x v="0"/>
    <x v="1"/>
    <n v="5488"/>
    <x v="22"/>
    <s v="IMPORTADORA Y EXPORTADORA FUMI ZZ LIMITADA"/>
  </r>
  <r>
    <m/>
    <s v="TRASPASO"/>
    <d v="2022-10-26T00:00:00"/>
    <n v="11"/>
    <x v="0"/>
    <x v="11"/>
    <x v="6"/>
    <n v="112084"/>
    <n v="0"/>
    <n v="112084"/>
    <x v="0"/>
    <x v="1"/>
    <n v="5488"/>
    <x v="22"/>
    <s v="IMPORTADORA Y EXPORTADORA FUMI ZZ LIMITADA"/>
  </r>
  <r>
    <m/>
    <s v="TRASPASO"/>
    <d v="2022-10-26T00:00:00"/>
    <n v="11"/>
    <x v="1"/>
    <x v="12"/>
    <x v="6"/>
    <n v="0"/>
    <n v="702000"/>
    <n v="-702000"/>
    <x v="0"/>
    <x v="1"/>
    <n v="5488"/>
    <x v="22"/>
    <s v="IMPORTADORA Y EXPORTADORA FUMI ZZ LIMITADA"/>
  </r>
  <r>
    <m/>
    <s v="TRASPASO"/>
    <d v="2022-11-02T00:00:00"/>
    <n v="11"/>
    <x v="3"/>
    <x v="10"/>
    <x v="6"/>
    <n v="27840"/>
    <n v="0"/>
    <n v="27840"/>
    <x v="0"/>
    <x v="1"/>
    <n v="405905"/>
    <x v="6"/>
    <s v="Texora S.A"/>
  </r>
  <r>
    <m/>
    <s v="TRASPASO"/>
    <d v="2022-11-02T00:00:00"/>
    <n v="11"/>
    <x v="0"/>
    <x v="11"/>
    <x v="6"/>
    <n v="5290"/>
    <n v="0"/>
    <n v="5290"/>
    <x v="0"/>
    <x v="1"/>
    <n v="405905"/>
    <x v="6"/>
    <s v="Texora S.A"/>
  </r>
  <r>
    <m/>
    <s v="TRASPASO"/>
    <d v="2022-11-02T00:00:00"/>
    <n v="11"/>
    <x v="1"/>
    <x v="12"/>
    <x v="6"/>
    <n v="0"/>
    <n v="33130"/>
    <n v="-33130"/>
    <x v="0"/>
    <x v="1"/>
    <n v="405905"/>
    <x v="6"/>
    <s v="Texora S.A"/>
  </r>
  <r>
    <m/>
    <s v="TRASPASO"/>
    <d v="2022-11-02T00:00:00"/>
    <n v="11"/>
    <x v="3"/>
    <x v="10"/>
    <x v="6"/>
    <n v="186126"/>
    <n v="0"/>
    <n v="186126"/>
    <x v="0"/>
    <x v="1"/>
    <n v="707451"/>
    <x v="5"/>
    <s v="Comercial Mundo Transfer Ltda"/>
  </r>
  <r>
    <m/>
    <s v="TRASPASO"/>
    <d v="2022-11-02T00:00:00"/>
    <n v="11"/>
    <x v="0"/>
    <x v="11"/>
    <x v="6"/>
    <n v="35364"/>
    <n v="0"/>
    <n v="35364"/>
    <x v="0"/>
    <x v="1"/>
    <n v="707451"/>
    <x v="5"/>
    <s v="Comercial Mundo Transfer Ltda"/>
  </r>
  <r>
    <m/>
    <s v="TRASPASO"/>
    <d v="2022-11-02T00:00:00"/>
    <n v="11"/>
    <x v="1"/>
    <x v="12"/>
    <x v="6"/>
    <n v="0"/>
    <n v="221490"/>
    <n v="-221490"/>
    <x v="0"/>
    <x v="1"/>
    <n v="707451"/>
    <x v="5"/>
    <s v="Comercial Mundo Transfer Ltda"/>
  </r>
  <r>
    <m/>
    <s v="TRASPASO"/>
    <d v="2022-11-02T00:00:00"/>
    <n v="11"/>
    <x v="3"/>
    <x v="10"/>
    <x v="6"/>
    <n v="1609"/>
    <n v="0"/>
    <n v="1609"/>
    <x v="0"/>
    <x v="1"/>
    <n v="707466"/>
    <x v="5"/>
    <s v="Comercial Mundo Transfer Ltda"/>
  </r>
  <r>
    <m/>
    <s v="TRASPASO"/>
    <d v="2022-11-02T00:00:00"/>
    <n v="11"/>
    <x v="0"/>
    <x v="11"/>
    <x v="6"/>
    <n v="306"/>
    <n v="0"/>
    <n v="306"/>
    <x v="0"/>
    <x v="1"/>
    <n v="707466"/>
    <x v="5"/>
    <s v="Comercial Mundo Transfer Ltda"/>
  </r>
  <r>
    <m/>
    <s v="TRASPASO"/>
    <d v="2022-11-02T00:00:00"/>
    <n v="11"/>
    <x v="1"/>
    <x v="12"/>
    <x v="6"/>
    <n v="0"/>
    <n v="1915"/>
    <n v="-1915"/>
    <x v="0"/>
    <x v="1"/>
    <n v="707466"/>
    <x v="5"/>
    <s v="Comercial Mundo Transfer Ltda"/>
  </r>
  <r>
    <m/>
    <s v="TRASPASO"/>
    <d v="2022-11-02T00:00:00"/>
    <n v="11"/>
    <x v="3"/>
    <x v="10"/>
    <x v="6"/>
    <n v="7800"/>
    <n v="0"/>
    <n v="7800"/>
    <x v="0"/>
    <x v="1"/>
    <n v="406062"/>
    <x v="6"/>
    <s v="Texora S.A"/>
  </r>
  <r>
    <m/>
    <s v="TRASPASO"/>
    <d v="2022-11-02T00:00:00"/>
    <n v="11"/>
    <x v="0"/>
    <x v="11"/>
    <x v="6"/>
    <n v="1482"/>
    <n v="0"/>
    <n v="1482"/>
    <x v="0"/>
    <x v="1"/>
    <n v="406062"/>
    <x v="6"/>
    <s v="Texora S.A"/>
  </r>
  <r>
    <m/>
    <s v="TRASPASO"/>
    <d v="2022-11-02T00:00:00"/>
    <n v="11"/>
    <x v="1"/>
    <x v="12"/>
    <x v="6"/>
    <n v="0"/>
    <n v="9282"/>
    <n v="-9282"/>
    <x v="0"/>
    <x v="1"/>
    <n v="406062"/>
    <x v="6"/>
    <s v="Texora S.A"/>
  </r>
  <r>
    <m/>
    <s v="TRASPASO"/>
    <d v="2022-11-04T00:00:00"/>
    <n v="11"/>
    <x v="3"/>
    <x v="10"/>
    <x v="6"/>
    <n v="18656"/>
    <n v="0"/>
    <n v="18656"/>
    <x v="0"/>
    <x v="1"/>
    <n v="62"/>
    <x v="26"/>
    <s v="TODO EMPAQUE SPA"/>
  </r>
  <r>
    <m/>
    <s v="TRASPASO"/>
    <d v="2022-11-04T00:00:00"/>
    <n v="11"/>
    <x v="0"/>
    <x v="11"/>
    <x v="6"/>
    <n v="3545"/>
    <n v="0"/>
    <n v="3545"/>
    <x v="0"/>
    <x v="1"/>
    <n v="62"/>
    <x v="26"/>
    <s v="TODO EMPAQUE SPA"/>
  </r>
  <r>
    <m/>
    <s v="TRASPASO"/>
    <d v="2022-11-04T00:00:00"/>
    <n v="11"/>
    <x v="1"/>
    <x v="12"/>
    <x v="6"/>
    <n v="0"/>
    <n v="22201"/>
    <n v="-22201"/>
    <x v="0"/>
    <x v="1"/>
    <n v="62"/>
    <x v="26"/>
    <s v="TODO EMPAQUE SPA"/>
  </r>
  <r>
    <m/>
    <s v="TRASPASO"/>
    <d v="2022-11-08T00:00:00"/>
    <n v="11"/>
    <x v="3"/>
    <x v="10"/>
    <x v="6"/>
    <n v="12597"/>
    <n v="0"/>
    <n v="12597"/>
    <x v="0"/>
    <x v="1"/>
    <n v="38956"/>
    <x v="21"/>
    <s v="SOCIEDAD TEXORA WORKWEAR STORE CHILE SPA"/>
  </r>
  <r>
    <m/>
    <s v="TRASPASO"/>
    <d v="2022-11-08T00:00:00"/>
    <n v="11"/>
    <x v="0"/>
    <x v="11"/>
    <x v="6"/>
    <n v="2393"/>
    <n v="0"/>
    <n v="2393"/>
    <x v="0"/>
    <x v="1"/>
    <n v="38956"/>
    <x v="21"/>
    <s v="SOCIEDAD TEXORA WORKWEAR STORE CHILE SPA"/>
  </r>
  <r>
    <m/>
    <s v="TRASPASO"/>
    <d v="2022-11-08T00:00:00"/>
    <n v="11"/>
    <x v="1"/>
    <x v="12"/>
    <x v="6"/>
    <n v="0"/>
    <n v="14990"/>
    <n v="-14990"/>
    <x v="0"/>
    <x v="1"/>
    <n v="38956"/>
    <x v="21"/>
    <s v="SOCIEDAD TEXORA WORKWEAR STORE CHILE SPA"/>
  </r>
  <r>
    <m/>
    <s v="TRASPASO"/>
    <d v="2022-11-08T00:00:00"/>
    <n v="11"/>
    <x v="3"/>
    <x v="10"/>
    <x v="6"/>
    <n v="103033"/>
    <n v="0"/>
    <n v="103033"/>
    <x v="0"/>
    <x v="1"/>
    <n v="708892"/>
    <x v="5"/>
    <s v="Comercial Mundo Transfer Ltda"/>
  </r>
  <r>
    <m/>
    <s v="TRASPASO"/>
    <d v="2022-11-08T00:00:00"/>
    <n v="11"/>
    <x v="0"/>
    <x v="11"/>
    <x v="6"/>
    <n v="19576"/>
    <n v="0"/>
    <n v="19576"/>
    <x v="0"/>
    <x v="1"/>
    <n v="708892"/>
    <x v="5"/>
    <s v="Comercial Mundo Transfer Ltda"/>
  </r>
  <r>
    <m/>
    <s v="TRASPASO"/>
    <d v="2022-11-08T00:00:00"/>
    <n v="11"/>
    <x v="1"/>
    <x v="12"/>
    <x v="6"/>
    <n v="0"/>
    <n v="122609"/>
    <n v="-122609"/>
    <x v="0"/>
    <x v="1"/>
    <n v="708892"/>
    <x v="5"/>
    <s v="Comercial Mundo Transfer Ltda"/>
  </r>
  <r>
    <m/>
    <s v="TRASPASO"/>
    <d v="2022-11-09T00:00:00"/>
    <n v="11"/>
    <x v="3"/>
    <x v="10"/>
    <x v="6"/>
    <n v="202520"/>
    <n v="0"/>
    <n v="202520"/>
    <x v="0"/>
    <x v="1"/>
    <n v="407156"/>
    <x v="6"/>
    <s v="Texora S.A"/>
  </r>
  <r>
    <m/>
    <s v="TRASPASO"/>
    <d v="2022-11-09T00:00:00"/>
    <n v="11"/>
    <x v="0"/>
    <x v="11"/>
    <x v="6"/>
    <n v="38479"/>
    <n v="0"/>
    <n v="38479"/>
    <x v="0"/>
    <x v="1"/>
    <n v="407156"/>
    <x v="6"/>
    <s v="Texora S.A"/>
  </r>
  <r>
    <m/>
    <s v="TRASPASO"/>
    <d v="2022-11-09T00:00:00"/>
    <n v="11"/>
    <x v="1"/>
    <x v="12"/>
    <x v="6"/>
    <n v="0"/>
    <n v="240999"/>
    <n v="-240999"/>
    <x v="0"/>
    <x v="1"/>
    <n v="407156"/>
    <x v="6"/>
    <s v="Texora S.A"/>
  </r>
  <r>
    <m/>
    <s v="TRASPASO"/>
    <d v="2022-11-09T00:00:00"/>
    <n v="11"/>
    <x v="3"/>
    <x v="10"/>
    <x v="6"/>
    <n v="160440"/>
    <n v="0"/>
    <n v="160440"/>
    <x v="0"/>
    <x v="1"/>
    <n v="407264"/>
    <x v="6"/>
    <s v="Texora S.A"/>
  </r>
  <r>
    <m/>
    <s v="TRASPASO"/>
    <d v="2022-11-09T00:00:00"/>
    <n v="11"/>
    <x v="0"/>
    <x v="11"/>
    <x v="6"/>
    <n v="30484"/>
    <n v="0"/>
    <n v="30484"/>
    <x v="0"/>
    <x v="1"/>
    <n v="407264"/>
    <x v="6"/>
    <s v="Texora S.A"/>
  </r>
  <r>
    <m/>
    <s v="TRASPASO"/>
    <d v="2022-11-09T00:00:00"/>
    <n v="11"/>
    <x v="1"/>
    <x v="12"/>
    <x v="6"/>
    <n v="0"/>
    <n v="190924"/>
    <n v="-190924"/>
    <x v="0"/>
    <x v="1"/>
    <n v="407264"/>
    <x v="6"/>
    <s v="Texora S.A"/>
  </r>
  <r>
    <m/>
    <s v="TRASPASO"/>
    <d v="2022-11-10T00:00:00"/>
    <n v="11"/>
    <x v="3"/>
    <x v="10"/>
    <x v="6"/>
    <n v="8235"/>
    <n v="0"/>
    <n v="8235"/>
    <x v="0"/>
    <x v="1"/>
    <n v="68"/>
    <x v="26"/>
    <s v="TODO EMPAQUE SPA"/>
  </r>
  <r>
    <m/>
    <s v="TRASPASO"/>
    <d v="2022-11-10T00:00:00"/>
    <n v="11"/>
    <x v="0"/>
    <x v="11"/>
    <x v="6"/>
    <n v="1565"/>
    <n v="0"/>
    <n v="1565"/>
    <x v="0"/>
    <x v="1"/>
    <n v="68"/>
    <x v="26"/>
    <s v="TODO EMPAQUE SPA"/>
  </r>
  <r>
    <m/>
    <s v="TRASPASO"/>
    <d v="2022-11-10T00:00:00"/>
    <n v="11"/>
    <x v="1"/>
    <x v="12"/>
    <x v="6"/>
    <n v="0"/>
    <n v="9800"/>
    <n v="-9800"/>
    <x v="0"/>
    <x v="1"/>
    <n v="68"/>
    <x v="26"/>
    <s v="TODO EMPAQUE SPA"/>
  </r>
  <r>
    <m/>
    <s v="TRASPASO"/>
    <d v="2022-11-11T00:00:00"/>
    <n v="11"/>
    <x v="3"/>
    <x v="10"/>
    <x v="6"/>
    <n v="125130"/>
    <n v="0"/>
    <n v="125130"/>
    <x v="0"/>
    <x v="1"/>
    <n v="407780"/>
    <x v="6"/>
    <s v="Texora S.A"/>
  </r>
  <r>
    <m/>
    <s v="TRASPASO"/>
    <d v="2022-11-11T00:00:00"/>
    <n v="11"/>
    <x v="0"/>
    <x v="11"/>
    <x v="6"/>
    <n v="23775"/>
    <n v="0"/>
    <n v="23775"/>
    <x v="0"/>
    <x v="1"/>
    <n v="407780"/>
    <x v="6"/>
    <s v="Texora S.A"/>
  </r>
  <r>
    <m/>
    <s v="TRASPASO"/>
    <d v="2022-11-11T00:00:00"/>
    <n v="11"/>
    <x v="1"/>
    <x v="12"/>
    <x v="6"/>
    <n v="0"/>
    <n v="148905"/>
    <n v="-148905"/>
    <x v="0"/>
    <x v="1"/>
    <n v="407780"/>
    <x v="6"/>
    <s v="Texora S.A"/>
  </r>
  <r>
    <m/>
    <s v="TRASPASO"/>
    <d v="2022-11-11T00:00:00"/>
    <n v="11"/>
    <x v="3"/>
    <x v="10"/>
    <x v="6"/>
    <n v="77360"/>
    <n v="0"/>
    <n v="77360"/>
    <x v="0"/>
    <x v="1"/>
    <n v="407781"/>
    <x v="6"/>
    <s v="Texora S.A"/>
  </r>
  <r>
    <m/>
    <s v="TRASPASO"/>
    <d v="2022-11-11T00:00:00"/>
    <n v="11"/>
    <x v="0"/>
    <x v="11"/>
    <x v="6"/>
    <n v="14698"/>
    <n v="0"/>
    <n v="14698"/>
    <x v="0"/>
    <x v="1"/>
    <n v="407781"/>
    <x v="6"/>
    <s v="Texora S.A"/>
  </r>
  <r>
    <m/>
    <s v="TRASPASO"/>
    <d v="2022-11-11T00:00:00"/>
    <n v="11"/>
    <x v="1"/>
    <x v="12"/>
    <x v="6"/>
    <n v="0"/>
    <n v="92058"/>
    <n v="-92058"/>
    <x v="0"/>
    <x v="1"/>
    <n v="407781"/>
    <x v="6"/>
    <s v="Texora S.A"/>
  </r>
  <r>
    <m/>
    <s v="TRASPASO"/>
    <d v="2022-11-14T00:00:00"/>
    <n v="11"/>
    <x v="3"/>
    <x v="10"/>
    <x v="6"/>
    <n v="28440"/>
    <n v="0"/>
    <n v="28440"/>
    <x v="0"/>
    <x v="1"/>
    <n v="407876"/>
    <x v="6"/>
    <s v="Texora S.A"/>
  </r>
  <r>
    <m/>
    <s v="TRASPASO"/>
    <d v="2022-11-14T00:00:00"/>
    <n v="11"/>
    <x v="0"/>
    <x v="11"/>
    <x v="6"/>
    <n v="5404"/>
    <n v="0"/>
    <n v="5404"/>
    <x v="0"/>
    <x v="1"/>
    <n v="407876"/>
    <x v="6"/>
    <s v="Texora S.A"/>
  </r>
  <r>
    <m/>
    <s v="TRASPASO"/>
    <d v="2022-11-14T00:00:00"/>
    <n v="11"/>
    <x v="1"/>
    <x v="12"/>
    <x v="6"/>
    <n v="0"/>
    <n v="33844"/>
    <n v="-33844"/>
    <x v="0"/>
    <x v="1"/>
    <n v="407876"/>
    <x v="6"/>
    <s v="Texora S.A"/>
  </r>
  <r>
    <m/>
    <s v="TRASPASO"/>
    <d v="2022-11-15T00:00:00"/>
    <n v="11"/>
    <x v="3"/>
    <x v="10"/>
    <x v="6"/>
    <n v="50402"/>
    <n v="0"/>
    <n v="50402"/>
    <x v="0"/>
    <x v="1"/>
    <n v="18228"/>
    <x v="33"/>
    <s v="IMPORTADORA ANDESLAND LIMITADA"/>
  </r>
  <r>
    <m/>
    <s v="TRASPASO"/>
    <d v="2022-11-15T00:00:00"/>
    <n v="11"/>
    <x v="0"/>
    <x v="11"/>
    <x v="6"/>
    <n v="9576"/>
    <n v="0"/>
    <n v="9576"/>
    <x v="0"/>
    <x v="1"/>
    <n v="18228"/>
    <x v="33"/>
    <s v="IMPORTADORA ANDESLAND LIMITADA"/>
  </r>
  <r>
    <m/>
    <s v="TRASPASO"/>
    <d v="2022-11-15T00:00:00"/>
    <n v="11"/>
    <x v="1"/>
    <x v="12"/>
    <x v="6"/>
    <n v="0"/>
    <n v="59978"/>
    <n v="-59978"/>
    <x v="0"/>
    <x v="1"/>
    <n v="18228"/>
    <x v="33"/>
    <s v="IMPORTADORA ANDESLAND LIMITADA"/>
  </r>
  <r>
    <m/>
    <s v="TRASPASO"/>
    <d v="2022-11-15T00:00:00"/>
    <n v="11"/>
    <x v="3"/>
    <x v="10"/>
    <x v="6"/>
    <n v="5462"/>
    <n v="0"/>
    <n v="5462"/>
    <x v="0"/>
    <x v="1"/>
    <n v="49032"/>
    <x v="13"/>
    <s v="INVERSIONES SIRACUSA SPA"/>
  </r>
  <r>
    <m/>
    <s v="TRASPASO"/>
    <d v="2022-11-15T00:00:00"/>
    <n v="11"/>
    <x v="0"/>
    <x v="11"/>
    <x v="6"/>
    <n v="1038"/>
    <n v="0"/>
    <n v="1038"/>
    <x v="0"/>
    <x v="1"/>
    <n v="49032"/>
    <x v="13"/>
    <s v="INVERSIONES SIRACUSA SPA"/>
  </r>
  <r>
    <m/>
    <s v="TRASPASO"/>
    <d v="2022-11-15T00:00:00"/>
    <n v="11"/>
    <x v="1"/>
    <x v="12"/>
    <x v="6"/>
    <n v="0"/>
    <n v="6500"/>
    <n v="-6500"/>
    <x v="0"/>
    <x v="1"/>
    <n v="49032"/>
    <x v="13"/>
    <s v="INVERSIONES SIRACUSA SPA"/>
  </r>
  <r>
    <m/>
    <s v="TRASPASO"/>
    <d v="2022-11-15T00:00:00"/>
    <n v="11"/>
    <x v="3"/>
    <x v="10"/>
    <x v="6"/>
    <n v="6591"/>
    <n v="0"/>
    <n v="6591"/>
    <x v="0"/>
    <x v="1"/>
    <n v="710843"/>
    <x v="5"/>
    <s v="Comercial Mundo Transfer Ltda"/>
  </r>
  <r>
    <m/>
    <s v="TRASPASO"/>
    <d v="2022-11-15T00:00:00"/>
    <n v="11"/>
    <x v="0"/>
    <x v="11"/>
    <x v="6"/>
    <n v="1252"/>
    <n v="0"/>
    <n v="1252"/>
    <x v="0"/>
    <x v="1"/>
    <n v="710843"/>
    <x v="5"/>
    <s v="Comercial Mundo Transfer Ltda"/>
  </r>
  <r>
    <m/>
    <s v="TRASPASO"/>
    <d v="2022-11-15T00:00:00"/>
    <n v="11"/>
    <x v="1"/>
    <x v="12"/>
    <x v="6"/>
    <n v="0"/>
    <n v="7843"/>
    <n v="-7843"/>
    <x v="0"/>
    <x v="1"/>
    <n v="710843"/>
    <x v="5"/>
    <s v="Comercial Mundo Transfer Ltda"/>
  </r>
  <r>
    <m/>
    <s v="TRASPASO"/>
    <d v="2022-11-16T00:00:00"/>
    <n v="11"/>
    <x v="3"/>
    <x v="10"/>
    <x v="6"/>
    <n v="21304"/>
    <n v="0"/>
    <n v="21304"/>
    <x v="0"/>
    <x v="1"/>
    <n v="711415"/>
    <x v="5"/>
    <s v="Comercial Mundo Transfer Ltda"/>
  </r>
  <r>
    <m/>
    <s v="TRASPASO"/>
    <d v="2022-11-16T00:00:00"/>
    <n v="11"/>
    <x v="0"/>
    <x v="11"/>
    <x v="6"/>
    <n v="4048"/>
    <n v="0"/>
    <n v="4048"/>
    <x v="0"/>
    <x v="1"/>
    <n v="711415"/>
    <x v="5"/>
    <s v="Comercial Mundo Transfer Ltda"/>
  </r>
  <r>
    <m/>
    <s v="TRASPASO"/>
    <d v="2022-11-16T00:00:00"/>
    <n v="11"/>
    <x v="1"/>
    <x v="12"/>
    <x v="6"/>
    <n v="0"/>
    <n v="25352"/>
    <n v="-25352"/>
    <x v="0"/>
    <x v="1"/>
    <n v="711415"/>
    <x v="5"/>
    <s v="Comercial Mundo Transfer Ltda"/>
  </r>
  <r>
    <m/>
    <s v="TRASPASO"/>
    <d v="2022-11-17T00:00:00"/>
    <n v="11"/>
    <x v="3"/>
    <x v="10"/>
    <x v="6"/>
    <n v="108360"/>
    <n v="0"/>
    <n v="108360"/>
    <x v="0"/>
    <x v="1"/>
    <n v="408734"/>
    <x v="6"/>
    <s v="Texora S.A"/>
  </r>
  <r>
    <m/>
    <s v="TRASPASO"/>
    <d v="2022-11-17T00:00:00"/>
    <n v="11"/>
    <x v="0"/>
    <x v="11"/>
    <x v="6"/>
    <n v="20588"/>
    <n v="0"/>
    <n v="20588"/>
    <x v="0"/>
    <x v="1"/>
    <n v="408734"/>
    <x v="6"/>
    <s v="Texora S.A"/>
  </r>
  <r>
    <m/>
    <s v="TRASPASO"/>
    <d v="2022-11-17T00:00:00"/>
    <n v="11"/>
    <x v="1"/>
    <x v="12"/>
    <x v="6"/>
    <n v="0"/>
    <n v="128948"/>
    <n v="-128948"/>
    <x v="0"/>
    <x v="1"/>
    <n v="408734"/>
    <x v="6"/>
    <s v="Texora S.A"/>
  </r>
  <r>
    <m/>
    <s v="TRASPASO"/>
    <d v="2022-11-20T00:00:00"/>
    <n v="11"/>
    <x v="3"/>
    <x v="10"/>
    <x v="6"/>
    <n v="55719"/>
    <n v="0"/>
    <n v="55719"/>
    <x v="0"/>
    <x v="1"/>
    <n v="17721005"/>
    <x v="39"/>
    <s v="CENCOSUD RETAIL S.A."/>
  </r>
  <r>
    <m/>
    <s v="TRASPASO"/>
    <d v="2022-11-20T00:00:00"/>
    <n v="11"/>
    <x v="0"/>
    <x v="11"/>
    <x v="6"/>
    <n v="10505"/>
    <n v="0"/>
    <n v="10505"/>
    <x v="0"/>
    <x v="1"/>
    <n v="17721005"/>
    <x v="39"/>
    <s v="CENCOSUD RETAIL S.A."/>
  </r>
  <r>
    <m/>
    <s v="TRASPASO"/>
    <d v="2022-11-20T00:00:00"/>
    <n v="11"/>
    <x v="1"/>
    <x v="12"/>
    <x v="6"/>
    <n v="0"/>
    <n v="66224"/>
    <n v="-66224"/>
    <x v="0"/>
    <x v="1"/>
    <n v="17721005"/>
    <x v="39"/>
    <s v="CENCOSUD RETAIL S.A."/>
  </r>
  <r>
    <m/>
    <s v="TRASPASO"/>
    <d v="2022-11-16T00:00:00"/>
    <n v="11"/>
    <x v="3"/>
    <x v="10"/>
    <x v="6"/>
    <n v="36101"/>
    <n v="0"/>
    <n v="36101"/>
    <x v="0"/>
    <x v="1"/>
    <n v="10995693"/>
    <x v="9"/>
    <s v="WOM S.A."/>
  </r>
  <r>
    <m/>
    <s v="TRASPASO"/>
    <d v="2022-11-16T00:00:00"/>
    <n v="11"/>
    <x v="0"/>
    <x v="11"/>
    <x v="6"/>
    <n v="6859"/>
    <n v="0"/>
    <n v="6859"/>
    <x v="0"/>
    <x v="1"/>
    <n v="10995693"/>
    <x v="9"/>
    <s v="WOM S.A."/>
  </r>
  <r>
    <m/>
    <s v="TRASPASO"/>
    <d v="2022-11-16T00:00:00"/>
    <n v="11"/>
    <x v="1"/>
    <x v="12"/>
    <x v="6"/>
    <n v="0"/>
    <n v="42960"/>
    <n v="-42960"/>
    <x v="0"/>
    <x v="1"/>
    <n v="10995693"/>
    <x v="9"/>
    <s v="WOM S.A."/>
  </r>
  <r>
    <m/>
    <s v="TRASPASO"/>
    <d v="2022-11-22T00:00:00"/>
    <n v="11"/>
    <x v="3"/>
    <x v="10"/>
    <x v="6"/>
    <n v="35268"/>
    <n v="0"/>
    <n v="35268"/>
    <x v="0"/>
    <x v="1"/>
    <n v="4147"/>
    <x v="10"/>
    <s v="IMPORTADORA Y COMERCIALIZADORA GORILA LIMITADA"/>
  </r>
  <r>
    <m/>
    <s v="TRASPASO"/>
    <d v="2022-11-22T00:00:00"/>
    <n v="11"/>
    <x v="0"/>
    <x v="11"/>
    <x v="6"/>
    <n v="6701"/>
    <n v="0"/>
    <n v="6701"/>
    <x v="0"/>
    <x v="1"/>
    <n v="4147"/>
    <x v="10"/>
    <s v="IMPORTADORA Y COMERCIALIZADORA GORILA LIMITADA"/>
  </r>
  <r>
    <m/>
    <s v="TRASPASO"/>
    <d v="2022-11-22T00:00:00"/>
    <n v="11"/>
    <x v="1"/>
    <x v="12"/>
    <x v="6"/>
    <n v="0"/>
    <n v="41969"/>
    <n v="-41969"/>
    <x v="0"/>
    <x v="1"/>
    <n v="4147"/>
    <x v="10"/>
    <s v="IMPORTADORA Y COMERCIALIZADORA GORILA LIMITADA"/>
  </r>
  <r>
    <m/>
    <s v="TRASPASO"/>
    <d v="2022-11-22T00:00:00"/>
    <n v="11"/>
    <x v="3"/>
    <x v="10"/>
    <x v="6"/>
    <n v="4690"/>
    <n v="0"/>
    <n v="4690"/>
    <x v="0"/>
    <x v="1"/>
    <n v="712809"/>
    <x v="5"/>
    <s v="Comercial Mundo Transfer Ltda"/>
  </r>
  <r>
    <m/>
    <s v="TRASPASO"/>
    <d v="2022-11-22T00:00:00"/>
    <n v="11"/>
    <x v="0"/>
    <x v="11"/>
    <x v="6"/>
    <n v="891"/>
    <n v="0"/>
    <n v="891"/>
    <x v="0"/>
    <x v="1"/>
    <n v="712809"/>
    <x v="5"/>
    <s v="Comercial Mundo Transfer Ltda"/>
  </r>
  <r>
    <m/>
    <s v="TRASPASO"/>
    <d v="2022-11-22T00:00:00"/>
    <n v="11"/>
    <x v="1"/>
    <x v="12"/>
    <x v="6"/>
    <n v="0"/>
    <n v="5581"/>
    <n v="-5581"/>
    <x v="0"/>
    <x v="1"/>
    <n v="712809"/>
    <x v="5"/>
    <s v="Comercial Mundo Transfer Ltda"/>
  </r>
  <r>
    <m/>
    <s v="TRASPASO"/>
    <d v="2022-11-22T00:00:00"/>
    <n v="11"/>
    <x v="3"/>
    <x v="10"/>
    <x v="6"/>
    <n v="19832"/>
    <n v="0"/>
    <n v="19832"/>
    <x v="0"/>
    <x v="1"/>
    <n v="75"/>
    <x v="26"/>
    <s v="TODO EMPAQUE SPA"/>
  </r>
  <r>
    <m/>
    <s v="TRASPASO"/>
    <d v="2022-11-22T00:00:00"/>
    <n v="11"/>
    <x v="0"/>
    <x v="11"/>
    <x v="6"/>
    <n v="3768"/>
    <n v="0"/>
    <n v="3768"/>
    <x v="0"/>
    <x v="1"/>
    <n v="75"/>
    <x v="26"/>
    <s v="TODO EMPAQUE SPA"/>
  </r>
  <r>
    <m/>
    <s v="TRASPASO"/>
    <d v="2022-11-22T00:00:00"/>
    <n v="11"/>
    <x v="1"/>
    <x v="12"/>
    <x v="6"/>
    <n v="0"/>
    <n v="23600"/>
    <n v="-23600"/>
    <x v="0"/>
    <x v="1"/>
    <n v="75"/>
    <x v="26"/>
    <s v="TODO EMPAQUE SPA"/>
  </r>
  <r>
    <m/>
    <s v="TRASPASO"/>
    <d v="2022-11-23T00:00:00"/>
    <n v="11"/>
    <x v="3"/>
    <x v="10"/>
    <x v="6"/>
    <n v="15126"/>
    <n v="0"/>
    <n v="15126"/>
    <x v="0"/>
    <x v="1"/>
    <n v="168612"/>
    <x v="3"/>
    <s v="TEXTIL SUMEY LTDA"/>
  </r>
  <r>
    <m/>
    <s v="TRASPASO"/>
    <d v="2022-11-23T00:00:00"/>
    <n v="11"/>
    <x v="0"/>
    <x v="11"/>
    <x v="6"/>
    <n v="2874"/>
    <n v="0"/>
    <n v="2874"/>
    <x v="0"/>
    <x v="1"/>
    <n v="168612"/>
    <x v="3"/>
    <s v="TEXTIL SUMEY LTDA"/>
  </r>
  <r>
    <m/>
    <s v="TRASPASO"/>
    <d v="2022-11-23T00:00:00"/>
    <n v="11"/>
    <x v="1"/>
    <x v="12"/>
    <x v="6"/>
    <n v="0"/>
    <n v="18000"/>
    <n v="-18000"/>
    <x v="0"/>
    <x v="1"/>
    <n v="168612"/>
    <x v="3"/>
    <s v="TEXTIL SUMEY LTDA"/>
  </r>
  <r>
    <m/>
    <s v="TRASPASO"/>
    <d v="2022-11-23T00:00:00"/>
    <n v="11"/>
    <x v="3"/>
    <x v="10"/>
    <x v="6"/>
    <n v="7568"/>
    <n v="0"/>
    <n v="7568"/>
    <x v="0"/>
    <x v="1"/>
    <n v="713174"/>
    <x v="5"/>
    <s v="Comercial Mundo Transfer Ltda"/>
  </r>
  <r>
    <m/>
    <s v="TRASPASO"/>
    <d v="2022-11-23T00:00:00"/>
    <n v="11"/>
    <x v="0"/>
    <x v="11"/>
    <x v="6"/>
    <n v="1438"/>
    <n v="0"/>
    <n v="1438"/>
    <x v="0"/>
    <x v="1"/>
    <n v="713174"/>
    <x v="5"/>
    <s v="Comercial Mundo Transfer Ltda"/>
  </r>
  <r>
    <m/>
    <s v="TRASPASO"/>
    <d v="2022-11-23T00:00:00"/>
    <n v="11"/>
    <x v="1"/>
    <x v="12"/>
    <x v="6"/>
    <n v="0"/>
    <n v="9006"/>
    <n v="-9006"/>
    <x v="0"/>
    <x v="1"/>
    <n v="713174"/>
    <x v="5"/>
    <s v="Comercial Mundo Transfer Ltda"/>
  </r>
  <r>
    <m/>
    <s v="TRASPASO"/>
    <d v="2022-11-23T00:00:00"/>
    <n v="11"/>
    <x v="3"/>
    <x v="10"/>
    <x v="6"/>
    <n v="36940"/>
    <n v="0"/>
    <n v="36940"/>
    <x v="0"/>
    <x v="1"/>
    <n v="4159"/>
    <x v="10"/>
    <s v="IMPORTADORA Y COMERCIALIZADORA GORILA LIMITADA"/>
  </r>
  <r>
    <m/>
    <s v="TRASPASO"/>
    <d v="2022-11-23T00:00:00"/>
    <n v="11"/>
    <x v="0"/>
    <x v="11"/>
    <x v="6"/>
    <n v="7019"/>
    <n v="0"/>
    <n v="7019"/>
    <x v="0"/>
    <x v="1"/>
    <n v="4159"/>
    <x v="10"/>
    <s v="IMPORTADORA Y COMERCIALIZADORA GORILA LIMITADA"/>
  </r>
  <r>
    <m/>
    <s v="TRASPASO"/>
    <d v="2022-11-23T00:00:00"/>
    <n v="11"/>
    <x v="1"/>
    <x v="12"/>
    <x v="6"/>
    <n v="0"/>
    <n v="43959"/>
    <n v="-43959"/>
    <x v="0"/>
    <x v="1"/>
    <n v="4159"/>
    <x v="10"/>
    <s v="IMPORTADORA Y COMERCIALIZADORA GORILA LIMITADA"/>
  </r>
  <r>
    <m/>
    <s v="TRASPASO"/>
    <d v="2022-11-23T00:00:00"/>
    <n v="11"/>
    <x v="3"/>
    <x v="10"/>
    <x v="6"/>
    <n v="23450"/>
    <n v="0"/>
    <n v="23450"/>
    <x v="0"/>
    <x v="1"/>
    <n v="713217"/>
    <x v="5"/>
    <s v="Comercial Mundo Transfer Ltda"/>
  </r>
  <r>
    <m/>
    <s v="TRASPASO"/>
    <d v="2022-11-23T00:00:00"/>
    <n v="11"/>
    <x v="0"/>
    <x v="11"/>
    <x v="6"/>
    <n v="4456"/>
    <n v="0"/>
    <n v="4456"/>
    <x v="0"/>
    <x v="1"/>
    <n v="713217"/>
    <x v="5"/>
    <s v="Comercial Mundo Transfer Ltda"/>
  </r>
  <r>
    <m/>
    <s v="TRASPASO"/>
    <d v="2022-11-23T00:00:00"/>
    <n v="11"/>
    <x v="1"/>
    <x v="12"/>
    <x v="6"/>
    <n v="0"/>
    <n v="27906"/>
    <n v="-27906"/>
    <x v="0"/>
    <x v="1"/>
    <n v="713217"/>
    <x v="5"/>
    <s v="Comercial Mundo Transfer Ltda"/>
  </r>
  <r>
    <m/>
    <s v="TRASPASO"/>
    <d v="2022-11-24T00:00:00"/>
    <n v="11"/>
    <x v="3"/>
    <x v="10"/>
    <x v="6"/>
    <n v="256100"/>
    <n v="0"/>
    <n v="256100"/>
    <x v="0"/>
    <x v="1"/>
    <n v="713446"/>
    <x v="5"/>
    <s v="Comercial Mundo Transfer Ltda"/>
  </r>
  <r>
    <m/>
    <s v="TRASPASO"/>
    <d v="2022-11-24T00:00:00"/>
    <n v="11"/>
    <x v="0"/>
    <x v="11"/>
    <x v="6"/>
    <n v="48659"/>
    <n v="0"/>
    <n v="48659"/>
    <x v="0"/>
    <x v="1"/>
    <n v="713446"/>
    <x v="5"/>
    <s v="Comercial Mundo Transfer Ltda"/>
  </r>
  <r>
    <m/>
    <s v="TRASPASO"/>
    <d v="2022-11-24T00:00:00"/>
    <n v="11"/>
    <x v="1"/>
    <x v="12"/>
    <x v="6"/>
    <n v="0"/>
    <n v="304759"/>
    <n v="-304759"/>
    <x v="0"/>
    <x v="1"/>
    <n v="713446"/>
    <x v="5"/>
    <s v="Comercial Mundo Transfer Ltda"/>
  </r>
  <r>
    <m/>
    <s v="TRASPASO"/>
    <d v="2022-11-24T00:00:00"/>
    <n v="11"/>
    <x v="3"/>
    <x v="10"/>
    <x v="6"/>
    <n v="58000"/>
    <n v="0"/>
    <n v="58000"/>
    <x v="0"/>
    <x v="1"/>
    <n v="409669"/>
    <x v="6"/>
    <s v="Texora S.A"/>
  </r>
  <r>
    <m/>
    <s v="TRASPASO"/>
    <d v="2022-11-24T00:00:00"/>
    <n v="11"/>
    <x v="0"/>
    <x v="11"/>
    <x v="6"/>
    <n v="11020"/>
    <n v="0"/>
    <n v="11020"/>
    <x v="0"/>
    <x v="1"/>
    <n v="409669"/>
    <x v="6"/>
    <s v="Texora S.A"/>
  </r>
  <r>
    <m/>
    <s v="TRASPASO"/>
    <d v="2022-11-24T00:00:00"/>
    <n v="11"/>
    <x v="1"/>
    <x v="12"/>
    <x v="6"/>
    <n v="0"/>
    <n v="69020"/>
    <n v="-69020"/>
    <x v="0"/>
    <x v="1"/>
    <n v="409669"/>
    <x v="6"/>
    <s v="Texora S.A"/>
  </r>
  <r>
    <m/>
    <s v="TRASPASO"/>
    <d v="2022-11-24T00:00:00"/>
    <n v="11"/>
    <x v="3"/>
    <x v="10"/>
    <x v="6"/>
    <n v="35500"/>
    <n v="0"/>
    <n v="35500"/>
    <x v="0"/>
    <x v="1"/>
    <n v="409689"/>
    <x v="6"/>
    <s v="Texora S.A"/>
  </r>
  <r>
    <m/>
    <s v="TRASPASO"/>
    <d v="2022-11-24T00:00:00"/>
    <n v="11"/>
    <x v="0"/>
    <x v="11"/>
    <x v="6"/>
    <n v="6745"/>
    <n v="0"/>
    <n v="6745"/>
    <x v="0"/>
    <x v="1"/>
    <n v="409689"/>
    <x v="6"/>
    <s v="Texora S.A"/>
  </r>
  <r>
    <m/>
    <s v="TRASPASO"/>
    <d v="2022-11-24T00:00:00"/>
    <n v="11"/>
    <x v="1"/>
    <x v="12"/>
    <x v="6"/>
    <n v="0"/>
    <n v="42245"/>
    <n v="-42245"/>
    <x v="0"/>
    <x v="1"/>
    <n v="409689"/>
    <x v="6"/>
    <s v="Texora S.A"/>
  </r>
  <r>
    <m/>
    <s v="TRASPASO"/>
    <d v="2022-11-24T00:00:00"/>
    <n v="11"/>
    <x v="3"/>
    <x v="10"/>
    <x v="6"/>
    <n v="8640"/>
    <n v="0"/>
    <n v="8640"/>
    <x v="0"/>
    <x v="1"/>
    <n v="409726"/>
    <x v="6"/>
    <s v="Texora S.A"/>
  </r>
  <r>
    <m/>
    <s v="TRASPASO"/>
    <d v="2022-11-24T00:00:00"/>
    <n v="11"/>
    <x v="0"/>
    <x v="11"/>
    <x v="6"/>
    <n v="1642"/>
    <n v="0"/>
    <n v="1642"/>
    <x v="0"/>
    <x v="1"/>
    <n v="409726"/>
    <x v="6"/>
    <s v="Texora S.A"/>
  </r>
  <r>
    <m/>
    <s v="TRASPASO"/>
    <d v="2022-11-24T00:00:00"/>
    <n v="11"/>
    <x v="1"/>
    <x v="12"/>
    <x v="6"/>
    <n v="0"/>
    <n v="10282"/>
    <n v="-10282"/>
    <x v="0"/>
    <x v="1"/>
    <n v="409726"/>
    <x v="6"/>
    <s v="Texora S.A"/>
  </r>
  <r>
    <m/>
    <s v="TRASPASO"/>
    <d v="2022-11-25T00:00:00"/>
    <n v="11"/>
    <x v="3"/>
    <x v="10"/>
    <x v="6"/>
    <n v="32160"/>
    <n v="0"/>
    <n v="32160"/>
    <x v="0"/>
    <x v="1"/>
    <n v="410036"/>
    <x v="6"/>
    <s v="Texora S.A"/>
  </r>
  <r>
    <m/>
    <s v="TRASPASO"/>
    <d v="2022-11-25T00:00:00"/>
    <n v="11"/>
    <x v="0"/>
    <x v="11"/>
    <x v="6"/>
    <n v="6110"/>
    <n v="0"/>
    <n v="6110"/>
    <x v="0"/>
    <x v="1"/>
    <n v="410036"/>
    <x v="6"/>
    <s v="Texora S.A"/>
  </r>
  <r>
    <m/>
    <s v="TRASPASO"/>
    <d v="2022-11-25T00:00:00"/>
    <n v="11"/>
    <x v="1"/>
    <x v="12"/>
    <x v="6"/>
    <n v="0"/>
    <n v="38270"/>
    <n v="-38270"/>
    <x v="0"/>
    <x v="1"/>
    <n v="410036"/>
    <x v="6"/>
    <s v="Texora S.A"/>
  </r>
  <r>
    <m/>
    <s v="TRASPASO"/>
    <d v="2022-11-26T00:00:00"/>
    <n v="11"/>
    <x v="3"/>
    <x v="10"/>
    <x v="6"/>
    <n v="163800"/>
    <n v="0"/>
    <n v="163800"/>
    <x v="0"/>
    <x v="1"/>
    <n v="2008"/>
    <x v="19"/>
    <s v="TEXTIL HAPI LIMITADA"/>
  </r>
  <r>
    <m/>
    <s v="TRASPASO"/>
    <d v="2022-11-26T00:00:00"/>
    <n v="11"/>
    <x v="0"/>
    <x v="11"/>
    <x v="6"/>
    <n v="31122"/>
    <n v="0"/>
    <n v="31122"/>
    <x v="0"/>
    <x v="1"/>
    <n v="2008"/>
    <x v="19"/>
    <s v="TEXTIL HAPI LIMITADA"/>
  </r>
  <r>
    <m/>
    <s v="TRASPASO"/>
    <d v="2022-11-26T00:00:00"/>
    <n v="11"/>
    <x v="1"/>
    <x v="12"/>
    <x v="6"/>
    <n v="0"/>
    <n v="194922"/>
    <n v="-194922"/>
    <x v="0"/>
    <x v="1"/>
    <n v="2008"/>
    <x v="19"/>
    <s v="TEXTIL HAPI LIMITADA"/>
  </r>
  <r>
    <m/>
    <s v="TRASPASO"/>
    <d v="2022-11-27T00:00:00"/>
    <n v="11"/>
    <x v="3"/>
    <x v="10"/>
    <x v="6"/>
    <n v="98273"/>
    <n v="0"/>
    <n v="98273"/>
    <x v="0"/>
    <x v="1"/>
    <n v="17732836"/>
    <x v="39"/>
    <s v="CENCOSUD RETAIL S.A."/>
  </r>
  <r>
    <m/>
    <s v="TRASPASO"/>
    <d v="2022-11-27T00:00:00"/>
    <n v="11"/>
    <x v="0"/>
    <x v="11"/>
    <x v="6"/>
    <n v="18500"/>
    <n v="0"/>
    <n v="18500"/>
    <x v="0"/>
    <x v="1"/>
    <n v="17732836"/>
    <x v="39"/>
    <s v="CENCOSUD RETAIL S.A."/>
  </r>
  <r>
    <m/>
    <s v="TRASPASO"/>
    <d v="2022-11-27T00:00:00"/>
    <n v="11"/>
    <x v="1"/>
    <x v="12"/>
    <x v="6"/>
    <n v="0"/>
    <n v="116773"/>
    <n v="-116773"/>
    <x v="0"/>
    <x v="1"/>
    <n v="17732836"/>
    <x v="39"/>
    <s v="CENCOSUD RETAIL S.A."/>
  </r>
  <r>
    <m/>
    <s v="TRASPASO"/>
    <d v="2022-11-28T00:00:00"/>
    <n v="11"/>
    <x v="3"/>
    <x v="10"/>
    <x v="6"/>
    <n v="10916"/>
    <n v="0"/>
    <n v="10916"/>
    <x v="0"/>
    <x v="1"/>
    <n v="40011"/>
    <x v="21"/>
    <s v="SOCIEDAD TEXORA WORKWEAR STORE CHILE SPA"/>
  </r>
  <r>
    <m/>
    <s v="TRASPASO"/>
    <d v="2022-11-28T00:00:00"/>
    <n v="11"/>
    <x v="0"/>
    <x v="11"/>
    <x v="6"/>
    <n v="2074"/>
    <n v="0"/>
    <n v="2074"/>
    <x v="0"/>
    <x v="1"/>
    <n v="40011"/>
    <x v="21"/>
    <s v="SOCIEDAD TEXORA WORKWEAR STORE CHILE SPA"/>
  </r>
  <r>
    <m/>
    <s v="TRASPASO"/>
    <d v="2022-11-28T00:00:00"/>
    <n v="11"/>
    <x v="1"/>
    <x v="12"/>
    <x v="6"/>
    <n v="0"/>
    <n v="12990"/>
    <n v="-12990"/>
    <x v="0"/>
    <x v="1"/>
    <n v="40011"/>
    <x v="21"/>
    <s v="SOCIEDAD TEXORA WORKWEAR STORE CHILE SPA"/>
  </r>
  <r>
    <m/>
    <s v="TRASPASO"/>
    <d v="2022-11-28T00:00:00"/>
    <n v="11"/>
    <x v="3"/>
    <x v="10"/>
    <x v="6"/>
    <n v="57120"/>
    <n v="0"/>
    <n v="57120"/>
    <x v="0"/>
    <x v="1"/>
    <n v="410282"/>
    <x v="6"/>
    <s v="Texora S.A"/>
  </r>
  <r>
    <m/>
    <s v="TRASPASO"/>
    <d v="2022-11-28T00:00:00"/>
    <n v="11"/>
    <x v="0"/>
    <x v="11"/>
    <x v="6"/>
    <n v="10853"/>
    <n v="0"/>
    <n v="10853"/>
    <x v="0"/>
    <x v="1"/>
    <n v="410282"/>
    <x v="6"/>
    <s v="Texora S.A"/>
  </r>
  <r>
    <m/>
    <s v="TRASPASO"/>
    <d v="2022-11-28T00:00:00"/>
    <n v="11"/>
    <x v="1"/>
    <x v="12"/>
    <x v="6"/>
    <n v="0"/>
    <n v="67973"/>
    <n v="-67973"/>
    <x v="0"/>
    <x v="1"/>
    <n v="410282"/>
    <x v="6"/>
    <s v="Texora S.A"/>
  </r>
  <r>
    <m/>
    <s v="TRASPASO"/>
    <d v="2022-11-30T00:00:00"/>
    <n v="11"/>
    <x v="3"/>
    <x v="10"/>
    <x v="6"/>
    <n v="277100"/>
    <n v="0"/>
    <n v="277100"/>
    <x v="0"/>
    <x v="1"/>
    <n v="18545"/>
    <x v="33"/>
    <s v="IMPORTADORA ANDESLAND LIMITADA"/>
  </r>
  <r>
    <m/>
    <s v="TRASPASO"/>
    <d v="2022-11-30T00:00:00"/>
    <n v="11"/>
    <x v="0"/>
    <x v="11"/>
    <x v="6"/>
    <n v="52649"/>
    <n v="0"/>
    <n v="52649"/>
    <x v="0"/>
    <x v="1"/>
    <n v="18545"/>
    <x v="33"/>
    <s v="IMPORTADORA ANDESLAND LIMITADA"/>
  </r>
  <r>
    <m/>
    <s v="TRASPASO"/>
    <d v="2022-11-30T00:00:00"/>
    <n v="11"/>
    <x v="1"/>
    <x v="12"/>
    <x v="6"/>
    <n v="0"/>
    <n v="329749"/>
    <n v="-329749"/>
    <x v="0"/>
    <x v="1"/>
    <n v="18545"/>
    <x v="33"/>
    <s v="IMPORTADORA ANDESLAND LIMITADA"/>
  </r>
  <r>
    <m/>
    <s v="TRASPASO"/>
    <d v="2022-10-25T00:00:00"/>
    <n v="11"/>
    <x v="3"/>
    <x v="10"/>
    <x v="6"/>
    <n v="119903"/>
    <n v="0"/>
    <n v="119903"/>
    <x v="0"/>
    <x v="3"/>
    <n v="129"/>
    <x v="16"/>
    <s v="SIMPLE TAX SPA"/>
  </r>
  <r>
    <m/>
    <s v="TRASPASO"/>
    <d v="2022-10-25T00:00:00"/>
    <n v="11"/>
    <x v="0"/>
    <x v="11"/>
    <x v="6"/>
    <n v="0"/>
    <n v="0"/>
    <n v="0"/>
    <x v="0"/>
    <x v="3"/>
    <n v="129"/>
    <x v="16"/>
    <s v="SIMPLE TAX SPA"/>
  </r>
  <r>
    <m/>
    <s v="TRASPASO"/>
    <d v="2022-10-25T00:00:00"/>
    <n v="11"/>
    <x v="1"/>
    <x v="12"/>
    <x v="6"/>
    <n v="0"/>
    <n v="119903"/>
    <n v="-119903"/>
    <x v="0"/>
    <x v="3"/>
    <n v="129"/>
    <x v="16"/>
    <s v="SIMPLE TAX SPA"/>
  </r>
  <r>
    <m/>
    <s v="TRASPASO"/>
    <d v="2022-12-02T00:00:00"/>
    <n v="12"/>
    <x v="3"/>
    <x v="10"/>
    <x v="6"/>
    <n v="218638"/>
    <n v="0"/>
    <n v="218638"/>
    <x v="0"/>
    <x v="1"/>
    <n v="276490"/>
    <x v="36"/>
    <s v="PROMO IMPORT CHILE SPA"/>
  </r>
  <r>
    <m/>
    <s v="TRASPASO"/>
    <d v="2022-12-02T00:00:00"/>
    <n v="12"/>
    <x v="0"/>
    <x v="11"/>
    <x v="6"/>
    <n v="41541"/>
    <n v="0"/>
    <n v="41541"/>
    <x v="0"/>
    <x v="1"/>
    <n v="276490"/>
    <x v="36"/>
    <s v="PROMO IMPORT CHILE SPA"/>
  </r>
  <r>
    <m/>
    <s v="TRASPASO"/>
    <d v="2022-12-02T00:00:00"/>
    <n v="12"/>
    <x v="1"/>
    <x v="12"/>
    <x v="6"/>
    <n v="0"/>
    <n v="260179"/>
    <n v="-260179"/>
    <x v="0"/>
    <x v="1"/>
    <n v="276490"/>
    <x v="36"/>
    <s v="PROMO IMPORT CHILE SPA"/>
  </r>
  <r>
    <m/>
    <s v="TRASPASO"/>
    <d v="2022-12-02T00:00:00"/>
    <n v="12"/>
    <x v="3"/>
    <x v="10"/>
    <x v="6"/>
    <n v="89412"/>
    <n v="0"/>
    <n v="89412"/>
    <x v="0"/>
    <x v="1"/>
    <n v="18531"/>
    <x v="40"/>
    <s v="INVERSIONES BTP SPA"/>
  </r>
  <r>
    <m/>
    <s v="TRASPASO"/>
    <d v="2022-12-02T00:00:00"/>
    <n v="12"/>
    <x v="0"/>
    <x v="11"/>
    <x v="6"/>
    <n v="16988"/>
    <n v="0"/>
    <n v="16988"/>
    <x v="0"/>
    <x v="1"/>
    <n v="18531"/>
    <x v="40"/>
    <s v="INVERSIONES BTP SPA"/>
  </r>
  <r>
    <m/>
    <s v="TRASPASO"/>
    <d v="2022-12-02T00:00:00"/>
    <n v="12"/>
    <x v="1"/>
    <x v="12"/>
    <x v="6"/>
    <n v="0"/>
    <n v="106400"/>
    <n v="-106400"/>
    <x v="0"/>
    <x v="1"/>
    <n v="18531"/>
    <x v="40"/>
    <s v="INVERSIONES BTP SPA"/>
  </r>
  <r>
    <m/>
    <s v="TRASPASO"/>
    <d v="2022-12-05T00:00:00"/>
    <n v="12"/>
    <x v="3"/>
    <x v="10"/>
    <x v="6"/>
    <n v="72980"/>
    <n v="0"/>
    <n v="72980"/>
    <x v="0"/>
    <x v="1"/>
    <n v="411576"/>
    <x v="6"/>
    <s v="Texora S.A"/>
  </r>
  <r>
    <m/>
    <s v="TRASPASO"/>
    <d v="2022-12-05T00:00:00"/>
    <n v="12"/>
    <x v="0"/>
    <x v="11"/>
    <x v="6"/>
    <n v="13866"/>
    <n v="0"/>
    <n v="13866"/>
    <x v="0"/>
    <x v="1"/>
    <n v="411576"/>
    <x v="6"/>
    <s v="Texora S.A"/>
  </r>
  <r>
    <m/>
    <s v="TRASPASO"/>
    <d v="2022-12-05T00:00:00"/>
    <n v="12"/>
    <x v="1"/>
    <x v="12"/>
    <x v="6"/>
    <n v="0"/>
    <n v="86846"/>
    <n v="-86846"/>
    <x v="0"/>
    <x v="1"/>
    <n v="411576"/>
    <x v="6"/>
    <s v="Texora S.A"/>
  </r>
  <r>
    <m/>
    <s v="TRASPASO"/>
    <d v="2022-12-05T00:00:00"/>
    <n v="12"/>
    <x v="3"/>
    <x v="10"/>
    <x v="6"/>
    <n v="76940"/>
    <n v="0"/>
    <n v="76940"/>
    <x v="0"/>
    <x v="1"/>
    <n v="411615"/>
    <x v="6"/>
    <s v="Texora S.A"/>
  </r>
  <r>
    <m/>
    <s v="TRASPASO"/>
    <d v="2022-12-05T00:00:00"/>
    <n v="12"/>
    <x v="0"/>
    <x v="11"/>
    <x v="6"/>
    <n v="14619"/>
    <n v="0"/>
    <n v="14619"/>
    <x v="0"/>
    <x v="1"/>
    <n v="411615"/>
    <x v="6"/>
    <s v="Texora S.A"/>
  </r>
  <r>
    <m/>
    <s v="TRASPASO"/>
    <d v="2022-12-05T00:00:00"/>
    <n v="12"/>
    <x v="1"/>
    <x v="12"/>
    <x v="6"/>
    <n v="0"/>
    <n v="91559"/>
    <n v="-91559"/>
    <x v="0"/>
    <x v="1"/>
    <n v="411615"/>
    <x v="6"/>
    <s v="Texora S.A"/>
  </r>
  <r>
    <m/>
    <s v="TRASPASO"/>
    <d v="2022-12-08T00:00:00"/>
    <n v="12"/>
    <x v="3"/>
    <x v="10"/>
    <x v="6"/>
    <n v="8235"/>
    <n v="0"/>
    <n v="8235"/>
    <x v="0"/>
    <x v="1"/>
    <n v="82"/>
    <x v="26"/>
    <s v="TODO EMPAQUE SPA"/>
  </r>
  <r>
    <m/>
    <s v="TRASPASO"/>
    <d v="2022-12-08T00:00:00"/>
    <n v="12"/>
    <x v="0"/>
    <x v="11"/>
    <x v="6"/>
    <n v="1565"/>
    <n v="0"/>
    <n v="1565"/>
    <x v="0"/>
    <x v="1"/>
    <n v="82"/>
    <x v="26"/>
    <s v="TODO EMPAQUE SPA"/>
  </r>
  <r>
    <m/>
    <s v="TRASPASO"/>
    <d v="2022-12-08T00:00:00"/>
    <n v="12"/>
    <x v="1"/>
    <x v="12"/>
    <x v="6"/>
    <n v="0"/>
    <n v="9800"/>
    <n v="-9800"/>
    <x v="0"/>
    <x v="1"/>
    <n v="82"/>
    <x v="26"/>
    <s v="TODO EMPAQUE SPA"/>
  </r>
  <r>
    <m/>
    <s v="TRASPASO"/>
    <d v="2022-12-13T00:00:00"/>
    <n v="12"/>
    <x v="3"/>
    <x v="10"/>
    <x v="6"/>
    <n v="576220"/>
    <n v="0"/>
    <n v="576220"/>
    <x v="0"/>
    <x v="1"/>
    <n v="718798"/>
    <x v="5"/>
    <s v="Comercial Mundo Transfer Ltda"/>
  </r>
  <r>
    <m/>
    <s v="TRASPASO"/>
    <d v="2022-12-13T00:00:00"/>
    <n v="12"/>
    <x v="0"/>
    <x v="11"/>
    <x v="6"/>
    <n v="109482"/>
    <n v="0"/>
    <n v="109482"/>
    <x v="0"/>
    <x v="1"/>
    <n v="718798"/>
    <x v="5"/>
    <s v="Comercial Mundo Transfer Ltda"/>
  </r>
  <r>
    <m/>
    <s v="TRASPASO"/>
    <d v="2022-12-13T00:00:00"/>
    <n v="12"/>
    <x v="1"/>
    <x v="12"/>
    <x v="6"/>
    <n v="0"/>
    <n v="685702"/>
    <n v="-685702"/>
    <x v="0"/>
    <x v="1"/>
    <n v="718798"/>
    <x v="5"/>
    <s v="Comercial Mundo Transfer Ltda"/>
  </r>
  <r>
    <m/>
    <s v="TRASPASO"/>
    <d v="2022-12-14T00:00:00"/>
    <n v="12"/>
    <x v="3"/>
    <x v="10"/>
    <x v="6"/>
    <n v="74700"/>
    <n v="0"/>
    <n v="74700"/>
    <x v="0"/>
    <x v="1"/>
    <n v="412972"/>
    <x v="6"/>
    <s v="Texora S.A"/>
  </r>
  <r>
    <m/>
    <s v="TRASPASO"/>
    <d v="2022-12-14T00:00:00"/>
    <n v="12"/>
    <x v="0"/>
    <x v="11"/>
    <x v="6"/>
    <n v="14193"/>
    <n v="0"/>
    <n v="14193"/>
    <x v="0"/>
    <x v="1"/>
    <n v="412972"/>
    <x v="6"/>
    <s v="Texora S.A"/>
  </r>
  <r>
    <m/>
    <s v="TRASPASO"/>
    <d v="2022-12-14T00:00:00"/>
    <n v="12"/>
    <x v="1"/>
    <x v="12"/>
    <x v="6"/>
    <n v="0"/>
    <n v="88893"/>
    <n v="-88893"/>
    <x v="0"/>
    <x v="1"/>
    <n v="412972"/>
    <x v="6"/>
    <s v="Texora S.A"/>
  </r>
  <r>
    <m/>
    <s v="TRASPASO"/>
    <d v="2022-12-15T00:00:00"/>
    <n v="12"/>
    <x v="3"/>
    <x v="10"/>
    <x v="6"/>
    <n v="156870"/>
    <n v="0"/>
    <n v="156870"/>
    <x v="0"/>
    <x v="1"/>
    <n v="413098"/>
    <x v="6"/>
    <s v="Texora S.A"/>
  </r>
  <r>
    <m/>
    <s v="TRASPASO"/>
    <d v="2022-12-15T00:00:00"/>
    <n v="12"/>
    <x v="0"/>
    <x v="11"/>
    <x v="6"/>
    <n v="29805"/>
    <n v="0"/>
    <n v="29805"/>
    <x v="0"/>
    <x v="1"/>
    <n v="413098"/>
    <x v="6"/>
    <s v="Texora S.A"/>
  </r>
  <r>
    <m/>
    <s v="TRASPASO"/>
    <d v="2022-12-15T00:00:00"/>
    <n v="12"/>
    <x v="1"/>
    <x v="12"/>
    <x v="6"/>
    <n v="0"/>
    <n v="186675"/>
    <n v="-186675"/>
    <x v="0"/>
    <x v="1"/>
    <n v="413098"/>
    <x v="6"/>
    <s v="Texora S.A"/>
  </r>
  <r>
    <m/>
    <s v="TRASPASO"/>
    <d v="2022-12-15T00:00:00"/>
    <n v="12"/>
    <x v="3"/>
    <x v="10"/>
    <x v="6"/>
    <n v="153717"/>
    <n v="0"/>
    <n v="153717"/>
    <x v="0"/>
    <x v="1"/>
    <n v="16223"/>
    <x v="11"/>
    <s v="COMERCIALIZADORA COTTONEXT LIMITADA"/>
  </r>
  <r>
    <m/>
    <s v="TRASPASO"/>
    <d v="2022-12-15T00:00:00"/>
    <n v="12"/>
    <x v="0"/>
    <x v="11"/>
    <x v="6"/>
    <n v="29206"/>
    <n v="0"/>
    <n v="29206"/>
    <x v="0"/>
    <x v="1"/>
    <n v="16223"/>
    <x v="11"/>
    <s v="COMERCIALIZADORA COTTONEXT LIMITADA"/>
  </r>
  <r>
    <m/>
    <s v="TRASPASO"/>
    <d v="2022-12-15T00:00:00"/>
    <n v="12"/>
    <x v="1"/>
    <x v="12"/>
    <x v="6"/>
    <n v="0"/>
    <n v="182923"/>
    <n v="-182923"/>
    <x v="0"/>
    <x v="1"/>
    <n v="16223"/>
    <x v="11"/>
    <s v="COMERCIALIZADORA COTTONEXT LIMITADA"/>
  </r>
  <r>
    <m/>
    <s v="TRASPASO"/>
    <d v="2022-12-15T00:00:00"/>
    <n v="12"/>
    <x v="3"/>
    <x v="10"/>
    <x v="6"/>
    <n v="11211"/>
    <n v="0"/>
    <n v="11211"/>
    <x v="0"/>
    <x v="1"/>
    <n v="371740"/>
    <x v="23"/>
    <s v="Sociedad Importadora Maritex Spa"/>
  </r>
  <r>
    <m/>
    <s v="TRASPASO"/>
    <d v="2022-12-15T00:00:00"/>
    <n v="12"/>
    <x v="0"/>
    <x v="11"/>
    <x v="6"/>
    <n v="2130"/>
    <n v="0"/>
    <n v="2130"/>
    <x v="0"/>
    <x v="1"/>
    <n v="371740"/>
    <x v="23"/>
    <s v="Sociedad Importadora Maritex Spa"/>
  </r>
  <r>
    <m/>
    <s v="TRASPASO"/>
    <d v="2022-12-15T00:00:00"/>
    <n v="12"/>
    <x v="1"/>
    <x v="12"/>
    <x v="6"/>
    <n v="0"/>
    <n v="13341"/>
    <n v="-13341"/>
    <x v="0"/>
    <x v="1"/>
    <n v="371740"/>
    <x v="23"/>
    <s v="Sociedad Importadora Maritex Spa"/>
  </r>
  <r>
    <m/>
    <s v="TRASPASO"/>
    <d v="2022-12-16T00:00:00"/>
    <n v="12"/>
    <x v="3"/>
    <x v="10"/>
    <x v="6"/>
    <n v="3361"/>
    <n v="0"/>
    <n v="3361"/>
    <x v="0"/>
    <x v="1"/>
    <n v="95"/>
    <x v="26"/>
    <s v="TODO EMPAQUE SPA"/>
  </r>
  <r>
    <m/>
    <s v="TRASPASO"/>
    <d v="2022-12-16T00:00:00"/>
    <n v="12"/>
    <x v="0"/>
    <x v="11"/>
    <x v="6"/>
    <n v="639"/>
    <n v="0"/>
    <n v="639"/>
    <x v="0"/>
    <x v="1"/>
    <n v="95"/>
    <x v="26"/>
    <s v="TODO EMPAQUE SPA"/>
  </r>
  <r>
    <m/>
    <s v="TRASPASO"/>
    <d v="2022-12-16T00:00:00"/>
    <n v="12"/>
    <x v="1"/>
    <x v="12"/>
    <x v="6"/>
    <n v="0"/>
    <n v="4000"/>
    <n v="-4000"/>
    <x v="0"/>
    <x v="1"/>
    <n v="95"/>
    <x v="26"/>
    <s v="TODO EMPAQUE SPA"/>
  </r>
  <r>
    <m/>
    <s v="TRASPASO"/>
    <d v="2022-12-16T00:00:00"/>
    <n v="12"/>
    <x v="3"/>
    <x v="10"/>
    <x v="6"/>
    <n v="139832"/>
    <n v="0"/>
    <n v="139832"/>
    <x v="0"/>
    <x v="1"/>
    <n v="18933"/>
    <x v="40"/>
    <s v="INVERSIONES BTP SPA"/>
  </r>
  <r>
    <m/>
    <s v="TRASPASO"/>
    <d v="2022-12-16T00:00:00"/>
    <n v="12"/>
    <x v="0"/>
    <x v="11"/>
    <x v="6"/>
    <n v="26568"/>
    <n v="0"/>
    <n v="26568"/>
    <x v="0"/>
    <x v="1"/>
    <n v="18933"/>
    <x v="40"/>
    <s v="INVERSIONES BTP SPA"/>
  </r>
  <r>
    <m/>
    <s v="TRASPASO"/>
    <d v="2022-12-16T00:00:00"/>
    <n v="12"/>
    <x v="1"/>
    <x v="12"/>
    <x v="6"/>
    <n v="0"/>
    <n v="166400"/>
    <n v="-166400"/>
    <x v="0"/>
    <x v="1"/>
    <n v="18933"/>
    <x v="40"/>
    <s v="INVERSIONES BTP SPA"/>
  </r>
  <r>
    <m/>
    <s v="TRASPASO"/>
    <d v="2022-12-19T00:00:00"/>
    <n v="12"/>
    <x v="3"/>
    <x v="10"/>
    <x v="6"/>
    <n v="20740"/>
    <n v="0"/>
    <n v="20740"/>
    <x v="0"/>
    <x v="1"/>
    <n v="413568"/>
    <x v="6"/>
    <s v="Texora S.A"/>
  </r>
  <r>
    <m/>
    <s v="TRASPASO"/>
    <d v="2022-12-19T00:00:00"/>
    <n v="12"/>
    <x v="0"/>
    <x v="11"/>
    <x v="6"/>
    <n v="3941"/>
    <n v="0"/>
    <n v="3941"/>
    <x v="0"/>
    <x v="1"/>
    <n v="413568"/>
    <x v="6"/>
    <s v="Texora S.A"/>
  </r>
  <r>
    <m/>
    <s v="TRASPASO"/>
    <d v="2022-12-19T00:00:00"/>
    <n v="12"/>
    <x v="1"/>
    <x v="12"/>
    <x v="6"/>
    <n v="0"/>
    <n v="24681"/>
    <n v="-24681"/>
    <x v="0"/>
    <x v="1"/>
    <n v="413568"/>
    <x v="6"/>
    <s v="Texora S.A"/>
  </r>
  <r>
    <m/>
    <s v="TRASPASO"/>
    <d v="2022-12-20T00:00:00"/>
    <n v="12"/>
    <x v="3"/>
    <x v="10"/>
    <x v="6"/>
    <n v="11412"/>
    <n v="0"/>
    <n v="11412"/>
    <x v="0"/>
    <x v="1"/>
    <n v="41074"/>
    <x v="21"/>
    <s v="SOCIEDAD TEXORA WORKWEAR STORE CHILE SPA"/>
  </r>
  <r>
    <m/>
    <s v="TRASPASO"/>
    <d v="2022-12-20T00:00:00"/>
    <n v="12"/>
    <x v="0"/>
    <x v="11"/>
    <x v="6"/>
    <n v="2168"/>
    <n v="0"/>
    <n v="2168"/>
    <x v="0"/>
    <x v="1"/>
    <n v="41074"/>
    <x v="21"/>
    <s v="SOCIEDAD TEXORA WORKWEAR STORE CHILE SPA"/>
  </r>
  <r>
    <m/>
    <s v="TRASPASO"/>
    <d v="2022-12-20T00:00:00"/>
    <n v="12"/>
    <x v="1"/>
    <x v="12"/>
    <x v="6"/>
    <n v="0"/>
    <n v="13580"/>
    <n v="-13580"/>
    <x v="0"/>
    <x v="1"/>
    <n v="41074"/>
    <x v="21"/>
    <s v="SOCIEDAD TEXORA WORKWEAR STORE CHILE SPA"/>
  </r>
  <r>
    <m/>
    <s v="TRASPASO"/>
    <d v="2022-12-20T00:00:00"/>
    <n v="12"/>
    <x v="3"/>
    <x v="10"/>
    <x v="6"/>
    <n v="15408"/>
    <n v="0"/>
    <n v="15408"/>
    <x v="0"/>
    <x v="1"/>
    <n v="372228"/>
    <x v="23"/>
    <s v="Sociedad Importadora Maritex Spa"/>
  </r>
  <r>
    <m/>
    <s v="TRASPASO"/>
    <d v="2022-12-20T00:00:00"/>
    <n v="12"/>
    <x v="0"/>
    <x v="11"/>
    <x v="6"/>
    <n v="2928"/>
    <n v="0"/>
    <n v="2928"/>
    <x v="0"/>
    <x v="1"/>
    <n v="372228"/>
    <x v="23"/>
    <s v="Sociedad Importadora Maritex Spa"/>
  </r>
  <r>
    <m/>
    <s v="TRASPASO"/>
    <d v="2022-12-20T00:00:00"/>
    <n v="12"/>
    <x v="1"/>
    <x v="12"/>
    <x v="6"/>
    <n v="0"/>
    <n v="18336"/>
    <n v="-18336"/>
    <x v="0"/>
    <x v="1"/>
    <n v="372228"/>
    <x v="23"/>
    <s v="Sociedad Importadora Maritex Spa"/>
  </r>
  <r>
    <m/>
    <s v="TRASPASO"/>
    <d v="2022-12-20T00:00:00"/>
    <n v="12"/>
    <x v="3"/>
    <x v="10"/>
    <x v="6"/>
    <n v="44785"/>
    <n v="0"/>
    <n v="44785"/>
    <x v="0"/>
    <x v="1"/>
    <n v="720998"/>
    <x v="5"/>
    <s v="Comercial Mundo Transfer Ltda"/>
  </r>
  <r>
    <m/>
    <s v="TRASPASO"/>
    <d v="2022-12-20T00:00:00"/>
    <n v="12"/>
    <x v="0"/>
    <x v="11"/>
    <x v="6"/>
    <n v="8509"/>
    <n v="0"/>
    <n v="8509"/>
    <x v="0"/>
    <x v="1"/>
    <n v="720998"/>
    <x v="5"/>
    <s v="Comercial Mundo Transfer Ltda"/>
  </r>
  <r>
    <m/>
    <s v="TRASPASO"/>
    <d v="2022-12-20T00:00:00"/>
    <n v="12"/>
    <x v="1"/>
    <x v="12"/>
    <x v="6"/>
    <n v="0"/>
    <n v="53294"/>
    <n v="-53294"/>
    <x v="0"/>
    <x v="1"/>
    <n v="720998"/>
    <x v="5"/>
    <s v="Comercial Mundo Transfer Ltda"/>
  </r>
  <r>
    <m/>
    <s v="TRASPASO"/>
    <d v="2022-12-16T00:00:00"/>
    <n v="12"/>
    <x v="3"/>
    <x v="10"/>
    <x v="6"/>
    <n v="36101"/>
    <n v="0"/>
    <n v="36101"/>
    <x v="0"/>
    <x v="1"/>
    <n v="11161003"/>
    <x v="9"/>
    <s v="WOM S.A."/>
  </r>
  <r>
    <m/>
    <s v="TRASPASO"/>
    <d v="2022-12-16T00:00:00"/>
    <n v="12"/>
    <x v="0"/>
    <x v="11"/>
    <x v="6"/>
    <n v="6859"/>
    <n v="0"/>
    <n v="6859"/>
    <x v="0"/>
    <x v="1"/>
    <n v="11161003"/>
    <x v="9"/>
    <s v="WOM S.A."/>
  </r>
  <r>
    <m/>
    <s v="TRASPASO"/>
    <d v="2022-12-16T00:00:00"/>
    <n v="12"/>
    <x v="1"/>
    <x v="12"/>
    <x v="6"/>
    <n v="0"/>
    <n v="42960"/>
    <n v="-42960"/>
    <x v="0"/>
    <x v="1"/>
    <n v="11161003"/>
    <x v="9"/>
    <s v="WOM S.A."/>
  </r>
  <r>
    <m/>
    <s v="TRASPASO"/>
    <d v="2022-12-21T00:00:00"/>
    <n v="12"/>
    <x v="3"/>
    <x v="10"/>
    <x v="6"/>
    <n v="42240"/>
    <n v="0"/>
    <n v="42240"/>
    <x v="0"/>
    <x v="1"/>
    <n v="414101"/>
    <x v="6"/>
    <s v="Texora S.A"/>
  </r>
  <r>
    <m/>
    <s v="TRASPASO"/>
    <d v="2022-12-21T00:00:00"/>
    <n v="12"/>
    <x v="0"/>
    <x v="11"/>
    <x v="6"/>
    <n v="8026"/>
    <n v="0"/>
    <n v="8026"/>
    <x v="0"/>
    <x v="1"/>
    <n v="414101"/>
    <x v="6"/>
    <s v="Texora S.A"/>
  </r>
  <r>
    <m/>
    <s v="TRASPASO"/>
    <d v="2022-12-21T00:00:00"/>
    <n v="12"/>
    <x v="1"/>
    <x v="12"/>
    <x v="6"/>
    <n v="0"/>
    <n v="50266"/>
    <n v="-50266"/>
    <x v="0"/>
    <x v="1"/>
    <n v="414101"/>
    <x v="6"/>
    <s v="Texora S.A"/>
  </r>
  <r>
    <m/>
    <s v="TRASPASO"/>
    <d v="2022-12-22T00:00:00"/>
    <n v="12"/>
    <x v="3"/>
    <x v="10"/>
    <x v="6"/>
    <n v="12145"/>
    <n v="0"/>
    <n v="12145"/>
    <x v="0"/>
    <x v="1"/>
    <n v="721598"/>
    <x v="5"/>
    <s v="Comercial Mundo Transfer Ltda"/>
  </r>
  <r>
    <m/>
    <s v="TRASPASO"/>
    <d v="2022-12-22T00:00:00"/>
    <n v="12"/>
    <x v="0"/>
    <x v="11"/>
    <x v="6"/>
    <n v="2308"/>
    <n v="0"/>
    <n v="2308"/>
    <x v="0"/>
    <x v="1"/>
    <n v="721598"/>
    <x v="5"/>
    <s v="Comercial Mundo Transfer Ltda"/>
  </r>
  <r>
    <m/>
    <s v="TRASPASO"/>
    <d v="2022-12-22T00:00:00"/>
    <n v="12"/>
    <x v="1"/>
    <x v="12"/>
    <x v="6"/>
    <n v="0"/>
    <n v="14453"/>
    <n v="-14453"/>
    <x v="0"/>
    <x v="1"/>
    <n v="721598"/>
    <x v="5"/>
    <s v="Comercial Mundo Transfer Ltda"/>
  </r>
  <r>
    <m/>
    <s v="TRASPASO"/>
    <d v="2022-12-23T00:00:00"/>
    <n v="12"/>
    <x v="3"/>
    <x v="10"/>
    <x v="6"/>
    <n v="9076"/>
    <n v="0"/>
    <n v="9076"/>
    <x v="0"/>
    <x v="1"/>
    <n v="13043"/>
    <x v="31"/>
    <s v="COMERCIAL AHN Y PAEK LTDA"/>
  </r>
  <r>
    <m/>
    <s v="TRASPASO"/>
    <d v="2022-12-23T00:00:00"/>
    <n v="12"/>
    <x v="0"/>
    <x v="11"/>
    <x v="6"/>
    <n v="1724"/>
    <n v="0"/>
    <n v="1724"/>
    <x v="0"/>
    <x v="1"/>
    <n v="13043"/>
    <x v="31"/>
    <s v="COMERCIAL AHN Y PAEK LTDA"/>
  </r>
  <r>
    <m/>
    <s v="TRASPASO"/>
    <d v="2022-12-23T00:00:00"/>
    <n v="12"/>
    <x v="1"/>
    <x v="12"/>
    <x v="6"/>
    <n v="0"/>
    <n v="10800"/>
    <n v="-10800"/>
    <x v="0"/>
    <x v="1"/>
    <n v="13043"/>
    <x v="31"/>
    <s v="COMERCIAL AHN Y PAEK LTDA"/>
  </r>
  <r>
    <m/>
    <s v="TRASPASO"/>
    <d v="2022-12-23T00:00:00"/>
    <n v="12"/>
    <x v="3"/>
    <x v="10"/>
    <x v="6"/>
    <n v="14622"/>
    <n v="0"/>
    <n v="14622"/>
    <x v="0"/>
    <x v="1"/>
    <n v="171191"/>
    <x v="3"/>
    <s v="TEXTIL SUMEY LTDA"/>
  </r>
  <r>
    <m/>
    <s v="TRASPASO"/>
    <d v="2022-12-23T00:00:00"/>
    <n v="12"/>
    <x v="0"/>
    <x v="11"/>
    <x v="6"/>
    <n v="2778"/>
    <n v="0"/>
    <n v="2778"/>
    <x v="0"/>
    <x v="1"/>
    <n v="171191"/>
    <x v="3"/>
    <s v="TEXTIL SUMEY LTDA"/>
  </r>
  <r>
    <m/>
    <s v="TRASPASO"/>
    <d v="2022-12-23T00:00:00"/>
    <n v="12"/>
    <x v="1"/>
    <x v="12"/>
    <x v="6"/>
    <n v="0"/>
    <n v="17400"/>
    <n v="-17400"/>
    <x v="0"/>
    <x v="1"/>
    <n v="171191"/>
    <x v="3"/>
    <s v="TEXTIL SUMEY LTDA"/>
  </r>
  <r>
    <m/>
    <s v="TRASPASO"/>
    <d v="2022-12-27T00:00:00"/>
    <n v="12"/>
    <x v="3"/>
    <x v="10"/>
    <x v="6"/>
    <n v="83580"/>
    <n v="0"/>
    <n v="83580"/>
    <x v="0"/>
    <x v="1"/>
    <n v="414387"/>
    <x v="6"/>
    <s v="Texora S.A"/>
  </r>
  <r>
    <m/>
    <s v="TRASPASO"/>
    <d v="2022-12-27T00:00:00"/>
    <n v="12"/>
    <x v="0"/>
    <x v="11"/>
    <x v="6"/>
    <n v="15880"/>
    <n v="0"/>
    <n v="15880"/>
    <x v="0"/>
    <x v="1"/>
    <n v="414387"/>
    <x v="6"/>
    <s v="Texora S.A"/>
  </r>
  <r>
    <m/>
    <s v="TRASPASO"/>
    <d v="2022-12-27T00:00:00"/>
    <n v="12"/>
    <x v="1"/>
    <x v="12"/>
    <x v="6"/>
    <n v="0"/>
    <n v="99460"/>
    <n v="-99460"/>
    <x v="0"/>
    <x v="1"/>
    <n v="414387"/>
    <x v="6"/>
    <s v="Texora S.A"/>
  </r>
  <r>
    <m/>
    <s v="TRASPASO"/>
    <d v="2022-12-27T00:00:00"/>
    <n v="12"/>
    <x v="3"/>
    <x v="10"/>
    <x v="6"/>
    <n v="41960"/>
    <n v="0"/>
    <n v="41960"/>
    <x v="0"/>
    <x v="1"/>
    <n v="414388"/>
    <x v="6"/>
    <s v="Texora S.A"/>
  </r>
  <r>
    <m/>
    <s v="TRASPASO"/>
    <d v="2022-12-27T00:00:00"/>
    <n v="12"/>
    <x v="0"/>
    <x v="11"/>
    <x v="6"/>
    <n v="7972"/>
    <n v="0"/>
    <n v="7972"/>
    <x v="0"/>
    <x v="1"/>
    <n v="414388"/>
    <x v="6"/>
    <s v="Texora S.A"/>
  </r>
  <r>
    <m/>
    <s v="TRASPASO"/>
    <d v="2022-12-27T00:00:00"/>
    <n v="12"/>
    <x v="1"/>
    <x v="12"/>
    <x v="6"/>
    <n v="0"/>
    <n v="49932"/>
    <n v="-49932"/>
    <x v="0"/>
    <x v="1"/>
    <n v="414388"/>
    <x v="6"/>
    <s v="Texora S.A"/>
  </r>
  <r>
    <m/>
    <s v="TRASPASO"/>
    <d v="2022-12-27T00:00:00"/>
    <n v="12"/>
    <x v="3"/>
    <x v="10"/>
    <x v="6"/>
    <n v="65760"/>
    <n v="0"/>
    <n v="65760"/>
    <x v="0"/>
    <x v="1"/>
    <n v="414390"/>
    <x v="6"/>
    <s v="Texora S.A"/>
  </r>
  <r>
    <m/>
    <s v="TRASPASO"/>
    <d v="2022-12-27T00:00:00"/>
    <n v="12"/>
    <x v="0"/>
    <x v="11"/>
    <x v="6"/>
    <n v="12494"/>
    <n v="0"/>
    <n v="12494"/>
    <x v="0"/>
    <x v="1"/>
    <n v="414390"/>
    <x v="6"/>
    <s v="Texora S.A"/>
  </r>
  <r>
    <m/>
    <s v="TRASPASO"/>
    <d v="2022-12-27T00:00:00"/>
    <n v="12"/>
    <x v="1"/>
    <x v="12"/>
    <x v="6"/>
    <n v="0"/>
    <n v="78254"/>
    <n v="-78254"/>
    <x v="0"/>
    <x v="1"/>
    <n v="414390"/>
    <x v="6"/>
    <s v="Texora S.A"/>
  </r>
  <r>
    <m/>
    <s v="TRASPASO"/>
    <d v="2022-12-28T00:00:00"/>
    <n v="12"/>
    <x v="3"/>
    <x v="10"/>
    <x v="6"/>
    <n v="8235"/>
    <n v="0"/>
    <n v="8235"/>
    <x v="0"/>
    <x v="1"/>
    <n v="106"/>
    <x v="26"/>
    <s v="TODO EMPAQUE SPA"/>
  </r>
  <r>
    <m/>
    <s v="TRASPASO"/>
    <d v="2022-12-28T00:00:00"/>
    <n v="12"/>
    <x v="0"/>
    <x v="11"/>
    <x v="6"/>
    <n v="1565"/>
    <n v="0"/>
    <n v="1565"/>
    <x v="0"/>
    <x v="1"/>
    <n v="106"/>
    <x v="26"/>
    <s v="TODO EMPAQUE SPA"/>
  </r>
  <r>
    <m/>
    <s v="TRASPASO"/>
    <d v="2022-12-28T00:00:00"/>
    <n v="12"/>
    <x v="1"/>
    <x v="12"/>
    <x v="6"/>
    <n v="0"/>
    <n v="9800"/>
    <n v="-9800"/>
    <x v="0"/>
    <x v="1"/>
    <n v="106"/>
    <x v="26"/>
    <s v="TODO EMPAQUE SPA"/>
  </r>
  <r>
    <m/>
    <s v="TRASPASO"/>
    <d v="2022-12-28T00:00:00"/>
    <n v="12"/>
    <x v="3"/>
    <x v="10"/>
    <x v="6"/>
    <n v="183370"/>
    <n v="0"/>
    <n v="183370"/>
    <x v="0"/>
    <x v="1"/>
    <n v="30672"/>
    <x v="41"/>
    <s v="COMERCIAL SCRUCIAL WORLD  CO LIMITADA"/>
  </r>
  <r>
    <m/>
    <s v="TRASPASO"/>
    <d v="2022-12-28T00:00:00"/>
    <n v="12"/>
    <x v="0"/>
    <x v="11"/>
    <x v="6"/>
    <n v="34840"/>
    <n v="0"/>
    <n v="34840"/>
    <x v="0"/>
    <x v="1"/>
    <n v="30672"/>
    <x v="41"/>
    <s v="COMERCIAL SCRUCIAL WORLD  CO LIMITADA"/>
  </r>
  <r>
    <m/>
    <s v="TRASPASO"/>
    <d v="2022-12-28T00:00:00"/>
    <n v="12"/>
    <x v="1"/>
    <x v="12"/>
    <x v="6"/>
    <n v="0"/>
    <n v="218210"/>
    <n v="-218210"/>
    <x v="0"/>
    <x v="1"/>
    <n v="30672"/>
    <x v="41"/>
    <s v="COMERCIAL SCRUCIAL WORLD  CO LIMITADA"/>
  </r>
  <r>
    <m/>
    <s v="TRASPASO"/>
    <d v="2022-12-29T00:00:00"/>
    <n v="12"/>
    <x v="3"/>
    <x v="10"/>
    <x v="6"/>
    <n v="195840"/>
    <n v="0"/>
    <n v="195840"/>
    <x v="0"/>
    <x v="1"/>
    <n v="414853"/>
    <x v="6"/>
    <s v="Texora S.A"/>
  </r>
  <r>
    <m/>
    <s v="TRASPASO"/>
    <d v="2022-12-29T00:00:00"/>
    <n v="12"/>
    <x v="0"/>
    <x v="11"/>
    <x v="6"/>
    <n v="37210"/>
    <n v="0"/>
    <n v="37210"/>
    <x v="0"/>
    <x v="1"/>
    <n v="414853"/>
    <x v="6"/>
    <s v="Texora S.A"/>
  </r>
  <r>
    <m/>
    <s v="TRASPASO"/>
    <d v="2022-12-29T00:00:00"/>
    <n v="12"/>
    <x v="1"/>
    <x v="12"/>
    <x v="6"/>
    <n v="0"/>
    <n v="233050"/>
    <n v="-233050"/>
    <x v="0"/>
    <x v="1"/>
    <n v="414853"/>
    <x v="6"/>
    <s v="Texora S.A"/>
  </r>
  <r>
    <m/>
    <s v="TRASPASO"/>
    <d v="2022-12-29T00:00:00"/>
    <n v="12"/>
    <x v="3"/>
    <x v="10"/>
    <x v="6"/>
    <n v="36330"/>
    <n v="0"/>
    <n v="36330"/>
    <x v="0"/>
    <x v="1"/>
    <n v="414992"/>
    <x v="6"/>
    <s v="Texora S.A"/>
  </r>
  <r>
    <m/>
    <s v="TRASPASO"/>
    <d v="2022-12-29T00:00:00"/>
    <n v="12"/>
    <x v="0"/>
    <x v="11"/>
    <x v="6"/>
    <n v="6903"/>
    <n v="0"/>
    <n v="6903"/>
    <x v="0"/>
    <x v="1"/>
    <n v="414992"/>
    <x v="6"/>
    <s v="Texora S.A"/>
  </r>
  <r>
    <m/>
    <s v="TRASPASO"/>
    <d v="2022-12-29T00:00:00"/>
    <n v="12"/>
    <x v="1"/>
    <x v="12"/>
    <x v="6"/>
    <n v="0"/>
    <n v="43233"/>
    <n v="-43233"/>
    <x v="0"/>
    <x v="1"/>
    <n v="414992"/>
    <x v="6"/>
    <s v="Texora S.A"/>
  </r>
  <r>
    <m/>
    <s v="TRASPASO"/>
    <d v="2022-12-30T00:00:00"/>
    <n v="12"/>
    <x v="3"/>
    <x v="10"/>
    <x v="6"/>
    <n v="92084"/>
    <n v="0"/>
    <n v="92084"/>
    <x v="0"/>
    <x v="1"/>
    <n v="17958884"/>
    <x v="39"/>
    <s v="CENCOSUD RETAIL S.A."/>
  </r>
  <r>
    <m/>
    <s v="TRASPASO"/>
    <d v="2022-12-30T00:00:00"/>
    <n v="12"/>
    <x v="0"/>
    <x v="11"/>
    <x v="6"/>
    <n v="16790"/>
    <n v="0"/>
    <n v="16790"/>
    <x v="0"/>
    <x v="1"/>
    <n v="17958884"/>
    <x v="39"/>
    <s v="CENCOSUD RETAIL S.A."/>
  </r>
  <r>
    <m/>
    <s v="TRASPASO"/>
    <d v="2022-12-30T00:00:00"/>
    <n v="12"/>
    <x v="1"/>
    <x v="12"/>
    <x v="6"/>
    <n v="0"/>
    <n v="108874"/>
    <n v="-108874"/>
    <x v="0"/>
    <x v="1"/>
    <n v="17958884"/>
    <x v="39"/>
    <s v="CENCOSUD RETAIL S.A."/>
  </r>
  <r>
    <m/>
    <s v="TRASPASO"/>
    <d v="2022-11-22T00:00:00"/>
    <n v="12"/>
    <x v="3"/>
    <x v="10"/>
    <x v="6"/>
    <n v="121100"/>
    <n v="0"/>
    <n v="121100"/>
    <x v="0"/>
    <x v="3"/>
    <n v="135"/>
    <x v="16"/>
    <s v="SIMPLE TAX SPA"/>
  </r>
  <r>
    <m/>
    <s v="TRASPASO"/>
    <d v="2022-11-22T00:00:00"/>
    <n v="12"/>
    <x v="0"/>
    <x v="11"/>
    <x v="6"/>
    <n v="0"/>
    <n v="0"/>
    <n v="0"/>
    <x v="0"/>
    <x v="3"/>
    <n v="135"/>
    <x v="16"/>
    <s v="SIMPLE TAX SPA"/>
  </r>
  <r>
    <m/>
    <s v="TRASPASO"/>
    <d v="2022-11-22T00:00:00"/>
    <n v="12"/>
    <x v="1"/>
    <x v="12"/>
    <x v="6"/>
    <n v="0"/>
    <n v="121100"/>
    <n v="-121100"/>
    <x v="0"/>
    <x v="3"/>
    <n v="135"/>
    <x v="16"/>
    <s v="SIMPLE TAX SPA"/>
  </r>
  <r>
    <m/>
    <s v="TRASPASO"/>
    <d v="2022-12-21T00:00:00"/>
    <n v="12"/>
    <x v="3"/>
    <x v="10"/>
    <x v="6"/>
    <n v="121839"/>
    <n v="0"/>
    <n v="121839"/>
    <x v="0"/>
    <x v="3"/>
    <n v="155"/>
    <x v="16"/>
    <s v="SIMPLE TAX SPA"/>
  </r>
  <r>
    <m/>
    <s v="TRASPASO"/>
    <d v="2022-12-21T00:00:00"/>
    <n v="12"/>
    <x v="0"/>
    <x v="11"/>
    <x v="6"/>
    <n v="0"/>
    <n v="0"/>
    <n v="0"/>
    <x v="0"/>
    <x v="3"/>
    <n v="155"/>
    <x v="16"/>
    <s v="SIMPLE TAX SPA"/>
  </r>
  <r>
    <m/>
    <s v="TRASPASO"/>
    <d v="2022-12-21T00:00:00"/>
    <n v="12"/>
    <x v="1"/>
    <x v="12"/>
    <x v="6"/>
    <n v="0"/>
    <n v="121839"/>
    <n v="-121839"/>
    <x v="0"/>
    <x v="3"/>
    <n v="155"/>
    <x v="16"/>
    <s v="SIMPLE TAX SPA"/>
  </r>
  <r>
    <m/>
    <s v="EGRESO"/>
    <d v="2021-12-27T00:00:00"/>
    <n v="1"/>
    <x v="1"/>
    <x v="12"/>
    <x v="7"/>
    <n v="61150"/>
    <n v="0"/>
    <n v="61150"/>
    <x v="0"/>
    <x v="1"/>
    <n v="63348"/>
    <x v="2"/>
    <s v="IMPORTADORA EXPORTADORA Y COMERCIALIZADORA ZHIHUI ZHANG EMPRESA INDIVIDUAL DE RESPONSABILIDAD LIMIT"/>
  </r>
  <r>
    <m/>
    <s v="EGRESO"/>
    <d v="2021-12-27T00:00:00"/>
    <n v="1"/>
    <x v="0"/>
    <x v="0"/>
    <x v="7"/>
    <n v="0"/>
    <n v="61150"/>
    <n v="-61150"/>
    <x v="0"/>
    <x v="1"/>
    <n v="63348"/>
    <x v="2"/>
    <s v="IMPORTADORA EXPORTADORA Y COMERCIALIZADORA ZHIHUI ZHANG EMPRESA INDIVIDUAL DE RESPONSABILIDAD LIMIT"/>
  </r>
  <r>
    <m/>
    <s v="EGRESO"/>
    <d v="2021-12-27T00:00:00"/>
    <n v="1"/>
    <x v="1"/>
    <x v="12"/>
    <x v="7"/>
    <n v="36000"/>
    <n v="0"/>
    <n v="36000"/>
    <x v="0"/>
    <x v="1"/>
    <n v="146696"/>
    <x v="3"/>
    <s v="TEXTIL SUMEY LTDA"/>
  </r>
  <r>
    <m/>
    <s v="EGRESO"/>
    <d v="2021-12-27T00:00:00"/>
    <n v="1"/>
    <x v="0"/>
    <x v="0"/>
    <x v="7"/>
    <n v="0"/>
    <n v="36000"/>
    <n v="-36000"/>
    <x v="0"/>
    <x v="1"/>
    <n v="146696"/>
    <x v="3"/>
    <s v="TEXTIL SUMEY LTDA"/>
  </r>
  <r>
    <m/>
    <s v="EGRESO"/>
    <d v="2022-01-05T00:00:00"/>
    <n v="1"/>
    <x v="1"/>
    <x v="12"/>
    <x v="7"/>
    <n v="7800"/>
    <n v="0"/>
    <n v="7800"/>
    <x v="0"/>
    <x v="1"/>
    <n v="178309"/>
    <x v="4"/>
    <s v="MATERIAS PRIMAS CLAUDIA ESCOBAR S.A."/>
  </r>
  <r>
    <m/>
    <s v="EGRESO"/>
    <d v="2022-01-05T00:00:00"/>
    <n v="1"/>
    <x v="0"/>
    <x v="0"/>
    <x v="7"/>
    <n v="0"/>
    <n v="7800"/>
    <n v="-7800"/>
    <x v="0"/>
    <x v="1"/>
    <n v="178309"/>
    <x v="4"/>
    <s v="MATERIAS PRIMAS CLAUDIA ESCOBAR S.A."/>
  </r>
  <r>
    <m/>
    <s v="EGRESO"/>
    <d v="2022-01-05T00:00:00"/>
    <n v="1"/>
    <x v="1"/>
    <x v="12"/>
    <x v="7"/>
    <n v="188191"/>
    <n v="0"/>
    <n v="188191"/>
    <x v="0"/>
    <x v="1"/>
    <n v="653595"/>
    <x v="5"/>
    <s v="Comercial Mundo Transfer Ltda"/>
  </r>
  <r>
    <m/>
    <s v="EGRESO"/>
    <d v="2022-01-05T00:00:00"/>
    <n v="1"/>
    <x v="0"/>
    <x v="0"/>
    <x v="7"/>
    <n v="0"/>
    <n v="188191"/>
    <n v="-188191"/>
    <x v="0"/>
    <x v="1"/>
    <n v="653595"/>
    <x v="5"/>
    <s v="Comercial Mundo Transfer Ltda"/>
  </r>
  <r>
    <m/>
    <s v="EGRESO"/>
    <d v="2022-01-06T00:00:00"/>
    <n v="1"/>
    <x v="1"/>
    <x v="12"/>
    <x v="7"/>
    <n v="40841"/>
    <n v="0"/>
    <n v="40841"/>
    <x v="0"/>
    <x v="1"/>
    <n v="361530"/>
    <x v="6"/>
    <s v="Texora S.A"/>
  </r>
  <r>
    <m/>
    <s v="EGRESO"/>
    <d v="2022-01-06T00:00:00"/>
    <n v="1"/>
    <x v="0"/>
    <x v="0"/>
    <x v="7"/>
    <n v="0"/>
    <n v="40841"/>
    <n v="-40841"/>
    <x v="0"/>
    <x v="1"/>
    <n v="361530"/>
    <x v="6"/>
    <s v="Texora S.A"/>
  </r>
  <r>
    <m/>
    <s v="EGRESO"/>
    <d v="2022-01-06T00:00:00"/>
    <n v="1"/>
    <x v="1"/>
    <x v="12"/>
    <x v="7"/>
    <n v="196047"/>
    <n v="0"/>
    <n v="196047"/>
    <x v="0"/>
    <x v="1"/>
    <n v="653902"/>
    <x v="5"/>
    <s v="Comercial Mundo Transfer Ltda"/>
  </r>
  <r>
    <m/>
    <s v="EGRESO"/>
    <d v="2022-01-06T00:00:00"/>
    <n v="1"/>
    <x v="0"/>
    <x v="0"/>
    <x v="7"/>
    <n v="0"/>
    <n v="196047"/>
    <n v="-196047"/>
    <x v="0"/>
    <x v="1"/>
    <n v="653902"/>
    <x v="5"/>
    <s v="Comercial Mundo Transfer Ltda"/>
  </r>
  <r>
    <m/>
    <s v="EGRESO"/>
    <d v="2022-01-07T00:00:00"/>
    <n v="1"/>
    <x v="1"/>
    <x v="12"/>
    <x v="7"/>
    <n v="111360"/>
    <n v="0"/>
    <n v="111360"/>
    <x v="0"/>
    <x v="1"/>
    <n v="361658"/>
    <x v="6"/>
    <s v="Texora S.A"/>
  </r>
  <r>
    <m/>
    <s v="EGRESO"/>
    <d v="2022-01-07T00:00:00"/>
    <n v="1"/>
    <x v="0"/>
    <x v="0"/>
    <x v="7"/>
    <n v="0"/>
    <n v="111360"/>
    <n v="-111360"/>
    <x v="0"/>
    <x v="1"/>
    <n v="361658"/>
    <x v="6"/>
    <s v="Texora S.A"/>
  </r>
  <r>
    <m/>
    <s v="EGRESO"/>
    <d v="2022-01-10T00:00:00"/>
    <n v="1"/>
    <x v="1"/>
    <x v="12"/>
    <x v="7"/>
    <n v="29560"/>
    <n v="0"/>
    <n v="29560"/>
    <x v="0"/>
    <x v="1"/>
    <n v="361760"/>
    <x v="6"/>
    <s v="Texora S.A"/>
  </r>
  <r>
    <m/>
    <s v="EGRESO"/>
    <d v="2022-01-10T00:00:00"/>
    <n v="1"/>
    <x v="0"/>
    <x v="0"/>
    <x v="7"/>
    <n v="0"/>
    <n v="29560"/>
    <n v="-29560"/>
    <x v="0"/>
    <x v="1"/>
    <n v="361760"/>
    <x v="6"/>
    <s v="Texora S.A"/>
  </r>
  <r>
    <m/>
    <s v="EGRESO"/>
    <d v="2022-01-11T00:00:00"/>
    <n v="1"/>
    <x v="1"/>
    <x v="12"/>
    <x v="7"/>
    <n v="509320"/>
    <n v="0"/>
    <n v="509320"/>
    <x v="0"/>
    <x v="1"/>
    <n v="166805"/>
    <x v="7"/>
    <s v="MICROGEO S.A."/>
  </r>
  <r>
    <m/>
    <s v="EGRESO"/>
    <d v="2022-01-11T00:00:00"/>
    <n v="1"/>
    <x v="0"/>
    <x v="0"/>
    <x v="7"/>
    <n v="0"/>
    <n v="509320"/>
    <n v="-509320"/>
    <x v="0"/>
    <x v="1"/>
    <n v="166805"/>
    <x v="7"/>
    <s v="MICROGEO S.A."/>
  </r>
  <r>
    <m/>
    <s v="EGRESO"/>
    <d v="2022-01-12T00:00:00"/>
    <n v="1"/>
    <x v="1"/>
    <x v="12"/>
    <x v="7"/>
    <n v="11798"/>
    <n v="0"/>
    <n v="11798"/>
    <x v="0"/>
    <x v="1"/>
    <n v="178879"/>
    <x v="4"/>
    <s v="MATERIAS PRIMAS CLAUDIA ESCOBAR S.A."/>
  </r>
  <r>
    <m/>
    <s v="EGRESO"/>
    <d v="2022-01-12T00:00:00"/>
    <n v="1"/>
    <x v="0"/>
    <x v="0"/>
    <x v="7"/>
    <n v="0"/>
    <n v="11798"/>
    <n v="-11798"/>
    <x v="0"/>
    <x v="1"/>
    <n v="178879"/>
    <x v="4"/>
    <s v="MATERIAS PRIMAS CLAUDIA ESCOBAR S.A."/>
  </r>
  <r>
    <m/>
    <s v="EGRESO"/>
    <d v="2022-01-12T00:00:00"/>
    <n v="1"/>
    <x v="1"/>
    <x v="12"/>
    <x v="7"/>
    <n v="67830"/>
    <n v="0"/>
    <n v="67830"/>
    <x v="0"/>
    <x v="1"/>
    <n v="51874"/>
    <x v="8"/>
    <s v="IMPORTADORA Y COMERCIALIZADORA FULL PROMOTION LTDA"/>
  </r>
  <r>
    <m/>
    <s v="EGRESO"/>
    <d v="2022-01-12T00:00:00"/>
    <n v="1"/>
    <x v="0"/>
    <x v="0"/>
    <x v="7"/>
    <n v="0"/>
    <n v="67830"/>
    <n v="-67830"/>
    <x v="0"/>
    <x v="1"/>
    <n v="51874"/>
    <x v="8"/>
    <s v="IMPORTADORA Y COMERCIALIZADORA FULL PROMOTION LTDA"/>
  </r>
  <r>
    <m/>
    <s v="EGRESO"/>
    <d v="2022-01-13T00:00:00"/>
    <n v="1"/>
    <x v="1"/>
    <x v="12"/>
    <x v="7"/>
    <n v="472430"/>
    <n v="0"/>
    <n v="472430"/>
    <x v="0"/>
    <x v="1"/>
    <n v="362309"/>
    <x v="6"/>
    <s v="Texora S.A"/>
  </r>
  <r>
    <m/>
    <s v="EGRESO"/>
    <d v="2022-01-13T00:00:00"/>
    <n v="1"/>
    <x v="0"/>
    <x v="0"/>
    <x v="7"/>
    <n v="0"/>
    <n v="472430"/>
    <n v="-472430"/>
    <x v="0"/>
    <x v="1"/>
    <n v="362309"/>
    <x v="6"/>
    <s v="Texora S.A"/>
  </r>
  <r>
    <m/>
    <s v="EGRESO"/>
    <d v="2022-01-13T00:00:00"/>
    <n v="1"/>
    <x v="1"/>
    <x v="12"/>
    <x v="7"/>
    <n v="185854"/>
    <n v="0"/>
    <n v="185854"/>
    <x v="0"/>
    <x v="1"/>
    <n v="362345"/>
    <x v="6"/>
    <s v="Texora S.A"/>
  </r>
  <r>
    <m/>
    <s v="EGRESO"/>
    <d v="2022-01-13T00:00:00"/>
    <n v="1"/>
    <x v="0"/>
    <x v="0"/>
    <x v="7"/>
    <n v="0"/>
    <n v="185854"/>
    <n v="-185854"/>
    <x v="0"/>
    <x v="1"/>
    <n v="362345"/>
    <x v="6"/>
    <s v="Texora S.A"/>
  </r>
  <r>
    <m/>
    <s v="EGRESO"/>
    <d v="2022-01-14T00:00:00"/>
    <n v="1"/>
    <x v="1"/>
    <x v="12"/>
    <x v="7"/>
    <n v="36902"/>
    <n v="0"/>
    <n v="36902"/>
    <x v="0"/>
    <x v="1"/>
    <n v="362536"/>
    <x v="6"/>
    <s v="Texora S.A"/>
  </r>
  <r>
    <m/>
    <s v="EGRESO"/>
    <d v="2022-01-14T00:00:00"/>
    <n v="1"/>
    <x v="0"/>
    <x v="0"/>
    <x v="7"/>
    <n v="0"/>
    <n v="36902"/>
    <n v="-36902"/>
    <x v="0"/>
    <x v="1"/>
    <n v="362536"/>
    <x v="6"/>
    <s v="Texora S.A"/>
  </r>
  <r>
    <m/>
    <s v="EGRESO"/>
    <d v="2022-01-17T00:00:00"/>
    <n v="1"/>
    <x v="1"/>
    <x v="12"/>
    <x v="7"/>
    <n v="47857"/>
    <n v="0"/>
    <n v="47857"/>
    <x v="0"/>
    <x v="1"/>
    <n v="655351"/>
    <x v="5"/>
    <s v="Comercial Mundo Transfer Ltda"/>
  </r>
  <r>
    <m/>
    <s v="EGRESO"/>
    <d v="2022-01-17T00:00:00"/>
    <n v="1"/>
    <x v="0"/>
    <x v="0"/>
    <x v="7"/>
    <n v="0"/>
    <n v="47857"/>
    <n v="-47857"/>
    <x v="0"/>
    <x v="1"/>
    <n v="655351"/>
    <x v="5"/>
    <s v="Comercial Mundo Transfer Ltda"/>
  </r>
  <r>
    <m/>
    <s v="EGRESO"/>
    <d v="2022-01-17T00:00:00"/>
    <n v="1"/>
    <x v="1"/>
    <x v="12"/>
    <x v="7"/>
    <n v="1184468"/>
    <n v="0"/>
    <n v="1184468"/>
    <x v="0"/>
    <x v="1"/>
    <n v="655353"/>
    <x v="5"/>
    <s v="Comercial Mundo Transfer Ltda"/>
  </r>
  <r>
    <m/>
    <s v="EGRESO"/>
    <d v="2022-01-17T00:00:00"/>
    <n v="1"/>
    <x v="0"/>
    <x v="0"/>
    <x v="7"/>
    <n v="0"/>
    <n v="1184468"/>
    <n v="-1184468"/>
    <x v="0"/>
    <x v="1"/>
    <n v="655353"/>
    <x v="5"/>
    <s v="Comercial Mundo Transfer Ltda"/>
  </r>
  <r>
    <m/>
    <s v="EGRESO"/>
    <d v="2022-01-16T00:00:00"/>
    <n v="1"/>
    <x v="1"/>
    <x v="12"/>
    <x v="7"/>
    <n v="41960"/>
    <n v="0"/>
    <n v="41960"/>
    <x v="0"/>
    <x v="1"/>
    <n v="9381468"/>
    <x v="9"/>
    <s v="WOM S.A."/>
  </r>
  <r>
    <m/>
    <s v="EGRESO"/>
    <d v="2022-01-16T00:00:00"/>
    <n v="1"/>
    <x v="0"/>
    <x v="0"/>
    <x v="7"/>
    <n v="0"/>
    <n v="41960"/>
    <n v="-41960"/>
    <x v="0"/>
    <x v="1"/>
    <n v="9381468"/>
    <x v="9"/>
    <s v="WOM S.A."/>
  </r>
  <r>
    <m/>
    <s v="EGRESO"/>
    <d v="2022-01-20T00:00:00"/>
    <n v="1"/>
    <x v="1"/>
    <x v="12"/>
    <x v="7"/>
    <n v="95714"/>
    <n v="0"/>
    <n v="95714"/>
    <x v="0"/>
    <x v="1"/>
    <n v="655942"/>
    <x v="5"/>
    <s v="Comercial Mundo Transfer Ltda"/>
  </r>
  <r>
    <m/>
    <s v="EGRESO"/>
    <d v="2022-01-20T00:00:00"/>
    <n v="1"/>
    <x v="0"/>
    <x v="0"/>
    <x v="7"/>
    <n v="0"/>
    <n v="95714"/>
    <n v="-95714"/>
    <x v="0"/>
    <x v="1"/>
    <n v="655942"/>
    <x v="5"/>
    <s v="Comercial Mundo Transfer Ltda"/>
  </r>
  <r>
    <m/>
    <s v="EGRESO"/>
    <d v="2022-01-26T00:00:00"/>
    <n v="1"/>
    <x v="1"/>
    <x v="12"/>
    <x v="7"/>
    <n v="11798"/>
    <n v="0"/>
    <n v="11798"/>
    <x v="0"/>
    <x v="1"/>
    <n v="180116"/>
    <x v="4"/>
    <s v="MATERIAS PRIMAS CLAUDIA ESCOBAR S.A."/>
  </r>
  <r>
    <m/>
    <s v="EGRESO"/>
    <d v="2022-01-26T00:00:00"/>
    <n v="1"/>
    <x v="0"/>
    <x v="0"/>
    <x v="7"/>
    <n v="0"/>
    <n v="11798"/>
    <n v="-11798"/>
    <x v="0"/>
    <x v="1"/>
    <n v="180116"/>
    <x v="4"/>
    <s v="MATERIAS PRIMAS CLAUDIA ESCOBAR S.A."/>
  </r>
  <r>
    <m/>
    <s v="EGRESO"/>
    <d v="2022-01-26T00:00:00"/>
    <n v="1"/>
    <x v="1"/>
    <x v="12"/>
    <x v="7"/>
    <n v="85359"/>
    <n v="0"/>
    <n v="85359"/>
    <x v="0"/>
    <x v="1"/>
    <n v="656887"/>
    <x v="5"/>
    <s v="Comercial Mundo Transfer Ltda"/>
  </r>
  <r>
    <m/>
    <s v="EGRESO"/>
    <d v="2022-01-26T00:00:00"/>
    <n v="1"/>
    <x v="0"/>
    <x v="0"/>
    <x v="7"/>
    <n v="0"/>
    <n v="85359"/>
    <n v="-85359"/>
    <x v="0"/>
    <x v="1"/>
    <n v="656887"/>
    <x v="5"/>
    <s v="Comercial Mundo Transfer Ltda"/>
  </r>
  <r>
    <m/>
    <s v="EGRESO"/>
    <d v="2022-01-28T00:00:00"/>
    <n v="1"/>
    <x v="1"/>
    <x v="12"/>
    <x v="7"/>
    <n v="224315"/>
    <n v="0"/>
    <n v="224315"/>
    <x v="0"/>
    <x v="1"/>
    <n v="1058"/>
    <x v="10"/>
    <s v="IMPORTADORA Y COMERCIALIZADORA GORILA LIMITADA"/>
  </r>
  <r>
    <m/>
    <s v="EGRESO"/>
    <d v="2022-01-28T00:00:00"/>
    <n v="1"/>
    <x v="0"/>
    <x v="0"/>
    <x v="7"/>
    <n v="0"/>
    <n v="224315"/>
    <n v="-224315"/>
    <x v="0"/>
    <x v="1"/>
    <n v="1058"/>
    <x v="10"/>
    <s v="IMPORTADORA Y COMERCIALIZADORA GORILA LIMITADA"/>
  </r>
  <r>
    <m/>
    <s v="EGRESO"/>
    <d v="2022-01-20T00:00:00"/>
    <n v="1"/>
    <x v="1"/>
    <x v="12"/>
    <x v="7"/>
    <n v="0"/>
    <n v="179465"/>
    <n v="-179465"/>
    <x v="0"/>
    <x v="2"/>
    <n v="35491"/>
    <x v="5"/>
    <s v="Comercial Mundo Transfer Ltda"/>
  </r>
  <r>
    <m/>
    <s v="EGRESO"/>
    <d v="2022-01-20T00:00:00"/>
    <n v="1"/>
    <x v="0"/>
    <x v="0"/>
    <x v="7"/>
    <n v="179465"/>
    <n v="0"/>
    <n v="179465"/>
    <x v="0"/>
    <x v="2"/>
    <n v="35491"/>
    <x v="5"/>
    <s v="Comercial Mundo Transfer Ltda"/>
  </r>
  <r>
    <m/>
    <s v="EGRESO"/>
    <d v="2022-01-26T00:00:00"/>
    <n v="2"/>
    <x v="1"/>
    <x v="12"/>
    <x v="7"/>
    <n v="265290"/>
    <n v="0"/>
    <n v="265290"/>
    <x v="0"/>
    <x v="1"/>
    <n v="8012"/>
    <x v="11"/>
    <s v="COMERCIALIZADORA COTTONEXT LIMITADA"/>
  </r>
  <r>
    <m/>
    <s v="EGRESO"/>
    <d v="2022-01-26T00:00:00"/>
    <n v="2"/>
    <x v="0"/>
    <x v="0"/>
    <x v="7"/>
    <n v="0"/>
    <n v="265290"/>
    <n v="-265290"/>
    <x v="0"/>
    <x v="1"/>
    <n v="8012"/>
    <x v="11"/>
    <s v="COMERCIALIZADORA COTTONEXT LIMITADA"/>
  </r>
  <r>
    <m/>
    <s v="EGRESO"/>
    <d v="2022-01-26T00:00:00"/>
    <n v="2"/>
    <x v="1"/>
    <x v="12"/>
    <x v="7"/>
    <n v="9560"/>
    <n v="0"/>
    <n v="9560"/>
    <x v="0"/>
    <x v="1"/>
    <n v="8014"/>
    <x v="11"/>
    <s v="COMERCIALIZADORA COTTONEXT LIMITADA"/>
  </r>
  <r>
    <m/>
    <s v="EGRESO"/>
    <d v="2022-01-26T00:00:00"/>
    <n v="2"/>
    <x v="0"/>
    <x v="0"/>
    <x v="7"/>
    <n v="0"/>
    <n v="9560"/>
    <n v="-9560"/>
    <x v="0"/>
    <x v="1"/>
    <n v="8014"/>
    <x v="11"/>
    <s v="COMERCIALIZADORA COTTONEXT LIMITADA"/>
  </r>
  <r>
    <m/>
    <s v="EGRESO"/>
    <d v="2022-01-28T00:00:00"/>
    <n v="2"/>
    <x v="1"/>
    <x v="12"/>
    <x v="7"/>
    <n v="144928"/>
    <n v="0"/>
    <n v="144928"/>
    <x v="0"/>
    <x v="1"/>
    <n v="285938"/>
    <x v="12"/>
    <s v="COMERCIAL SATEX LTDA"/>
  </r>
  <r>
    <m/>
    <s v="EGRESO"/>
    <d v="2022-01-28T00:00:00"/>
    <n v="2"/>
    <x v="0"/>
    <x v="0"/>
    <x v="7"/>
    <n v="0"/>
    <n v="144928"/>
    <n v="-144928"/>
    <x v="0"/>
    <x v="1"/>
    <n v="285938"/>
    <x v="12"/>
    <s v="COMERCIAL SATEX LTDA"/>
  </r>
  <r>
    <m/>
    <s v="EGRESO"/>
    <d v="2022-02-03T00:00:00"/>
    <n v="2"/>
    <x v="1"/>
    <x v="12"/>
    <x v="7"/>
    <n v="129850"/>
    <n v="0"/>
    <n v="129850"/>
    <x v="0"/>
    <x v="1"/>
    <n v="148427"/>
    <x v="3"/>
    <s v="TEXTIL SUMEY LTDA"/>
  </r>
  <r>
    <m/>
    <s v="EGRESO"/>
    <d v="2022-02-03T00:00:00"/>
    <n v="2"/>
    <x v="0"/>
    <x v="0"/>
    <x v="7"/>
    <n v="0"/>
    <n v="129850"/>
    <n v="-129850"/>
    <x v="0"/>
    <x v="1"/>
    <n v="148427"/>
    <x v="3"/>
    <s v="TEXTIL SUMEY LTDA"/>
  </r>
  <r>
    <m/>
    <s v="EGRESO"/>
    <d v="2022-02-03T00:00:00"/>
    <n v="2"/>
    <x v="1"/>
    <x v="12"/>
    <x v="7"/>
    <n v="301546"/>
    <n v="0"/>
    <n v="301546"/>
    <x v="0"/>
    <x v="1"/>
    <n v="364690"/>
    <x v="6"/>
    <s v="Texora S.A"/>
  </r>
  <r>
    <m/>
    <s v="EGRESO"/>
    <d v="2022-02-03T00:00:00"/>
    <n v="2"/>
    <x v="0"/>
    <x v="0"/>
    <x v="7"/>
    <n v="0"/>
    <n v="301546"/>
    <n v="-301546"/>
    <x v="0"/>
    <x v="1"/>
    <n v="364690"/>
    <x v="6"/>
    <s v="Texora S.A"/>
  </r>
  <r>
    <m/>
    <s v="EGRESO"/>
    <d v="2022-02-07T00:00:00"/>
    <n v="2"/>
    <x v="1"/>
    <x v="12"/>
    <x v="7"/>
    <n v="29951"/>
    <n v="0"/>
    <n v="29951"/>
    <x v="0"/>
    <x v="1"/>
    <n v="40138"/>
    <x v="13"/>
    <s v="INVERSIONES SIRACUSA SPA"/>
  </r>
  <r>
    <m/>
    <s v="EGRESO"/>
    <d v="2022-02-07T00:00:00"/>
    <n v="2"/>
    <x v="0"/>
    <x v="0"/>
    <x v="7"/>
    <n v="0"/>
    <n v="29951"/>
    <n v="-29951"/>
    <x v="0"/>
    <x v="1"/>
    <n v="40138"/>
    <x v="13"/>
    <s v="INVERSIONES SIRACUSA SPA"/>
  </r>
  <r>
    <m/>
    <s v="EGRESO"/>
    <d v="2022-02-08T00:00:00"/>
    <n v="2"/>
    <x v="1"/>
    <x v="12"/>
    <x v="7"/>
    <n v="96259"/>
    <n v="0"/>
    <n v="96259"/>
    <x v="0"/>
    <x v="1"/>
    <n v="365195"/>
    <x v="6"/>
    <s v="Texora S.A"/>
  </r>
  <r>
    <m/>
    <s v="EGRESO"/>
    <d v="2022-02-08T00:00:00"/>
    <n v="2"/>
    <x v="0"/>
    <x v="0"/>
    <x v="7"/>
    <n v="0"/>
    <n v="96259"/>
    <n v="-96259"/>
    <x v="0"/>
    <x v="1"/>
    <n v="365195"/>
    <x v="6"/>
    <s v="Texora S.A"/>
  </r>
  <r>
    <m/>
    <s v="EGRESO"/>
    <d v="2022-02-11T00:00:00"/>
    <n v="2"/>
    <x v="1"/>
    <x v="12"/>
    <x v="7"/>
    <n v="5177"/>
    <n v="0"/>
    <n v="5177"/>
    <x v="0"/>
    <x v="1"/>
    <n v="14497"/>
    <x v="14"/>
    <s v="NOATEX SPA"/>
  </r>
  <r>
    <m/>
    <s v="EGRESO"/>
    <d v="2022-02-11T00:00:00"/>
    <n v="2"/>
    <x v="0"/>
    <x v="0"/>
    <x v="7"/>
    <n v="0"/>
    <n v="5177"/>
    <n v="-5177"/>
    <x v="0"/>
    <x v="1"/>
    <n v="14497"/>
    <x v="14"/>
    <s v="NOATEX SPA"/>
  </r>
  <r>
    <m/>
    <s v="EGRESO"/>
    <d v="2022-02-11T00:00:00"/>
    <n v="2"/>
    <x v="1"/>
    <x v="12"/>
    <x v="7"/>
    <n v="66250"/>
    <n v="0"/>
    <n v="66250"/>
    <x v="0"/>
    <x v="1"/>
    <n v="148803"/>
    <x v="3"/>
    <s v="TEXTIL SUMEY LTDA"/>
  </r>
  <r>
    <m/>
    <s v="EGRESO"/>
    <d v="2022-02-11T00:00:00"/>
    <n v="2"/>
    <x v="0"/>
    <x v="0"/>
    <x v="7"/>
    <n v="0"/>
    <n v="66250"/>
    <n v="-66250"/>
    <x v="0"/>
    <x v="1"/>
    <n v="148803"/>
    <x v="3"/>
    <s v="TEXTIL SUMEY LTDA"/>
  </r>
  <r>
    <m/>
    <s v="EGRESO"/>
    <d v="2022-02-15T00:00:00"/>
    <n v="2"/>
    <x v="1"/>
    <x v="12"/>
    <x v="7"/>
    <n v="5200"/>
    <n v="0"/>
    <n v="5200"/>
    <x v="0"/>
    <x v="1"/>
    <n v="40406"/>
    <x v="13"/>
    <s v="INVERSIONES SIRACUSA SPA"/>
  </r>
  <r>
    <m/>
    <s v="EGRESO"/>
    <d v="2022-02-15T00:00:00"/>
    <n v="2"/>
    <x v="0"/>
    <x v="0"/>
    <x v="7"/>
    <n v="0"/>
    <n v="5200"/>
    <n v="-5200"/>
    <x v="0"/>
    <x v="1"/>
    <n v="40406"/>
    <x v="13"/>
    <s v="INVERSIONES SIRACUSA SPA"/>
  </r>
  <r>
    <m/>
    <s v="EGRESO"/>
    <d v="2022-02-15T00:00:00"/>
    <n v="2"/>
    <x v="1"/>
    <x v="12"/>
    <x v="7"/>
    <n v="15069"/>
    <n v="0"/>
    <n v="15069"/>
    <x v="0"/>
    <x v="1"/>
    <n v="659396"/>
    <x v="5"/>
    <s v="Comercial Mundo Transfer Ltda"/>
  </r>
  <r>
    <m/>
    <s v="EGRESO"/>
    <d v="2022-02-15T00:00:00"/>
    <n v="2"/>
    <x v="0"/>
    <x v="0"/>
    <x v="7"/>
    <n v="0"/>
    <n v="15069"/>
    <n v="-15069"/>
    <x v="0"/>
    <x v="1"/>
    <n v="659396"/>
    <x v="5"/>
    <s v="Comercial Mundo Transfer Ltda"/>
  </r>
  <r>
    <m/>
    <s v="EGRESO"/>
    <d v="2022-02-15T00:00:00"/>
    <n v="2"/>
    <x v="1"/>
    <x v="12"/>
    <x v="7"/>
    <n v="71971"/>
    <n v="0"/>
    <n v="71971"/>
    <x v="0"/>
    <x v="1"/>
    <n v="365933"/>
    <x v="6"/>
    <s v="Texora S.A"/>
  </r>
  <r>
    <m/>
    <s v="EGRESO"/>
    <d v="2022-02-15T00:00:00"/>
    <n v="2"/>
    <x v="0"/>
    <x v="0"/>
    <x v="7"/>
    <n v="0"/>
    <n v="71971"/>
    <n v="-71971"/>
    <x v="0"/>
    <x v="1"/>
    <n v="365933"/>
    <x v="6"/>
    <s v="Texora S.A"/>
  </r>
  <r>
    <m/>
    <s v="EGRESO"/>
    <d v="2022-02-16T00:00:00"/>
    <n v="2"/>
    <x v="1"/>
    <x v="12"/>
    <x v="7"/>
    <n v="30643"/>
    <n v="0"/>
    <n v="30643"/>
    <x v="0"/>
    <x v="1"/>
    <n v="365984"/>
    <x v="6"/>
    <s v="Texora S.A"/>
  </r>
  <r>
    <m/>
    <s v="EGRESO"/>
    <d v="2022-02-16T00:00:00"/>
    <n v="2"/>
    <x v="0"/>
    <x v="0"/>
    <x v="7"/>
    <n v="0"/>
    <n v="30643"/>
    <n v="-30643"/>
    <x v="0"/>
    <x v="1"/>
    <n v="365984"/>
    <x v="6"/>
    <s v="Texora S.A"/>
  </r>
  <r>
    <m/>
    <s v="EGRESO"/>
    <d v="2022-02-17T00:00:00"/>
    <n v="2"/>
    <x v="1"/>
    <x v="12"/>
    <x v="7"/>
    <n v="102602"/>
    <n v="0"/>
    <n v="102602"/>
    <x v="0"/>
    <x v="1"/>
    <n v="366203"/>
    <x v="6"/>
    <s v="Texora S.A"/>
  </r>
  <r>
    <m/>
    <s v="EGRESO"/>
    <d v="2022-02-17T00:00:00"/>
    <n v="2"/>
    <x v="0"/>
    <x v="0"/>
    <x v="7"/>
    <n v="0"/>
    <n v="102602"/>
    <n v="-102602"/>
    <x v="0"/>
    <x v="1"/>
    <n v="366203"/>
    <x v="6"/>
    <s v="Texora S.A"/>
  </r>
  <r>
    <m/>
    <s v="EGRESO"/>
    <d v="2022-02-16T00:00:00"/>
    <n v="2"/>
    <x v="1"/>
    <x v="12"/>
    <x v="7"/>
    <n v="41960"/>
    <n v="0"/>
    <n v="41960"/>
    <x v="0"/>
    <x v="1"/>
    <n v="9596883"/>
    <x v="9"/>
    <s v="WOM S.A."/>
  </r>
  <r>
    <m/>
    <s v="EGRESO"/>
    <d v="2022-02-16T00:00:00"/>
    <n v="2"/>
    <x v="0"/>
    <x v="0"/>
    <x v="7"/>
    <n v="0"/>
    <n v="41960"/>
    <n v="-41960"/>
    <x v="0"/>
    <x v="1"/>
    <n v="9596883"/>
    <x v="9"/>
    <s v="WOM S.A."/>
  </r>
  <r>
    <m/>
    <s v="EGRESO"/>
    <d v="2022-02-21T00:00:00"/>
    <n v="2"/>
    <x v="1"/>
    <x v="12"/>
    <x v="7"/>
    <n v="52102"/>
    <n v="0"/>
    <n v="52102"/>
    <x v="0"/>
    <x v="1"/>
    <n v="660068"/>
    <x v="5"/>
    <s v="Comercial Mundo Transfer Ltda"/>
  </r>
  <r>
    <m/>
    <s v="EGRESO"/>
    <d v="2022-02-21T00:00:00"/>
    <n v="2"/>
    <x v="0"/>
    <x v="0"/>
    <x v="7"/>
    <n v="0"/>
    <n v="52102"/>
    <n v="-52102"/>
    <x v="0"/>
    <x v="1"/>
    <n v="660068"/>
    <x v="5"/>
    <s v="Comercial Mundo Transfer Ltda"/>
  </r>
  <r>
    <m/>
    <s v="EGRESO"/>
    <d v="2022-02-22T00:00:00"/>
    <n v="2"/>
    <x v="1"/>
    <x v="12"/>
    <x v="7"/>
    <n v="47017"/>
    <n v="0"/>
    <n v="47017"/>
    <x v="0"/>
    <x v="1"/>
    <n v="366759"/>
    <x v="6"/>
    <s v="Texora S.A"/>
  </r>
  <r>
    <m/>
    <s v="EGRESO"/>
    <d v="2022-02-22T00:00:00"/>
    <n v="2"/>
    <x v="0"/>
    <x v="0"/>
    <x v="7"/>
    <n v="0"/>
    <n v="47017"/>
    <n v="-47017"/>
    <x v="0"/>
    <x v="1"/>
    <n v="366759"/>
    <x v="6"/>
    <s v="Texora S.A"/>
  </r>
  <r>
    <m/>
    <s v="EGRESO"/>
    <d v="2022-02-22T00:00:00"/>
    <n v="2"/>
    <x v="1"/>
    <x v="12"/>
    <x v="7"/>
    <n v="483765"/>
    <n v="0"/>
    <n v="483765"/>
    <x v="0"/>
    <x v="1"/>
    <n v="168743"/>
    <x v="7"/>
    <s v="MICROGEO S.A."/>
  </r>
  <r>
    <m/>
    <s v="EGRESO"/>
    <d v="2022-02-22T00:00:00"/>
    <n v="2"/>
    <x v="0"/>
    <x v="0"/>
    <x v="7"/>
    <n v="0"/>
    <n v="483765"/>
    <n v="-483765"/>
    <x v="0"/>
    <x v="1"/>
    <n v="168743"/>
    <x v="7"/>
    <s v="MICROGEO S.A."/>
  </r>
  <r>
    <m/>
    <s v="EGRESO"/>
    <d v="2022-02-22T00:00:00"/>
    <n v="2"/>
    <x v="1"/>
    <x v="12"/>
    <x v="7"/>
    <n v="103030"/>
    <n v="0"/>
    <n v="103030"/>
    <x v="0"/>
    <x v="1"/>
    <n v="366840"/>
    <x v="6"/>
    <s v="Texora S.A"/>
  </r>
  <r>
    <m/>
    <s v="EGRESO"/>
    <d v="2022-02-22T00:00:00"/>
    <n v="2"/>
    <x v="0"/>
    <x v="0"/>
    <x v="7"/>
    <n v="0"/>
    <n v="103030"/>
    <n v="-103030"/>
    <x v="0"/>
    <x v="1"/>
    <n v="366840"/>
    <x v="6"/>
    <s v="Texora S.A"/>
  </r>
  <r>
    <m/>
    <s v="EGRESO"/>
    <d v="2022-02-22T00:00:00"/>
    <n v="2"/>
    <x v="1"/>
    <x v="12"/>
    <x v="7"/>
    <n v="62689"/>
    <n v="0"/>
    <n v="62689"/>
    <x v="0"/>
    <x v="1"/>
    <n v="366843"/>
    <x v="6"/>
    <s v="Texora S.A"/>
  </r>
  <r>
    <m/>
    <s v="EGRESO"/>
    <d v="2022-02-22T00:00:00"/>
    <n v="2"/>
    <x v="0"/>
    <x v="0"/>
    <x v="7"/>
    <n v="0"/>
    <n v="62689"/>
    <n v="-62689"/>
    <x v="0"/>
    <x v="1"/>
    <n v="366843"/>
    <x v="6"/>
    <s v="Texora S.A"/>
  </r>
  <r>
    <m/>
    <s v="EGRESO"/>
    <d v="2022-02-22T00:00:00"/>
    <n v="2"/>
    <x v="1"/>
    <x v="12"/>
    <x v="7"/>
    <n v="52688"/>
    <n v="0"/>
    <n v="52688"/>
    <x v="0"/>
    <x v="1"/>
    <n v="660287"/>
    <x v="5"/>
    <s v="Comercial Mundo Transfer Ltda"/>
  </r>
  <r>
    <m/>
    <s v="EGRESO"/>
    <d v="2022-02-22T00:00:00"/>
    <n v="2"/>
    <x v="0"/>
    <x v="0"/>
    <x v="7"/>
    <n v="0"/>
    <n v="52688"/>
    <n v="-52688"/>
    <x v="0"/>
    <x v="1"/>
    <n v="660287"/>
    <x v="5"/>
    <s v="Comercial Mundo Transfer Ltda"/>
  </r>
  <r>
    <m/>
    <s v="EGRESO"/>
    <d v="2022-02-22T00:00:00"/>
    <n v="2"/>
    <x v="1"/>
    <x v="12"/>
    <x v="7"/>
    <n v="17551"/>
    <n v="0"/>
    <n v="17551"/>
    <x v="0"/>
    <x v="1"/>
    <n v="288345"/>
    <x v="12"/>
    <s v="COMERCIAL SATEX LTDA"/>
  </r>
  <r>
    <m/>
    <s v="EGRESO"/>
    <d v="2022-02-22T00:00:00"/>
    <n v="2"/>
    <x v="0"/>
    <x v="0"/>
    <x v="7"/>
    <n v="0"/>
    <n v="17551"/>
    <n v="-17551"/>
    <x v="0"/>
    <x v="1"/>
    <n v="288345"/>
    <x v="12"/>
    <s v="COMERCIAL SATEX LTDA"/>
  </r>
  <r>
    <m/>
    <s v="EGRESO"/>
    <d v="2022-02-22T00:00:00"/>
    <n v="2"/>
    <x v="1"/>
    <x v="12"/>
    <x v="7"/>
    <n v="55240"/>
    <n v="0"/>
    <n v="55240"/>
    <x v="0"/>
    <x v="1"/>
    <n v="366951"/>
    <x v="6"/>
    <s v="Texora S.A"/>
  </r>
  <r>
    <m/>
    <s v="EGRESO"/>
    <d v="2022-02-22T00:00:00"/>
    <n v="2"/>
    <x v="0"/>
    <x v="0"/>
    <x v="7"/>
    <n v="0"/>
    <n v="55240"/>
    <n v="-55240"/>
    <x v="0"/>
    <x v="1"/>
    <n v="366951"/>
    <x v="6"/>
    <s v="Texora S.A"/>
  </r>
  <r>
    <m/>
    <s v="EGRESO"/>
    <d v="2022-02-23T00:00:00"/>
    <n v="2"/>
    <x v="1"/>
    <x v="12"/>
    <x v="7"/>
    <n v="39102"/>
    <n v="0"/>
    <n v="39102"/>
    <x v="0"/>
    <x v="1"/>
    <n v="288454"/>
    <x v="12"/>
    <s v="COMERCIAL SATEX LTDA"/>
  </r>
  <r>
    <m/>
    <s v="EGRESO"/>
    <d v="2022-02-23T00:00:00"/>
    <n v="2"/>
    <x v="0"/>
    <x v="0"/>
    <x v="7"/>
    <n v="0"/>
    <n v="39102"/>
    <n v="-39102"/>
    <x v="0"/>
    <x v="1"/>
    <n v="288454"/>
    <x v="12"/>
    <s v="COMERCIAL SATEX LTDA"/>
  </r>
  <r>
    <m/>
    <s v="EGRESO"/>
    <d v="2022-02-23T00:00:00"/>
    <n v="2"/>
    <x v="1"/>
    <x v="12"/>
    <x v="7"/>
    <n v="10399"/>
    <n v="0"/>
    <n v="10399"/>
    <x v="0"/>
    <x v="1"/>
    <n v="40705"/>
    <x v="13"/>
    <s v="INVERSIONES SIRACUSA SPA"/>
  </r>
  <r>
    <m/>
    <s v="EGRESO"/>
    <d v="2022-02-23T00:00:00"/>
    <n v="2"/>
    <x v="0"/>
    <x v="0"/>
    <x v="7"/>
    <n v="0"/>
    <n v="10399"/>
    <n v="-10399"/>
    <x v="0"/>
    <x v="1"/>
    <n v="40705"/>
    <x v="13"/>
    <s v="INVERSIONES SIRACUSA SPA"/>
  </r>
  <r>
    <m/>
    <s v="EGRESO"/>
    <d v="2022-02-22T00:00:00"/>
    <n v="2"/>
    <x v="1"/>
    <x v="12"/>
    <x v="7"/>
    <n v="160969"/>
    <n v="0"/>
    <n v="160969"/>
    <x v="0"/>
    <x v="1"/>
    <n v="288276"/>
    <x v="12"/>
    <s v="COMERCIAL SATEX LTDA"/>
  </r>
  <r>
    <m/>
    <s v="EGRESO"/>
    <d v="2022-02-22T00:00:00"/>
    <n v="2"/>
    <x v="0"/>
    <x v="0"/>
    <x v="7"/>
    <n v="0"/>
    <n v="160969"/>
    <n v="-160969"/>
    <x v="0"/>
    <x v="1"/>
    <n v="288276"/>
    <x v="12"/>
    <s v="COMERCIAL SATEX LTDA"/>
  </r>
  <r>
    <m/>
    <s v="EGRESO"/>
    <d v="2022-02-25T00:00:00"/>
    <n v="2"/>
    <x v="1"/>
    <x v="12"/>
    <x v="7"/>
    <n v="228194"/>
    <n v="0"/>
    <n v="228194"/>
    <x v="0"/>
    <x v="1"/>
    <n v="20973"/>
    <x v="15"/>
    <s v="COMERCIAL TEXTIL LAMAS SPA"/>
  </r>
  <r>
    <m/>
    <s v="EGRESO"/>
    <d v="2022-02-25T00:00:00"/>
    <n v="2"/>
    <x v="0"/>
    <x v="0"/>
    <x v="7"/>
    <n v="0"/>
    <n v="228194"/>
    <n v="-228194"/>
    <x v="0"/>
    <x v="1"/>
    <n v="20973"/>
    <x v="15"/>
    <s v="COMERCIAL TEXTIL LAMAS SPA"/>
  </r>
  <r>
    <m/>
    <s v="EGRESO"/>
    <d v="2022-01-31T00:00:00"/>
    <n v="2"/>
    <x v="1"/>
    <x v="12"/>
    <x v="7"/>
    <n v="109244"/>
    <n v="0"/>
    <n v="109244"/>
    <x v="0"/>
    <x v="3"/>
    <n v="78"/>
    <x v="16"/>
    <s v="SIMPLE TAX SPA"/>
  </r>
  <r>
    <m/>
    <s v="EGRESO"/>
    <d v="2022-01-31T00:00:00"/>
    <n v="2"/>
    <x v="0"/>
    <x v="0"/>
    <x v="7"/>
    <n v="0"/>
    <n v="109244"/>
    <n v="-109244"/>
    <x v="0"/>
    <x v="3"/>
    <n v="78"/>
    <x v="16"/>
    <s v="SIMPLE TAX SPA"/>
  </r>
  <r>
    <m/>
    <s v="EGRESO"/>
    <d v="2022-03-01T00:00:00"/>
    <n v="3"/>
    <x v="1"/>
    <x v="12"/>
    <x v="7"/>
    <n v="160976"/>
    <n v="0"/>
    <n v="160976"/>
    <x v="0"/>
    <x v="1"/>
    <n v="288988"/>
    <x v="12"/>
    <s v="COMERCIAL SATEX LTDA"/>
  </r>
  <r>
    <m/>
    <s v="EGRESO"/>
    <d v="2022-03-01T00:00:00"/>
    <n v="3"/>
    <x v="0"/>
    <x v="0"/>
    <x v="7"/>
    <n v="0"/>
    <n v="160976"/>
    <n v="-160976"/>
    <x v="0"/>
    <x v="1"/>
    <n v="288988"/>
    <x v="12"/>
    <s v="COMERCIAL SATEX LTDA"/>
  </r>
  <r>
    <m/>
    <s v="EGRESO"/>
    <d v="2022-03-10T00:00:00"/>
    <n v="3"/>
    <x v="1"/>
    <x v="12"/>
    <x v="7"/>
    <n v="32400"/>
    <n v="0"/>
    <n v="32400"/>
    <x v="0"/>
    <x v="1"/>
    <n v="151309"/>
    <x v="3"/>
    <s v="TEXTIL SUMEY LTDA"/>
  </r>
  <r>
    <m/>
    <s v="EGRESO"/>
    <d v="2022-03-10T00:00:00"/>
    <n v="3"/>
    <x v="0"/>
    <x v="0"/>
    <x v="7"/>
    <n v="0"/>
    <n v="32400"/>
    <n v="-32400"/>
    <x v="0"/>
    <x v="1"/>
    <n v="151309"/>
    <x v="3"/>
    <s v="TEXTIL SUMEY LTDA"/>
  </r>
  <r>
    <m/>
    <s v="EGRESO"/>
    <d v="2022-03-11T00:00:00"/>
    <n v="3"/>
    <x v="1"/>
    <x v="12"/>
    <x v="7"/>
    <n v="102066"/>
    <n v="0"/>
    <n v="102066"/>
    <x v="0"/>
    <x v="1"/>
    <n v="369279"/>
    <x v="6"/>
    <s v="Texora S.A"/>
  </r>
  <r>
    <m/>
    <s v="EGRESO"/>
    <d v="2022-03-11T00:00:00"/>
    <n v="3"/>
    <x v="0"/>
    <x v="0"/>
    <x v="7"/>
    <n v="0"/>
    <n v="102066"/>
    <n v="-102066"/>
    <x v="0"/>
    <x v="1"/>
    <n v="369279"/>
    <x v="6"/>
    <s v="Texora S.A"/>
  </r>
  <r>
    <m/>
    <s v="EGRESO"/>
    <d v="2022-03-14T00:00:00"/>
    <n v="3"/>
    <x v="1"/>
    <x v="12"/>
    <x v="7"/>
    <n v="5998"/>
    <n v="0"/>
    <n v="5998"/>
    <x v="0"/>
    <x v="1"/>
    <n v="179"/>
    <x v="17"/>
    <s v="CASA YSS SPA"/>
  </r>
  <r>
    <m/>
    <s v="EGRESO"/>
    <d v="2022-03-14T00:00:00"/>
    <n v="3"/>
    <x v="0"/>
    <x v="0"/>
    <x v="7"/>
    <n v="0"/>
    <n v="5998"/>
    <n v="-5998"/>
    <x v="0"/>
    <x v="1"/>
    <n v="179"/>
    <x v="17"/>
    <s v="CASA YSS SPA"/>
  </r>
  <r>
    <m/>
    <s v="EGRESO"/>
    <d v="2022-03-14T00:00:00"/>
    <n v="3"/>
    <x v="1"/>
    <x v="12"/>
    <x v="7"/>
    <n v="24954"/>
    <n v="0"/>
    <n v="24954"/>
    <x v="0"/>
    <x v="1"/>
    <n v="21083"/>
    <x v="15"/>
    <s v="COMERCIAL TEXTIL LAMAS SPA"/>
  </r>
  <r>
    <m/>
    <s v="EGRESO"/>
    <d v="2022-03-14T00:00:00"/>
    <n v="3"/>
    <x v="0"/>
    <x v="0"/>
    <x v="7"/>
    <n v="0"/>
    <n v="24954"/>
    <n v="-24954"/>
    <x v="0"/>
    <x v="1"/>
    <n v="21083"/>
    <x v="15"/>
    <s v="COMERCIAL TEXTIL LAMAS SPA"/>
  </r>
  <r>
    <m/>
    <s v="EGRESO"/>
    <d v="2022-03-17T00:00:00"/>
    <n v="3"/>
    <x v="1"/>
    <x v="12"/>
    <x v="7"/>
    <n v="78873"/>
    <n v="0"/>
    <n v="78873"/>
    <x v="0"/>
    <x v="1"/>
    <n v="369993"/>
    <x v="6"/>
    <s v="Texora S.A"/>
  </r>
  <r>
    <m/>
    <s v="EGRESO"/>
    <d v="2022-03-17T00:00:00"/>
    <n v="3"/>
    <x v="0"/>
    <x v="0"/>
    <x v="7"/>
    <n v="0"/>
    <n v="78873"/>
    <n v="-78873"/>
    <x v="0"/>
    <x v="1"/>
    <n v="369993"/>
    <x v="6"/>
    <s v="Texora S.A"/>
  </r>
  <r>
    <m/>
    <s v="EGRESO"/>
    <d v="2022-03-21T00:00:00"/>
    <n v="3"/>
    <x v="1"/>
    <x v="12"/>
    <x v="7"/>
    <n v="62966"/>
    <n v="0"/>
    <n v="62966"/>
    <x v="0"/>
    <x v="1"/>
    <n v="291635"/>
    <x v="12"/>
    <s v="COMERCIAL SATEX LTDA"/>
  </r>
  <r>
    <m/>
    <s v="EGRESO"/>
    <d v="2022-03-21T00:00:00"/>
    <n v="3"/>
    <x v="0"/>
    <x v="0"/>
    <x v="7"/>
    <n v="0"/>
    <n v="62966"/>
    <n v="-62966"/>
    <x v="0"/>
    <x v="1"/>
    <n v="291635"/>
    <x v="12"/>
    <s v="COMERCIAL SATEX LTDA"/>
  </r>
  <r>
    <m/>
    <s v="EGRESO"/>
    <d v="2022-03-16T00:00:00"/>
    <n v="3"/>
    <x v="1"/>
    <x v="12"/>
    <x v="7"/>
    <n v="42960"/>
    <n v="0"/>
    <n v="42960"/>
    <x v="0"/>
    <x v="1"/>
    <n v="9755772"/>
    <x v="9"/>
    <s v="WOM S.A."/>
  </r>
  <r>
    <m/>
    <s v="EGRESO"/>
    <d v="2022-03-16T00:00:00"/>
    <n v="3"/>
    <x v="0"/>
    <x v="0"/>
    <x v="7"/>
    <n v="0"/>
    <n v="42960"/>
    <n v="-42960"/>
    <x v="0"/>
    <x v="1"/>
    <n v="9755772"/>
    <x v="9"/>
    <s v="WOM S.A."/>
  </r>
  <r>
    <m/>
    <s v="EGRESO"/>
    <d v="2022-03-22T00:00:00"/>
    <n v="3"/>
    <x v="1"/>
    <x v="12"/>
    <x v="7"/>
    <n v="12600"/>
    <n v="0"/>
    <n v="12600"/>
    <x v="0"/>
    <x v="1"/>
    <n v="15933"/>
    <x v="18"/>
    <s v="COMERCIALIZADORA KASPI LTDA."/>
  </r>
  <r>
    <m/>
    <s v="EGRESO"/>
    <d v="2022-03-22T00:00:00"/>
    <n v="3"/>
    <x v="0"/>
    <x v="0"/>
    <x v="7"/>
    <n v="0"/>
    <n v="12600"/>
    <n v="-12600"/>
    <x v="0"/>
    <x v="1"/>
    <n v="15933"/>
    <x v="18"/>
    <s v="COMERCIALIZADORA KASPI LTDA."/>
  </r>
  <r>
    <m/>
    <s v="EGRESO"/>
    <d v="2022-03-24T00:00:00"/>
    <n v="3"/>
    <x v="1"/>
    <x v="12"/>
    <x v="7"/>
    <n v="5913"/>
    <n v="0"/>
    <n v="5913"/>
    <x v="0"/>
    <x v="1"/>
    <n v="665420"/>
    <x v="5"/>
    <s v="Comercial Mundo Transfer Ltda"/>
  </r>
  <r>
    <m/>
    <s v="EGRESO"/>
    <d v="2022-03-24T00:00:00"/>
    <n v="3"/>
    <x v="0"/>
    <x v="0"/>
    <x v="7"/>
    <n v="0"/>
    <n v="5913"/>
    <n v="-5913"/>
    <x v="0"/>
    <x v="1"/>
    <n v="665420"/>
    <x v="5"/>
    <s v="Comercial Mundo Transfer Ltda"/>
  </r>
  <r>
    <m/>
    <s v="EGRESO"/>
    <d v="2022-03-28T00:00:00"/>
    <n v="3"/>
    <x v="1"/>
    <x v="12"/>
    <x v="7"/>
    <n v="133197"/>
    <n v="0"/>
    <n v="133197"/>
    <x v="0"/>
    <x v="1"/>
    <n v="370973"/>
    <x v="6"/>
    <s v="Texora S.A"/>
  </r>
  <r>
    <m/>
    <s v="EGRESO"/>
    <d v="2022-03-28T00:00:00"/>
    <n v="3"/>
    <x v="0"/>
    <x v="0"/>
    <x v="7"/>
    <n v="0"/>
    <n v="133197"/>
    <n v="-133197"/>
    <x v="0"/>
    <x v="1"/>
    <n v="370973"/>
    <x v="6"/>
    <s v="Texora S.A"/>
  </r>
  <r>
    <m/>
    <s v="EGRESO"/>
    <d v="2022-03-28T00:00:00"/>
    <n v="3"/>
    <x v="1"/>
    <x v="12"/>
    <x v="7"/>
    <n v="254089"/>
    <n v="0"/>
    <n v="254089"/>
    <x v="0"/>
    <x v="1"/>
    <n v="370974"/>
    <x v="6"/>
    <s v="Texora S.A"/>
  </r>
  <r>
    <m/>
    <s v="EGRESO"/>
    <d v="2022-03-28T00:00:00"/>
    <n v="3"/>
    <x v="0"/>
    <x v="0"/>
    <x v="7"/>
    <n v="0"/>
    <n v="254089"/>
    <n v="-254089"/>
    <x v="0"/>
    <x v="1"/>
    <n v="370974"/>
    <x v="6"/>
    <s v="Texora S.A"/>
  </r>
  <r>
    <m/>
    <s v="EGRESO"/>
    <d v="2022-03-29T00:00:00"/>
    <n v="3"/>
    <x v="1"/>
    <x v="12"/>
    <x v="7"/>
    <n v="8669"/>
    <n v="0"/>
    <n v="8669"/>
    <x v="0"/>
    <x v="1"/>
    <n v="666164"/>
    <x v="5"/>
    <s v="Comercial Mundo Transfer Ltda"/>
  </r>
  <r>
    <m/>
    <s v="EGRESO"/>
    <d v="2022-03-29T00:00:00"/>
    <n v="3"/>
    <x v="0"/>
    <x v="0"/>
    <x v="7"/>
    <n v="0"/>
    <n v="8669"/>
    <n v="-8669"/>
    <x v="0"/>
    <x v="1"/>
    <n v="666164"/>
    <x v="5"/>
    <s v="Comercial Mundo Transfer Ltda"/>
  </r>
  <r>
    <m/>
    <s v="EGRESO"/>
    <d v="2022-03-15T00:00:00"/>
    <n v="3"/>
    <x v="1"/>
    <x v="12"/>
    <x v="7"/>
    <n v="110387"/>
    <n v="0"/>
    <n v="110387"/>
    <x v="0"/>
    <x v="3"/>
    <n v="84"/>
    <x v="16"/>
    <s v="SIMPLE TAX SPA"/>
  </r>
  <r>
    <m/>
    <s v="EGRESO"/>
    <d v="2022-03-15T00:00:00"/>
    <n v="3"/>
    <x v="0"/>
    <x v="0"/>
    <x v="7"/>
    <n v="0"/>
    <n v="110387"/>
    <n v="-110387"/>
    <x v="0"/>
    <x v="3"/>
    <n v="84"/>
    <x v="16"/>
    <s v="SIMPLE TAX SPA"/>
  </r>
  <r>
    <m/>
    <s v="EGRESO"/>
    <d v="2022-03-24T00:00:00"/>
    <n v="4"/>
    <x v="1"/>
    <x v="12"/>
    <x v="7"/>
    <n v="67961"/>
    <n v="0"/>
    <n v="67961"/>
    <x v="0"/>
    <x v="1"/>
    <n v="292136"/>
    <x v="12"/>
    <s v="COMERCIAL SATEX LTDA"/>
  </r>
  <r>
    <m/>
    <s v="EGRESO"/>
    <d v="2022-03-24T00:00:00"/>
    <n v="4"/>
    <x v="0"/>
    <x v="0"/>
    <x v="7"/>
    <n v="0"/>
    <n v="67961"/>
    <n v="-67961"/>
    <x v="0"/>
    <x v="1"/>
    <n v="292136"/>
    <x v="12"/>
    <s v="COMERCIAL SATEX LTDA"/>
  </r>
  <r>
    <m/>
    <s v="EGRESO"/>
    <d v="2022-03-28T00:00:00"/>
    <n v="4"/>
    <x v="1"/>
    <x v="12"/>
    <x v="7"/>
    <n v="217681"/>
    <n v="0"/>
    <n v="217681"/>
    <x v="0"/>
    <x v="1"/>
    <n v="170389"/>
    <x v="7"/>
    <s v="MICROGEO S.A."/>
  </r>
  <r>
    <m/>
    <s v="EGRESO"/>
    <d v="2022-03-28T00:00:00"/>
    <n v="4"/>
    <x v="0"/>
    <x v="0"/>
    <x v="7"/>
    <n v="0"/>
    <n v="217681"/>
    <n v="-217681"/>
    <x v="0"/>
    <x v="1"/>
    <n v="170389"/>
    <x v="7"/>
    <s v="MICROGEO S.A."/>
  </r>
  <r>
    <m/>
    <s v="EGRESO"/>
    <d v="2022-03-29T00:00:00"/>
    <n v="4"/>
    <x v="1"/>
    <x v="12"/>
    <x v="7"/>
    <n v="6168"/>
    <n v="0"/>
    <n v="6168"/>
    <x v="0"/>
    <x v="1"/>
    <n v="292701"/>
    <x v="12"/>
    <s v="COMERCIAL SATEX LTDA"/>
  </r>
  <r>
    <m/>
    <s v="EGRESO"/>
    <d v="2022-03-29T00:00:00"/>
    <n v="4"/>
    <x v="0"/>
    <x v="0"/>
    <x v="7"/>
    <n v="0"/>
    <n v="6168"/>
    <n v="-6168"/>
    <x v="0"/>
    <x v="1"/>
    <n v="292701"/>
    <x v="12"/>
    <s v="COMERCIAL SATEX LTDA"/>
  </r>
  <r>
    <m/>
    <s v="EGRESO"/>
    <d v="2022-03-29T00:00:00"/>
    <n v="4"/>
    <x v="1"/>
    <x v="12"/>
    <x v="7"/>
    <n v="52479"/>
    <n v="0"/>
    <n v="52479"/>
    <x v="0"/>
    <x v="1"/>
    <n v="1725"/>
    <x v="19"/>
    <s v="TEXTIL HAPI LIMITADA"/>
  </r>
  <r>
    <m/>
    <s v="EGRESO"/>
    <d v="2022-03-29T00:00:00"/>
    <n v="4"/>
    <x v="0"/>
    <x v="0"/>
    <x v="7"/>
    <n v="0"/>
    <n v="52479"/>
    <n v="-52479"/>
    <x v="0"/>
    <x v="1"/>
    <n v="1725"/>
    <x v="19"/>
    <s v="TEXTIL HAPI LIMITADA"/>
  </r>
  <r>
    <m/>
    <s v="EGRESO"/>
    <d v="2022-04-04T00:00:00"/>
    <n v="4"/>
    <x v="1"/>
    <x v="12"/>
    <x v="7"/>
    <n v="77500"/>
    <n v="0"/>
    <n v="77500"/>
    <x v="0"/>
    <x v="1"/>
    <n v="152687"/>
    <x v="3"/>
    <s v="TEXTIL SUMEY LTDA"/>
  </r>
  <r>
    <m/>
    <s v="EGRESO"/>
    <d v="2022-04-04T00:00:00"/>
    <n v="4"/>
    <x v="0"/>
    <x v="0"/>
    <x v="7"/>
    <n v="0"/>
    <n v="77500"/>
    <n v="-77500"/>
    <x v="0"/>
    <x v="1"/>
    <n v="152687"/>
    <x v="3"/>
    <s v="TEXTIL SUMEY LTDA"/>
  </r>
  <r>
    <m/>
    <s v="EGRESO"/>
    <d v="2022-04-04T00:00:00"/>
    <n v="4"/>
    <x v="1"/>
    <x v="12"/>
    <x v="7"/>
    <n v="318682"/>
    <n v="0"/>
    <n v="318682"/>
    <x v="0"/>
    <x v="1"/>
    <n v="372197"/>
    <x v="6"/>
    <s v="Texora S.A"/>
  </r>
  <r>
    <m/>
    <s v="EGRESO"/>
    <d v="2022-04-04T00:00:00"/>
    <n v="4"/>
    <x v="0"/>
    <x v="0"/>
    <x v="7"/>
    <n v="0"/>
    <n v="318682"/>
    <n v="-318682"/>
    <x v="0"/>
    <x v="1"/>
    <n v="372197"/>
    <x v="6"/>
    <s v="Texora S.A"/>
  </r>
  <r>
    <m/>
    <s v="EGRESO"/>
    <d v="2022-04-04T00:00:00"/>
    <n v="4"/>
    <x v="1"/>
    <x v="12"/>
    <x v="7"/>
    <n v="93451"/>
    <n v="0"/>
    <n v="93451"/>
    <x v="0"/>
    <x v="1"/>
    <n v="372214"/>
    <x v="6"/>
    <s v="Texora S.A"/>
  </r>
  <r>
    <m/>
    <s v="EGRESO"/>
    <d v="2022-04-04T00:00:00"/>
    <n v="4"/>
    <x v="0"/>
    <x v="0"/>
    <x v="7"/>
    <n v="0"/>
    <n v="93451"/>
    <n v="-93451"/>
    <x v="0"/>
    <x v="1"/>
    <n v="372214"/>
    <x v="6"/>
    <s v="Texora S.A"/>
  </r>
  <r>
    <m/>
    <s v="EGRESO"/>
    <d v="2022-04-05T00:00:00"/>
    <n v="4"/>
    <x v="1"/>
    <x v="12"/>
    <x v="7"/>
    <n v="200722"/>
    <n v="0"/>
    <n v="200722"/>
    <x v="0"/>
    <x v="1"/>
    <n v="293831"/>
    <x v="12"/>
    <s v="COMERCIAL SATEX LTDA"/>
  </r>
  <r>
    <m/>
    <s v="EGRESO"/>
    <d v="2022-04-05T00:00:00"/>
    <n v="4"/>
    <x v="0"/>
    <x v="0"/>
    <x v="7"/>
    <n v="0"/>
    <n v="200722"/>
    <n v="-200722"/>
    <x v="0"/>
    <x v="1"/>
    <n v="293831"/>
    <x v="12"/>
    <s v="COMERCIAL SATEX LTDA"/>
  </r>
  <r>
    <m/>
    <s v="EGRESO"/>
    <d v="2022-04-07T00:00:00"/>
    <n v="4"/>
    <x v="1"/>
    <x v="12"/>
    <x v="7"/>
    <n v="83300"/>
    <n v="0"/>
    <n v="83300"/>
    <x v="0"/>
    <x v="1"/>
    <n v="1430"/>
    <x v="20"/>
    <s v="CONFECCIONES GUTIERREZ Y ARAOS LIMITADA"/>
  </r>
  <r>
    <m/>
    <s v="EGRESO"/>
    <d v="2022-04-07T00:00:00"/>
    <n v="4"/>
    <x v="0"/>
    <x v="0"/>
    <x v="7"/>
    <n v="0"/>
    <n v="83300"/>
    <n v="-83300"/>
    <x v="0"/>
    <x v="1"/>
    <n v="1430"/>
    <x v="20"/>
    <s v="CONFECCIONES GUTIERREZ Y ARAOS LIMITADA"/>
  </r>
  <r>
    <m/>
    <s v="EGRESO"/>
    <d v="2022-04-08T00:00:00"/>
    <n v="4"/>
    <x v="1"/>
    <x v="12"/>
    <x v="7"/>
    <n v="356119"/>
    <n v="0"/>
    <n v="356119"/>
    <x v="0"/>
    <x v="1"/>
    <n v="373171"/>
    <x v="6"/>
    <s v="Texora S.A"/>
  </r>
  <r>
    <m/>
    <s v="EGRESO"/>
    <d v="2022-04-08T00:00:00"/>
    <n v="4"/>
    <x v="0"/>
    <x v="0"/>
    <x v="7"/>
    <n v="0"/>
    <n v="356119"/>
    <n v="-356119"/>
    <x v="0"/>
    <x v="1"/>
    <n v="373171"/>
    <x v="6"/>
    <s v="Texora S.A"/>
  </r>
  <r>
    <m/>
    <s v="EGRESO"/>
    <d v="2022-04-08T00:00:00"/>
    <n v="4"/>
    <x v="1"/>
    <x v="12"/>
    <x v="7"/>
    <n v="434552"/>
    <n v="0"/>
    <n v="434552"/>
    <x v="0"/>
    <x v="1"/>
    <n v="373218"/>
    <x v="6"/>
    <s v="Texora S.A"/>
  </r>
  <r>
    <m/>
    <s v="EGRESO"/>
    <d v="2022-04-08T00:00:00"/>
    <n v="4"/>
    <x v="0"/>
    <x v="0"/>
    <x v="7"/>
    <n v="0"/>
    <n v="434552"/>
    <n v="-434552"/>
    <x v="0"/>
    <x v="1"/>
    <n v="373218"/>
    <x v="6"/>
    <s v="Texora S.A"/>
  </r>
  <r>
    <m/>
    <s v="EGRESO"/>
    <d v="2022-04-12T00:00:00"/>
    <n v="4"/>
    <x v="1"/>
    <x v="12"/>
    <x v="7"/>
    <n v="5200"/>
    <n v="0"/>
    <n v="5200"/>
    <x v="0"/>
    <x v="1"/>
    <n v="42459"/>
    <x v="13"/>
    <s v="INVERSIONES SIRACUSA SPA"/>
  </r>
  <r>
    <m/>
    <s v="EGRESO"/>
    <d v="2022-04-12T00:00:00"/>
    <n v="4"/>
    <x v="0"/>
    <x v="0"/>
    <x v="7"/>
    <n v="0"/>
    <n v="5200"/>
    <n v="-5200"/>
    <x v="0"/>
    <x v="1"/>
    <n v="42459"/>
    <x v="13"/>
    <s v="INVERSIONES SIRACUSA SPA"/>
  </r>
  <r>
    <m/>
    <s v="EGRESO"/>
    <d v="2022-04-12T00:00:00"/>
    <n v="4"/>
    <x v="1"/>
    <x v="12"/>
    <x v="7"/>
    <n v="82904"/>
    <n v="0"/>
    <n v="82904"/>
    <x v="0"/>
    <x v="1"/>
    <n v="294966"/>
    <x v="12"/>
    <s v="COMERCIAL SATEX LTDA"/>
  </r>
  <r>
    <m/>
    <s v="EGRESO"/>
    <d v="2022-04-12T00:00:00"/>
    <n v="4"/>
    <x v="0"/>
    <x v="0"/>
    <x v="7"/>
    <n v="0"/>
    <n v="82904"/>
    <n v="-82904"/>
    <x v="0"/>
    <x v="1"/>
    <n v="294966"/>
    <x v="12"/>
    <s v="COMERCIAL SATEX LTDA"/>
  </r>
  <r>
    <m/>
    <s v="EGRESO"/>
    <d v="2022-04-12T00:00:00"/>
    <n v="4"/>
    <x v="1"/>
    <x v="12"/>
    <x v="7"/>
    <n v="19190"/>
    <n v="0"/>
    <n v="19190"/>
    <x v="0"/>
    <x v="1"/>
    <n v="28784"/>
    <x v="21"/>
    <s v="SOCIEDAD TEXORA WORKWEAR STORE CHILE SPA"/>
  </r>
  <r>
    <m/>
    <s v="EGRESO"/>
    <d v="2022-04-12T00:00:00"/>
    <n v="4"/>
    <x v="0"/>
    <x v="0"/>
    <x v="7"/>
    <n v="0"/>
    <n v="19190"/>
    <n v="-19190"/>
    <x v="0"/>
    <x v="1"/>
    <n v="28784"/>
    <x v="21"/>
    <s v="SOCIEDAD TEXORA WORKWEAR STORE CHILE SPA"/>
  </r>
  <r>
    <m/>
    <s v="EGRESO"/>
    <d v="2022-04-12T00:00:00"/>
    <n v="4"/>
    <x v="1"/>
    <x v="12"/>
    <x v="7"/>
    <n v="119000"/>
    <n v="0"/>
    <n v="119000"/>
    <x v="0"/>
    <x v="1"/>
    <n v="625"/>
    <x v="22"/>
    <s v="IMPORTADORA Y EXPORTADORA FUMI ZZ LIMITADA"/>
  </r>
  <r>
    <m/>
    <s v="EGRESO"/>
    <d v="2022-04-12T00:00:00"/>
    <n v="4"/>
    <x v="0"/>
    <x v="0"/>
    <x v="7"/>
    <n v="0"/>
    <n v="119000"/>
    <n v="-119000"/>
    <x v="0"/>
    <x v="1"/>
    <n v="625"/>
    <x v="22"/>
    <s v="IMPORTADORA Y EXPORTADORA FUMI ZZ LIMITADA"/>
  </r>
  <r>
    <m/>
    <s v="EGRESO"/>
    <d v="2022-04-13T00:00:00"/>
    <n v="4"/>
    <x v="1"/>
    <x v="12"/>
    <x v="7"/>
    <n v="134470"/>
    <n v="0"/>
    <n v="134470"/>
    <x v="0"/>
    <x v="1"/>
    <n v="373775"/>
    <x v="6"/>
    <s v="Texora S.A"/>
  </r>
  <r>
    <m/>
    <s v="EGRESO"/>
    <d v="2022-04-13T00:00:00"/>
    <n v="4"/>
    <x v="0"/>
    <x v="0"/>
    <x v="7"/>
    <n v="0"/>
    <n v="134470"/>
    <n v="-134470"/>
    <x v="0"/>
    <x v="1"/>
    <n v="373775"/>
    <x v="6"/>
    <s v="Texora S.A"/>
  </r>
  <r>
    <m/>
    <s v="EGRESO"/>
    <d v="2022-04-14T00:00:00"/>
    <n v="4"/>
    <x v="1"/>
    <x v="12"/>
    <x v="7"/>
    <n v="226514"/>
    <n v="0"/>
    <n v="226514"/>
    <x v="0"/>
    <x v="1"/>
    <n v="171415"/>
    <x v="7"/>
    <s v="MICROGEO S.A."/>
  </r>
  <r>
    <m/>
    <s v="EGRESO"/>
    <d v="2022-04-14T00:00:00"/>
    <n v="4"/>
    <x v="0"/>
    <x v="0"/>
    <x v="7"/>
    <n v="0"/>
    <n v="226514"/>
    <n v="-226514"/>
    <x v="0"/>
    <x v="1"/>
    <n v="171415"/>
    <x v="7"/>
    <s v="MICROGEO S.A."/>
  </r>
  <r>
    <m/>
    <s v="EGRESO"/>
    <d v="2022-04-18T00:00:00"/>
    <n v="4"/>
    <x v="1"/>
    <x v="12"/>
    <x v="7"/>
    <n v="862203"/>
    <n v="0"/>
    <n v="862203"/>
    <x v="0"/>
    <x v="1"/>
    <n v="374426"/>
    <x v="6"/>
    <s v="Texora S.A"/>
  </r>
  <r>
    <m/>
    <s v="EGRESO"/>
    <d v="2022-04-18T00:00:00"/>
    <n v="4"/>
    <x v="0"/>
    <x v="0"/>
    <x v="7"/>
    <n v="0"/>
    <n v="862203"/>
    <n v="-862203"/>
    <x v="0"/>
    <x v="1"/>
    <n v="374426"/>
    <x v="6"/>
    <s v="Texora S.A"/>
  </r>
  <r>
    <m/>
    <s v="EGRESO"/>
    <d v="2022-04-18T00:00:00"/>
    <n v="4"/>
    <x v="1"/>
    <x v="12"/>
    <x v="7"/>
    <n v="287790"/>
    <n v="0"/>
    <n v="287790"/>
    <x v="0"/>
    <x v="1"/>
    <n v="374427"/>
    <x v="6"/>
    <s v="Texora S.A"/>
  </r>
  <r>
    <m/>
    <s v="EGRESO"/>
    <d v="2022-04-18T00:00:00"/>
    <n v="4"/>
    <x v="0"/>
    <x v="0"/>
    <x v="7"/>
    <n v="0"/>
    <n v="287790"/>
    <n v="-287790"/>
    <x v="0"/>
    <x v="1"/>
    <n v="374427"/>
    <x v="6"/>
    <s v="Texora S.A"/>
  </r>
  <r>
    <m/>
    <s v="EGRESO"/>
    <d v="2022-04-20T00:00:00"/>
    <n v="4"/>
    <x v="1"/>
    <x v="12"/>
    <x v="7"/>
    <n v="238406"/>
    <n v="0"/>
    <n v="238406"/>
    <x v="0"/>
    <x v="1"/>
    <n v="670124"/>
    <x v="5"/>
    <s v="Comercial Mundo Transfer Ltda"/>
  </r>
  <r>
    <m/>
    <s v="EGRESO"/>
    <d v="2022-04-20T00:00:00"/>
    <n v="4"/>
    <x v="0"/>
    <x v="0"/>
    <x v="7"/>
    <n v="0"/>
    <n v="238406"/>
    <n v="-238406"/>
    <x v="0"/>
    <x v="1"/>
    <n v="670124"/>
    <x v="5"/>
    <s v="Comercial Mundo Transfer Ltda"/>
  </r>
  <r>
    <m/>
    <s v="EGRESO"/>
    <d v="2022-04-20T00:00:00"/>
    <n v="4"/>
    <x v="1"/>
    <x v="12"/>
    <x v="7"/>
    <n v="67295"/>
    <n v="0"/>
    <n v="67295"/>
    <x v="0"/>
    <x v="1"/>
    <n v="345161"/>
    <x v="23"/>
    <s v="Sociedad Importadora Maritex Spa"/>
  </r>
  <r>
    <m/>
    <s v="EGRESO"/>
    <d v="2022-04-20T00:00:00"/>
    <n v="4"/>
    <x v="0"/>
    <x v="0"/>
    <x v="7"/>
    <n v="0"/>
    <n v="67295"/>
    <n v="-67295"/>
    <x v="0"/>
    <x v="1"/>
    <n v="345161"/>
    <x v="23"/>
    <s v="Sociedad Importadora Maritex Spa"/>
  </r>
  <r>
    <m/>
    <s v="EGRESO"/>
    <d v="2022-04-20T00:00:00"/>
    <n v="4"/>
    <x v="1"/>
    <x v="12"/>
    <x v="7"/>
    <n v="125305"/>
    <n v="0"/>
    <n v="125305"/>
    <x v="0"/>
    <x v="1"/>
    <n v="295993"/>
    <x v="12"/>
    <s v="COMERCIAL SATEX LTDA"/>
  </r>
  <r>
    <m/>
    <s v="EGRESO"/>
    <d v="2022-04-20T00:00:00"/>
    <n v="4"/>
    <x v="0"/>
    <x v="0"/>
    <x v="7"/>
    <n v="0"/>
    <n v="125305"/>
    <n v="-125305"/>
    <x v="0"/>
    <x v="1"/>
    <n v="295993"/>
    <x v="12"/>
    <s v="COMERCIAL SATEX LTDA"/>
  </r>
  <r>
    <m/>
    <s v="EGRESO"/>
    <d v="2022-04-21T00:00:00"/>
    <n v="4"/>
    <x v="1"/>
    <x v="12"/>
    <x v="7"/>
    <n v="9150"/>
    <n v="0"/>
    <n v="9150"/>
    <x v="0"/>
    <x v="1"/>
    <n v="42761"/>
    <x v="13"/>
    <s v="INVERSIONES SIRACUSA SPA"/>
  </r>
  <r>
    <m/>
    <s v="EGRESO"/>
    <d v="2022-04-21T00:00:00"/>
    <n v="4"/>
    <x v="0"/>
    <x v="0"/>
    <x v="7"/>
    <n v="0"/>
    <n v="9150"/>
    <n v="-9150"/>
    <x v="0"/>
    <x v="1"/>
    <n v="42761"/>
    <x v="13"/>
    <s v="INVERSIONES SIRACUSA SPA"/>
  </r>
  <r>
    <m/>
    <s v="EGRESO"/>
    <d v="2022-04-16T00:00:00"/>
    <n v="4"/>
    <x v="1"/>
    <x v="12"/>
    <x v="7"/>
    <n v="42960"/>
    <n v="0"/>
    <n v="42960"/>
    <x v="0"/>
    <x v="1"/>
    <n v="9909278"/>
    <x v="9"/>
    <s v="WOM S.A."/>
  </r>
  <r>
    <m/>
    <s v="EGRESO"/>
    <d v="2022-04-16T00:00:00"/>
    <n v="4"/>
    <x v="0"/>
    <x v="0"/>
    <x v="7"/>
    <n v="0"/>
    <n v="42960"/>
    <n v="-42960"/>
    <x v="0"/>
    <x v="1"/>
    <n v="9909278"/>
    <x v="9"/>
    <s v="WOM S.A."/>
  </r>
  <r>
    <m/>
    <s v="EGRESO"/>
    <d v="2022-04-22T00:00:00"/>
    <n v="4"/>
    <x v="1"/>
    <x v="12"/>
    <x v="7"/>
    <n v="2564241"/>
    <n v="0"/>
    <n v="2564241"/>
    <x v="0"/>
    <x v="1"/>
    <n v="375436"/>
    <x v="6"/>
    <s v="Texora S.A"/>
  </r>
  <r>
    <m/>
    <s v="EGRESO"/>
    <d v="2022-04-22T00:00:00"/>
    <n v="4"/>
    <x v="0"/>
    <x v="0"/>
    <x v="7"/>
    <n v="0"/>
    <n v="2564241"/>
    <n v="-2564241"/>
    <x v="0"/>
    <x v="1"/>
    <n v="375436"/>
    <x v="6"/>
    <s v="Texora S.A"/>
  </r>
  <r>
    <m/>
    <s v="EGRESO"/>
    <d v="2022-04-22T00:00:00"/>
    <n v="4"/>
    <x v="1"/>
    <x v="12"/>
    <x v="7"/>
    <n v="180380"/>
    <n v="0"/>
    <n v="180380"/>
    <x v="0"/>
    <x v="1"/>
    <n v="375437"/>
    <x v="6"/>
    <s v="Texora S.A"/>
  </r>
  <r>
    <m/>
    <s v="EGRESO"/>
    <d v="2022-04-22T00:00:00"/>
    <n v="4"/>
    <x v="0"/>
    <x v="0"/>
    <x v="7"/>
    <n v="0"/>
    <n v="180380"/>
    <n v="-180380"/>
    <x v="0"/>
    <x v="1"/>
    <n v="375437"/>
    <x v="6"/>
    <s v="Texora S.A"/>
  </r>
  <r>
    <m/>
    <s v="EGRESO"/>
    <d v="2022-04-26T00:00:00"/>
    <n v="4"/>
    <x v="1"/>
    <x v="12"/>
    <x v="7"/>
    <n v="107576"/>
    <n v="0"/>
    <n v="107576"/>
    <x v="0"/>
    <x v="1"/>
    <n v="375980"/>
    <x v="6"/>
    <s v="Texora S.A"/>
  </r>
  <r>
    <m/>
    <s v="EGRESO"/>
    <d v="2022-04-26T00:00:00"/>
    <n v="4"/>
    <x v="0"/>
    <x v="0"/>
    <x v="7"/>
    <n v="0"/>
    <n v="107576"/>
    <n v="-107576"/>
    <x v="0"/>
    <x v="1"/>
    <n v="375980"/>
    <x v="6"/>
    <s v="Texora S.A"/>
  </r>
  <r>
    <m/>
    <s v="EGRESO"/>
    <d v="2022-04-27T00:00:00"/>
    <n v="4"/>
    <x v="1"/>
    <x v="12"/>
    <x v="7"/>
    <n v="406099"/>
    <n v="0"/>
    <n v="406099"/>
    <x v="0"/>
    <x v="1"/>
    <n v="376174"/>
    <x v="6"/>
    <s v="Texora S.A"/>
  </r>
  <r>
    <m/>
    <s v="EGRESO"/>
    <d v="2022-04-27T00:00:00"/>
    <n v="4"/>
    <x v="0"/>
    <x v="0"/>
    <x v="7"/>
    <n v="0"/>
    <n v="406099"/>
    <n v="-406099"/>
    <x v="0"/>
    <x v="1"/>
    <n v="376174"/>
    <x v="6"/>
    <s v="Texora S.A"/>
  </r>
  <r>
    <m/>
    <s v="EGRESO"/>
    <d v="2022-04-27T00:00:00"/>
    <n v="4"/>
    <x v="1"/>
    <x v="12"/>
    <x v="7"/>
    <n v="58322"/>
    <n v="0"/>
    <n v="58322"/>
    <x v="0"/>
    <x v="1"/>
    <n v="29603"/>
    <x v="21"/>
    <s v="SOCIEDAD TEXORA WORKWEAR STORE CHILE SPA"/>
  </r>
  <r>
    <m/>
    <s v="EGRESO"/>
    <d v="2022-04-27T00:00:00"/>
    <n v="4"/>
    <x v="0"/>
    <x v="0"/>
    <x v="7"/>
    <n v="0"/>
    <n v="58322"/>
    <n v="-58322"/>
    <x v="0"/>
    <x v="1"/>
    <n v="29603"/>
    <x v="21"/>
    <s v="SOCIEDAD TEXORA WORKWEAR STORE CHILE SPA"/>
  </r>
  <r>
    <m/>
    <s v="EGRESO"/>
    <d v="2022-04-28T00:00:00"/>
    <n v="4"/>
    <x v="1"/>
    <x v="12"/>
    <x v="7"/>
    <n v="95081"/>
    <n v="0"/>
    <n v="95081"/>
    <x v="0"/>
    <x v="1"/>
    <n v="2407"/>
    <x v="24"/>
    <s v="CONFECCIONES ESMONT LIMITADA"/>
  </r>
  <r>
    <m/>
    <s v="EGRESO"/>
    <d v="2022-04-28T00:00:00"/>
    <n v="4"/>
    <x v="0"/>
    <x v="0"/>
    <x v="7"/>
    <n v="0"/>
    <n v="95081"/>
    <n v="-95081"/>
    <x v="0"/>
    <x v="1"/>
    <n v="2407"/>
    <x v="24"/>
    <s v="CONFECCIONES ESMONT LIMITADA"/>
  </r>
  <r>
    <m/>
    <s v="EGRESO"/>
    <d v="2022-04-28T00:00:00"/>
    <n v="4"/>
    <x v="1"/>
    <x v="12"/>
    <x v="7"/>
    <n v="24395"/>
    <n v="0"/>
    <n v="24395"/>
    <x v="0"/>
    <x v="1"/>
    <n v="21465"/>
    <x v="15"/>
    <s v="COMERCIAL TEXTIL LAMAS SPA"/>
  </r>
  <r>
    <m/>
    <s v="EGRESO"/>
    <d v="2022-04-28T00:00:00"/>
    <n v="4"/>
    <x v="0"/>
    <x v="0"/>
    <x v="7"/>
    <n v="0"/>
    <n v="24395"/>
    <n v="-24395"/>
    <x v="0"/>
    <x v="1"/>
    <n v="21465"/>
    <x v="15"/>
    <s v="COMERCIAL TEXTIL LAMAS SPA"/>
  </r>
  <r>
    <m/>
    <s v="EGRESO"/>
    <d v="2022-04-28T00:00:00"/>
    <n v="4"/>
    <x v="1"/>
    <x v="12"/>
    <x v="7"/>
    <n v="64195"/>
    <n v="0"/>
    <n v="64195"/>
    <x v="0"/>
    <x v="1"/>
    <n v="671752"/>
    <x v="5"/>
    <s v="Comercial Mundo Transfer Ltda"/>
  </r>
  <r>
    <m/>
    <s v="EGRESO"/>
    <d v="2022-04-28T00:00:00"/>
    <n v="4"/>
    <x v="0"/>
    <x v="0"/>
    <x v="7"/>
    <n v="0"/>
    <n v="64195"/>
    <n v="-64195"/>
    <x v="0"/>
    <x v="1"/>
    <n v="671752"/>
    <x v="5"/>
    <s v="Comercial Mundo Transfer Ltda"/>
  </r>
  <r>
    <m/>
    <s v="EGRESO"/>
    <d v="2022-04-28T00:00:00"/>
    <n v="4"/>
    <x v="1"/>
    <x v="12"/>
    <x v="7"/>
    <n v="176084"/>
    <n v="0"/>
    <n v="176084"/>
    <x v="0"/>
    <x v="1"/>
    <n v="376569"/>
    <x v="6"/>
    <s v="Texora S.A"/>
  </r>
  <r>
    <m/>
    <s v="EGRESO"/>
    <d v="2022-04-28T00:00:00"/>
    <n v="4"/>
    <x v="0"/>
    <x v="0"/>
    <x v="7"/>
    <n v="0"/>
    <n v="176084"/>
    <n v="-176084"/>
    <x v="0"/>
    <x v="1"/>
    <n v="376569"/>
    <x v="6"/>
    <s v="Texora S.A"/>
  </r>
  <r>
    <m/>
    <s v="EGRESO"/>
    <d v="2022-04-29T00:00:00"/>
    <n v="4"/>
    <x v="1"/>
    <x v="12"/>
    <x v="7"/>
    <n v="506535"/>
    <n v="0"/>
    <n v="506535"/>
    <x v="0"/>
    <x v="1"/>
    <n v="377108"/>
    <x v="6"/>
    <s v="Texora S.A"/>
  </r>
  <r>
    <m/>
    <s v="EGRESO"/>
    <d v="2022-04-29T00:00:00"/>
    <n v="4"/>
    <x v="0"/>
    <x v="0"/>
    <x v="7"/>
    <n v="0"/>
    <n v="506535"/>
    <n v="-506535"/>
    <x v="0"/>
    <x v="1"/>
    <n v="377108"/>
    <x v="6"/>
    <s v="Texora S.A"/>
  </r>
  <r>
    <m/>
    <s v="EGRESO"/>
    <d v="2022-04-14T00:00:00"/>
    <n v="4"/>
    <x v="1"/>
    <x v="12"/>
    <x v="7"/>
    <n v="111493"/>
    <n v="0"/>
    <n v="111493"/>
    <x v="0"/>
    <x v="3"/>
    <n v="85"/>
    <x v="16"/>
    <s v="SIMPLE TAX SPA"/>
  </r>
  <r>
    <m/>
    <s v="EGRESO"/>
    <d v="2022-04-14T00:00:00"/>
    <n v="4"/>
    <x v="0"/>
    <x v="0"/>
    <x v="7"/>
    <n v="0"/>
    <n v="111493"/>
    <n v="-111493"/>
    <x v="0"/>
    <x v="3"/>
    <n v="85"/>
    <x v="16"/>
    <s v="SIMPLE TAX SPA"/>
  </r>
  <r>
    <m/>
    <s v="EGRESO"/>
    <d v="2022-05-03T00:00:00"/>
    <n v="5"/>
    <x v="1"/>
    <x v="12"/>
    <x v="7"/>
    <n v="22850"/>
    <n v="0"/>
    <n v="22850"/>
    <x v="0"/>
    <x v="1"/>
    <n v="43169"/>
    <x v="13"/>
    <s v="INVERSIONES SIRACUSA SPA"/>
  </r>
  <r>
    <m/>
    <s v="EGRESO"/>
    <d v="2022-05-03T00:00:00"/>
    <n v="5"/>
    <x v="0"/>
    <x v="0"/>
    <x v="7"/>
    <n v="0"/>
    <n v="22850"/>
    <n v="-22850"/>
    <x v="0"/>
    <x v="1"/>
    <n v="43169"/>
    <x v="13"/>
    <s v="INVERSIONES SIRACUSA SPA"/>
  </r>
  <r>
    <m/>
    <s v="EGRESO"/>
    <d v="2022-05-05T00:00:00"/>
    <n v="5"/>
    <x v="1"/>
    <x v="12"/>
    <x v="7"/>
    <n v="85466"/>
    <n v="0"/>
    <n v="85466"/>
    <x v="0"/>
    <x v="1"/>
    <n v="1783"/>
    <x v="19"/>
    <s v="TEXTIL HAPI LIMITADA"/>
  </r>
  <r>
    <m/>
    <s v="EGRESO"/>
    <d v="2022-05-05T00:00:00"/>
    <n v="5"/>
    <x v="0"/>
    <x v="0"/>
    <x v="7"/>
    <n v="0"/>
    <n v="85466"/>
    <n v="-85466"/>
    <x v="0"/>
    <x v="1"/>
    <n v="1783"/>
    <x v="19"/>
    <s v="TEXTIL HAPI LIMITADA"/>
  </r>
  <r>
    <m/>
    <s v="EGRESO"/>
    <d v="2022-05-10T00:00:00"/>
    <n v="5"/>
    <x v="1"/>
    <x v="12"/>
    <x v="7"/>
    <n v="24900"/>
    <n v="0"/>
    <n v="24900"/>
    <x v="0"/>
    <x v="1"/>
    <n v="9903"/>
    <x v="11"/>
    <s v="COMERCIALIZADORA COTTONEXT LIMITADA"/>
  </r>
  <r>
    <m/>
    <s v="EGRESO"/>
    <d v="2022-05-10T00:00:00"/>
    <n v="5"/>
    <x v="0"/>
    <x v="0"/>
    <x v="7"/>
    <n v="0"/>
    <n v="24900"/>
    <n v="-24900"/>
    <x v="0"/>
    <x v="1"/>
    <n v="9903"/>
    <x v="11"/>
    <s v="COMERCIALIZADORA COTTONEXT LIMITADA"/>
  </r>
  <r>
    <m/>
    <s v="EGRESO"/>
    <d v="2022-05-10T00:00:00"/>
    <n v="5"/>
    <x v="1"/>
    <x v="12"/>
    <x v="7"/>
    <n v="14500"/>
    <n v="0"/>
    <n v="14500"/>
    <x v="0"/>
    <x v="1"/>
    <n v="43403"/>
    <x v="13"/>
    <s v="INVERSIONES SIRACUSA SPA"/>
  </r>
  <r>
    <m/>
    <s v="EGRESO"/>
    <d v="2022-05-10T00:00:00"/>
    <n v="5"/>
    <x v="0"/>
    <x v="0"/>
    <x v="7"/>
    <n v="0"/>
    <n v="14500"/>
    <n v="-14500"/>
    <x v="0"/>
    <x v="1"/>
    <n v="43403"/>
    <x v="13"/>
    <s v="INVERSIONES SIRACUSA SPA"/>
  </r>
  <r>
    <m/>
    <s v="EGRESO"/>
    <d v="2022-05-10T00:00:00"/>
    <n v="5"/>
    <x v="1"/>
    <x v="12"/>
    <x v="7"/>
    <n v="348021"/>
    <n v="0"/>
    <n v="348021"/>
    <x v="0"/>
    <x v="1"/>
    <n v="172737"/>
    <x v="7"/>
    <s v="MICROGEO S.A."/>
  </r>
  <r>
    <m/>
    <s v="EGRESO"/>
    <d v="2022-05-10T00:00:00"/>
    <n v="5"/>
    <x v="0"/>
    <x v="0"/>
    <x v="7"/>
    <n v="0"/>
    <n v="348021"/>
    <n v="-348021"/>
    <x v="0"/>
    <x v="1"/>
    <n v="172737"/>
    <x v="7"/>
    <s v="MICROGEO S.A."/>
  </r>
  <r>
    <m/>
    <s v="EGRESO"/>
    <d v="2022-05-10T00:00:00"/>
    <n v="5"/>
    <x v="1"/>
    <x v="12"/>
    <x v="7"/>
    <n v="4900"/>
    <n v="0"/>
    <n v="4900"/>
    <x v="0"/>
    <x v="1"/>
    <n v="1928628"/>
    <x v="25"/>
    <s v="PULLMAN CARGO S.A"/>
  </r>
  <r>
    <m/>
    <s v="EGRESO"/>
    <d v="2022-05-10T00:00:00"/>
    <n v="5"/>
    <x v="0"/>
    <x v="0"/>
    <x v="7"/>
    <n v="0"/>
    <n v="4900"/>
    <n v="-4900"/>
    <x v="0"/>
    <x v="1"/>
    <n v="1928628"/>
    <x v="25"/>
    <s v="PULLMAN CARGO S.A"/>
  </r>
  <r>
    <m/>
    <s v="EGRESO"/>
    <d v="2022-05-10T00:00:00"/>
    <n v="5"/>
    <x v="1"/>
    <x v="12"/>
    <x v="7"/>
    <n v="717106"/>
    <n v="0"/>
    <n v="717106"/>
    <x v="0"/>
    <x v="1"/>
    <n v="378905"/>
    <x v="6"/>
    <s v="Texora S.A"/>
  </r>
  <r>
    <m/>
    <s v="EGRESO"/>
    <d v="2022-05-10T00:00:00"/>
    <n v="5"/>
    <x v="0"/>
    <x v="0"/>
    <x v="7"/>
    <n v="0"/>
    <n v="717106"/>
    <n v="-717106"/>
    <x v="0"/>
    <x v="1"/>
    <n v="378905"/>
    <x v="6"/>
    <s v="Texora S.A"/>
  </r>
  <r>
    <m/>
    <s v="EGRESO"/>
    <d v="2022-05-17T00:00:00"/>
    <n v="5"/>
    <x v="1"/>
    <x v="12"/>
    <x v="7"/>
    <n v="14591"/>
    <n v="0"/>
    <n v="14591"/>
    <x v="0"/>
    <x v="1"/>
    <n v="30653"/>
    <x v="21"/>
    <s v="SOCIEDAD TEXORA WORKWEAR STORE CHILE SPA"/>
  </r>
  <r>
    <m/>
    <s v="EGRESO"/>
    <d v="2022-05-17T00:00:00"/>
    <n v="5"/>
    <x v="0"/>
    <x v="0"/>
    <x v="7"/>
    <n v="0"/>
    <n v="14591"/>
    <n v="-14591"/>
    <x v="0"/>
    <x v="1"/>
    <n v="30653"/>
    <x v="21"/>
    <s v="SOCIEDAD TEXORA WORKWEAR STORE CHILE SPA"/>
  </r>
  <r>
    <m/>
    <s v="EGRESO"/>
    <d v="2022-05-19T00:00:00"/>
    <n v="5"/>
    <x v="1"/>
    <x v="12"/>
    <x v="7"/>
    <n v="278340"/>
    <n v="0"/>
    <n v="278340"/>
    <x v="0"/>
    <x v="1"/>
    <n v="349296"/>
    <x v="23"/>
    <s v="Sociedad Importadora Maritex Spa"/>
  </r>
  <r>
    <m/>
    <s v="EGRESO"/>
    <d v="2022-05-19T00:00:00"/>
    <n v="5"/>
    <x v="0"/>
    <x v="0"/>
    <x v="7"/>
    <n v="0"/>
    <n v="278340"/>
    <n v="-278340"/>
    <x v="0"/>
    <x v="1"/>
    <n v="349296"/>
    <x v="23"/>
    <s v="Sociedad Importadora Maritex Spa"/>
  </r>
  <r>
    <m/>
    <s v="EGRESO"/>
    <d v="2022-05-16T00:00:00"/>
    <n v="5"/>
    <x v="1"/>
    <x v="12"/>
    <x v="7"/>
    <n v="42960"/>
    <n v="0"/>
    <n v="42960"/>
    <x v="0"/>
    <x v="1"/>
    <n v="10045091"/>
    <x v="9"/>
    <s v="WOM S.A."/>
  </r>
  <r>
    <m/>
    <s v="EGRESO"/>
    <d v="2022-05-16T00:00:00"/>
    <n v="5"/>
    <x v="0"/>
    <x v="0"/>
    <x v="7"/>
    <n v="0"/>
    <n v="42960"/>
    <n v="-42960"/>
    <x v="0"/>
    <x v="1"/>
    <n v="10045091"/>
    <x v="9"/>
    <s v="WOM S.A."/>
  </r>
  <r>
    <m/>
    <s v="EGRESO"/>
    <d v="2022-05-20T00:00:00"/>
    <n v="5"/>
    <x v="1"/>
    <x v="12"/>
    <x v="7"/>
    <n v="115799"/>
    <n v="0"/>
    <n v="115799"/>
    <x v="0"/>
    <x v="1"/>
    <n v="676306"/>
    <x v="5"/>
    <s v="Comercial Mundo Transfer Ltda"/>
  </r>
  <r>
    <m/>
    <s v="EGRESO"/>
    <d v="2022-05-20T00:00:00"/>
    <n v="5"/>
    <x v="0"/>
    <x v="0"/>
    <x v="7"/>
    <n v="0"/>
    <n v="115799"/>
    <n v="-115799"/>
    <x v="0"/>
    <x v="1"/>
    <n v="676306"/>
    <x v="5"/>
    <s v="Comercial Mundo Transfer Ltda"/>
  </r>
  <r>
    <m/>
    <s v="EGRESO"/>
    <d v="2022-05-20T00:00:00"/>
    <n v="5"/>
    <x v="1"/>
    <x v="12"/>
    <x v="7"/>
    <n v="332503"/>
    <n v="0"/>
    <n v="332503"/>
    <x v="0"/>
    <x v="1"/>
    <n v="349537"/>
    <x v="23"/>
    <s v="Sociedad Importadora Maritex Spa"/>
  </r>
  <r>
    <m/>
    <s v="EGRESO"/>
    <d v="2022-05-20T00:00:00"/>
    <n v="5"/>
    <x v="0"/>
    <x v="0"/>
    <x v="7"/>
    <n v="0"/>
    <n v="332503"/>
    <n v="-332503"/>
    <x v="0"/>
    <x v="1"/>
    <n v="349537"/>
    <x v="23"/>
    <s v="Sociedad Importadora Maritex Spa"/>
  </r>
  <r>
    <m/>
    <s v="EGRESO"/>
    <d v="2022-05-23T00:00:00"/>
    <n v="5"/>
    <x v="1"/>
    <x v="12"/>
    <x v="7"/>
    <n v="543604"/>
    <n v="0"/>
    <n v="543604"/>
    <x v="0"/>
    <x v="1"/>
    <n v="381092"/>
    <x v="6"/>
    <s v="Texora S.A"/>
  </r>
  <r>
    <m/>
    <s v="EGRESO"/>
    <d v="2022-05-23T00:00:00"/>
    <n v="5"/>
    <x v="0"/>
    <x v="0"/>
    <x v="7"/>
    <n v="0"/>
    <n v="543604"/>
    <n v="-543604"/>
    <x v="0"/>
    <x v="1"/>
    <n v="381092"/>
    <x v="6"/>
    <s v="Texora S.A"/>
  </r>
  <r>
    <m/>
    <s v="EGRESO"/>
    <d v="2022-05-30T00:00:00"/>
    <n v="5"/>
    <x v="1"/>
    <x v="12"/>
    <x v="7"/>
    <n v="1070643"/>
    <n v="0"/>
    <n v="1070643"/>
    <x v="0"/>
    <x v="1"/>
    <n v="382560"/>
    <x v="6"/>
    <s v="Texora S.A"/>
  </r>
  <r>
    <m/>
    <s v="EGRESO"/>
    <d v="2022-05-30T00:00:00"/>
    <n v="5"/>
    <x v="0"/>
    <x v="0"/>
    <x v="7"/>
    <n v="0"/>
    <n v="1070643"/>
    <n v="-1070643"/>
    <x v="0"/>
    <x v="1"/>
    <n v="382560"/>
    <x v="6"/>
    <s v="Texora S.A"/>
  </r>
  <r>
    <m/>
    <s v="EGRESO"/>
    <d v="2022-05-31T00:00:00"/>
    <n v="5"/>
    <x v="1"/>
    <x v="12"/>
    <x v="7"/>
    <n v="59976"/>
    <n v="0"/>
    <n v="59976"/>
    <x v="0"/>
    <x v="1"/>
    <n v="1834"/>
    <x v="19"/>
    <s v="TEXTIL HAPI LIMITADA"/>
  </r>
  <r>
    <m/>
    <s v="EGRESO"/>
    <d v="2022-05-31T00:00:00"/>
    <n v="5"/>
    <x v="0"/>
    <x v="0"/>
    <x v="7"/>
    <n v="0"/>
    <n v="59976"/>
    <n v="-59976"/>
    <x v="0"/>
    <x v="1"/>
    <n v="1834"/>
    <x v="19"/>
    <s v="TEXTIL HAPI LIMITADA"/>
  </r>
  <r>
    <m/>
    <s v="EGRESO"/>
    <d v="2022-05-31T00:00:00"/>
    <n v="5"/>
    <x v="1"/>
    <x v="12"/>
    <x v="7"/>
    <n v="93891"/>
    <n v="0"/>
    <n v="93891"/>
    <x v="0"/>
    <x v="1"/>
    <n v="382796"/>
    <x v="6"/>
    <s v="Texora S.A"/>
  </r>
  <r>
    <m/>
    <s v="EGRESO"/>
    <d v="2022-05-31T00:00:00"/>
    <n v="5"/>
    <x v="0"/>
    <x v="0"/>
    <x v="7"/>
    <n v="0"/>
    <n v="93891"/>
    <n v="-93891"/>
    <x v="0"/>
    <x v="1"/>
    <n v="382796"/>
    <x v="6"/>
    <s v="Texora S.A"/>
  </r>
  <r>
    <m/>
    <s v="EGRESO"/>
    <d v="2022-05-31T00:00:00"/>
    <n v="5"/>
    <x v="1"/>
    <x v="12"/>
    <x v="7"/>
    <n v="18701"/>
    <n v="0"/>
    <n v="18701"/>
    <x v="0"/>
    <x v="1"/>
    <n v="18"/>
    <x v="26"/>
    <s v="TODO EMPAQUE SPA"/>
  </r>
  <r>
    <m/>
    <s v="EGRESO"/>
    <d v="2022-05-31T00:00:00"/>
    <n v="5"/>
    <x v="0"/>
    <x v="0"/>
    <x v="7"/>
    <n v="0"/>
    <n v="18701"/>
    <n v="-18701"/>
    <x v="0"/>
    <x v="1"/>
    <n v="18"/>
    <x v="26"/>
    <s v="TODO EMPAQUE SPA"/>
  </r>
  <r>
    <m/>
    <s v="EGRESO"/>
    <d v="2022-05-17T00:00:00"/>
    <n v="5"/>
    <x v="1"/>
    <x v="12"/>
    <x v="7"/>
    <n v="112618"/>
    <n v="0"/>
    <n v="112618"/>
    <x v="0"/>
    <x v="3"/>
    <n v="92"/>
    <x v="16"/>
    <s v="SIMPLE TAX SPA"/>
  </r>
  <r>
    <m/>
    <s v="EGRESO"/>
    <d v="2022-05-17T00:00:00"/>
    <n v="5"/>
    <x v="0"/>
    <x v="0"/>
    <x v="7"/>
    <n v="0"/>
    <n v="112618"/>
    <n v="-112618"/>
    <x v="0"/>
    <x v="3"/>
    <n v="92"/>
    <x v="16"/>
    <s v="SIMPLE TAX SPA"/>
  </r>
  <r>
    <m/>
    <s v="EGRESO"/>
    <d v="2022-05-24T00:00:00"/>
    <n v="6"/>
    <x v="1"/>
    <x v="12"/>
    <x v="7"/>
    <n v="4000"/>
    <n v="0"/>
    <n v="4000"/>
    <x v="0"/>
    <x v="1"/>
    <n v="155327"/>
    <x v="3"/>
    <s v="TEXTIL SUMEY LTDA"/>
  </r>
  <r>
    <m/>
    <s v="EGRESO"/>
    <d v="2022-05-24T00:00:00"/>
    <n v="6"/>
    <x v="0"/>
    <x v="0"/>
    <x v="7"/>
    <n v="0"/>
    <n v="4000"/>
    <n v="-4000"/>
    <x v="0"/>
    <x v="1"/>
    <n v="155327"/>
    <x v="3"/>
    <s v="TEXTIL SUMEY LTDA"/>
  </r>
  <r>
    <m/>
    <s v="EGRESO"/>
    <d v="2022-05-25T00:00:00"/>
    <n v="6"/>
    <x v="1"/>
    <x v="12"/>
    <x v="7"/>
    <n v="64900"/>
    <n v="0"/>
    <n v="64900"/>
    <x v="0"/>
    <x v="1"/>
    <n v="155441"/>
    <x v="3"/>
    <s v="TEXTIL SUMEY LTDA"/>
  </r>
  <r>
    <m/>
    <s v="EGRESO"/>
    <d v="2022-05-25T00:00:00"/>
    <n v="6"/>
    <x v="0"/>
    <x v="0"/>
    <x v="7"/>
    <n v="0"/>
    <n v="64900"/>
    <n v="-64900"/>
    <x v="0"/>
    <x v="1"/>
    <n v="155441"/>
    <x v="3"/>
    <s v="TEXTIL SUMEY LTDA"/>
  </r>
  <r>
    <m/>
    <s v="EGRESO"/>
    <d v="2022-05-26T00:00:00"/>
    <n v="6"/>
    <x v="1"/>
    <x v="12"/>
    <x v="7"/>
    <n v="266014"/>
    <n v="0"/>
    <n v="266014"/>
    <x v="0"/>
    <x v="1"/>
    <n v="301273"/>
    <x v="12"/>
    <s v="COMERCIAL SATEX LTDA"/>
  </r>
  <r>
    <m/>
    <s v="EGRESO"/>
    <d v="2022-05-26T00:00:00"/>
    <n v="6"/>
    <x v="0"/>
    <x v="0"/>
    <x v="7"/>
    <n v="0"/>
    <n v="266014"/>
    <n v="-266014"/>
    <x v="0"/>
    <x v="1"/>
    <n v="301273"/>
    <x v="12"/>
    <s v="COMERCIAL SATEX LTDA"/>
  </r>
  <r>
    <m/>
    <s v="EGRESO"/>
    <d v="2022-05-31T00:00:00"/>
    <n v="6"/>
    <x v="1"/>
    <x v="12"/>
    <x v="7"/>
    <n v="29500"/>
    <n v="0"/>
    <n v="29500"/>
    <x v="0"/>
    <x v="1"/>
    <n v="155656"/>
    <x v="3"/>
    <s v="TEXTIL SUMEY LTDA"/>
  </r>
  <r>
    <m/>
    <s v="EGRESO"/>
    <d v="2022-05-31T00:00:00"/>
    <n v="6"/>
    <x v="0"/>
    <x v="0"/>
    <x v="7"/>
    <n v="0"/>
    <n v="29500"/>
    <n v="-29500"/>
    <x v="0"/>
    <x v="1"/>
    <n v="155656"/>
    <x v="3"/>
    <s v="TEXTIL SUMEY LTDA"/>
  </r>
  <r>
    <m/>
    <s v="EGRESO"/>
    <d v="2022-06-06T00:00:00"/>
    <n v="6"/>
    <x v="1"/>
    <x v="12"/>
    <x v="7"/>
    <n v="35664"/>
    <n v="0"/>
    <n v="35664"/>
    <x v="0"/>
    <x v="1"/>
    <n v="8048"/>
    <x v="27"/>
    <s v="MAXTAR SPA"/>
  </r>
  <r>
    <m/>
    <s v="EGRESO"/>
    <d v="2022-06-06T00:00:00"/>
    <n v="6"/>
    <x v="0"/>
    <x v="0"/>
    <x v="7"/>
    <n v="0"/>
    <n v="35664"/>
    <n v="-35664"/>
    <x v="0"/>
    <x v="1"/>
    <n v="8048"/>
    <x v="27"/>
    <s v="MAXTAR SPA"/>
  </r>
  <r>
    <m/>
    <s v="EGRESO"/>
    <d v="2022-06-08T00:00:00"/>
    <n v="6"/>
    <x v="1"/>
    <x v="12"/>
    <x v="7"/>
    <n v="245973"/>
    <n v="0"/>
    <n v="245973"/>
    <x v="0"/>
    <x v="1"/>
    <n v="384375"/>
    <x v="6"/>
    <s v="Texora S.A"/>
  </r>
  <r>
    <m/>
    <s v="EGRESO"/>
    <d v="2022-06-08T00:00:00"/>
    <n v="6"/>
    <x v="0"/>
    <x v="0"/>
    <x v="7"/>
    <n v="0"/>
    <n v="245973"/>
    <n v="-245973"/>
    <x v="0"/>
    <x v="1"/>
    <n v="384375"/>
    <x v="6"/>
    <s v="Texora S.A"/>
  </r>
  <r>
    <m/>
    <s v="EGRESO"/>
    <d v="2022-06-08T00:00:00"/>
    <n v="6"/>
    <x v="1"/>
    <x v="12"/>
    <x v="7"/>
    <n v="298119"/>
    <n v="0"/>
    <n v="298119"/>
    <x v="0"/>
    <x v="1"/>
    <n v="384380"/>
    <x v="6"/>
    <s v="Texora S.A"/>
  </r>
  <r>
    <m/>
    <s v="EGRESO"/>
    <d v="2022-06-08T00:00:00"/>
    <n v="6"/>
    <x v="0"/>
    <x v="0"/>
    <x v="7"/>
    <n v="0"/>
    <n v="298119"/>
    <n v="-298119"/>
    <x v="0"/>
    <x v="1"/>
    <n v="384380"/>
    <x v="6"/>
    <s v="Texora S.A"/>
  </r>
  <r>
    <m/>
    <s v="EGRESO"/>
    <d v="2022-06-09T00:00:00"/>
    <n v="6"/>
    <x v="1"/>
    <x v="12"/>
    <x v="7"/>
    <n v="245973"/>
    <n v="0"/>
    <n v="245973"/>
    <x v="0"/>
    <x v="1"/>
    <n v="384597"/>
    <x v="6"/>
    <s v="Texora S.A"/>
  </r>
  <r>
    <m/>
    <s v="EGRESO"/>
    <d v="2022-06-09T00:00:00"/>
    <n v="6"/>
    <x v="0"/>
    <x v="0"/>
    <x v="7"/>
    <n v="0"/>
    <n v="245973"/>
    <n v="-245973"/>
    <x v="0"/>
    <x v="1"/>
    <n v="384597"/>
    <x v="6"/>
    <s v="Texora S.A"/>
  </r>
  <r>
    <m/>
    <s v="EGRESO"/>
    <d v="2022-06-13T00:00:00"/>
    <n v="6"/>
    <x v="1"/>
    <x v="12"/>
    <x v="7"/>
    <n v="471490"/>
    <n v="0"/>
    <n v="471490"/>
    <x v="0"/>
    <x v="1"/>
    <n v="385254"/>
    <x v="6"/>
    <s v="Texora S.A"/>
  </r>
  <r>
    <m/>
    <s v="EGRESO"/>
    <d v="2022-06-13T00:00:00"/>
    <n v="6"/>
    <x v="0"/>
    <x v="0"/>
    <x v="7"/>
    <n v="0"/>
    <n v="471490"/>
    <n v="-471490"/>
    <x v="0"/>
    <x v="1"/>
    <n v="385254"/>
    <x v="6"/>
    <s v="Texora S.A"/>
  </r>
  <r>
    <m/>
    <s v="EGRESO"/>
    <d v="2022-06-14T00:00:00"/>
    <n v="6"/>
    <x v="1"/>
    <x v="12"/>
    <x v="7"/>
    <n v="36405"/>
    <n v="0"/>
    <n v="36405"/>
    <x v="0"/>
    <x v="1"/>
    <n v="2916332"/>
    <x v="28"/>
    <s v="Universidad de Chile"/>
  </r>
  <r>
    <m/>
    <s v="EGRESO"/>
    <d v="2022-06-14T00:00:00"/>
    <n v="6"/>
    <x v="0"/>
    <x v="0"/>
    <x v="7"/>
    <n v="0"/>
    <n v="36405"/>
    <n v="-36405"/>
    <x v="0"/>
    <x v="1"/>
    <n v="2916332"/>
    <x v="28"/>
    <s v="Universidad de Chile"/>
  </r>
  <r>
    <m/>
    <s v="EGRESO"/>
    <d v="2022-06-15T00:00:00"/>
    <n v="6"/>
    <x v="1"/>
    <x v="12"/>
    <x v="7"/>
    <n v="20171"/>
    <n v="0"/>
    <n v="20171"/>
    <x v="0"/>
    <x v="1"/>
    <n v="385678"/>
    <x v="6"/>
    <s v="Texora S.A"/>
  </r>
  <r>
    <m/>
    <s v="EGRESO"/>
    <d v="2022-06-15T00:00:00"/>
    <n v="6"/>
    <x v="0"/>
    <x v="0"/>
    <x v="7"/>
    <n v="0"/>
    <n v="20171"/>
    <n v="-20171"/>
    <x v="0"/>
    <x v="1"/>
    <n v="385678"/>
    <x v="6"/>
    <s v="Texora S.A"/>
  </r>
  <r>
    <m/>
    <s v="EGRESO"/>
    <d v="2022-06-16T00:00:00"/>
    <n v="6"/>
    <x v="1"/>
    <x v="12"/>
    <x v="7"/>
    <n v="78469"/>
    <n v="0"/>
    <n v="78469"/>
    <x v="0"/>
    <x v="1"/>
    <n v="33279"/>
    <x v="29"/>
    <s v="Torino SPA"/>
  </r>
  <r>
    <m/>
    <s v="EGRESO"/>
    <d v="2022-06-16T00:00:00"/>
    <n v="6"/>
    <x v="0"/>
    <x v="0"/>
    <x v="7"/>
    <n v="0"/>
    <n v="78469"/>
    <n v="-78469"/>
    <x v="0"/>
    <x v="1"/>
    <n v="33279"/>
    <x v="29"/>
    <s v="Torino SPA"/>
  </r>
  <r>
    <m/>
    <s v="EGRESO"/>
    <d v="2022-06-16T00:00:00"/>
    <n v="6"/>
    <x v="1"/>
    <x v="12"/>
    <x v="7"/>
    <n v="406504"/>
    <n v="0"/>
    <n v="406504"/>
    <x v="0"/>
    <x v="1"/>
    <n v="386158"/>
    <x v="6"/>
    <s v="Texora S.A"/>
  </r>
  <r>
    <m/>
    <s v="EGRESO"/>
    <d v="2022-06-16T00:00:00"/>
    <n v="6"/>
    <x v="0"/>
    <x v="0"/>
    <x v="7"/>
    <n v="0"/>
    <n v="406504"/>
    <n v="-406504"/>
    <x v="0"/>
    <x v="1"/>
    <n v="386158"/>
    <x v="6"/>
    <s v="Texora S.A"/>
  </r>
  <r>
    <m/>
    <s v="EGRESO"/>
    <d v="2022-06-22T00:00:00"/>
    <n v="6"/>
    <x v="1"/>
    <x v="12"/>
    <x v="7"/>
    <n v="289575"/>
    <n v="0"/>
    <n v="289575"/>
    <x v="0"/>
    <x v="1"/>
    <n v="386988"/>
    <x v="6"/>
    <s v="Texora S.A"/>
  </r>
  <r>
    <m/>
    <s v="EGRESO"/>
    <d v="2022-06-22T00:00:00"/>
    <n v="6"/>
    <x v="0"/>
    <x v="0"/>
    <x v="7"/>
    <n v="0"/>
    <n v="289575"/>
    <n v="-289575"/>
    <x v="0"/>
    <x v="1"/>
    <n v="386988"/>
    <x v="6"/>
    <s v="Texora S.A"/>
  </r>
  <r>
    <m/>
    <s v="EGRESO"/>
    <d v="2022-06-16T00:00:00"/>
    <n v="6"/>
    <x v="1"/>
    <x v="12"/>
    <x v="7"/>
    <n v="42960"/>
    <n v="0"/>
    <n v="42960"/>
    <x v="0"/>
    <x v="1"/>
    <n v="10199231"/>
    <x v="9"/>
    <s v="WOM S.A."/>
  </r>
  <r>
    <m/>
    <s v="EGRESO"/>
    <d v="2022-06-16T00:00:00"/>
    <n v="6"/>
    <x v="0"/>
    <x v="0"/>
    <x v="7"/>
    <n v="0"/>
    <n v="42960"/>
    <n v="-42960"/>
    <x v="0"/>
    <x v="1"/>
    <n v="10199231"/>
    <x v="9"/>
    <s v="WOM S.A."/>
  </r>
  <r>
    <m/>
    <s v="EGRESO"/>
    <d v="2022-06-23T00:00:00"/>
    <n v="6"/>
    <x v="1"/>
    <x v="12"/>
    <x v="7"/>
    <n v="136434"/>
    <n v="0"/>
    <n v="136434"/>
    <x v="0"/>
    <x v="1"/>
    <n v="387267"/>
    <x v="6"/>
    <s v="Texora S.A"/>
  </r>
  <r>
    <m/>
    <s v="EGRESO"/>
    <d v="2022-06-23T00:00:00"/>
    <n v="6"/>
    <x v="0"/>
    <x v="0"/>
    <x v="7"/>
    <n v="0"/>
    <n v="136434"/>
    <n v="-136434"/>
    <x v="0"/>
    <x v="1"/>
    <n v="387267"/>
    <x v="6"/>
    <s v="Texora S.A"/>
  </r>
  <r>
    <m/>
    <s v="EGRESO"/>
    <d v="2022-06-23T00:00:00"/>
    <n v="6"/>
    <x v="1"/>
    <x v="12"/>
    <x v="7"/>
    <n v="74927"/>
    <n v="0"/>
    <n v="74927"/>
    <x v="0"/>
    <x v="1"/>
    <n v="32885"/>
    <x v="21"/>
    <s v="SOCIEDAD TEXORA WORKWEAR STORE CHILE SPA"/>
  </r>
  <r>
    <m/>
    <s v="EGRESO"/>
    <d v="2022-06-23T00:00:00"/>
    <n v="6"/>
    <x v="0"/>
    <x v="0"/>
    <x v="7"/>
    <n v="0"/>
    <n v="74927"/>
    <n v="-74927"/>
    <x v="0"/>
    <x v="1"/>
    <n v="32885"/>
    <x v="21"/>
    <s v="SOCIEDAD TEXORA WORKWEAR STORE CHILE SPA"/>
  </r>
  <r>
    <m/>
    <s v="EGRESO"/>
    <d v="2022-06-28T00:00:00"/>
    <n v="6"/>
    <x v="1"/>
    <x v="12"/>
    <x v="7"/>
    <n v="32796"/>
    <n v="0"/>
    <n v="32796"/>
    <x v="0"/>
    <x v="1"/>
    <n v="388255"/>
    <x v="6"/>
    <s v="Texora S.A"/>
  </r>
  <r>
    <m/>
    <s v="EGRESO"/>
    <d v="2022-06-28T00:00:00"/>
    <n v="6"/>
    <x v="0"/>
    <x v="0"/>
    <x v="7"/>
    <n v="0"/>
    <n v="32796"/>
    <n v="-32796"/>
    <x v="0"/>
    <x v="1"/>
    <n v="388255"/>
    <x v="6"/>
    <s v="Texora S.A"/>
  </r>
  <r>
    <m/>
    <s v="EGRESO"/>
    <d v="2022-06-29T00:00:00"/>
    <n v="6"/>
    <x v="1"/>
    <x v="12"/>
    <x v="7"/>
    <n v="84490"/>
    <n v="0"/>
    <n v="84490"/>
    <x v="0"/>
    <x v="1"/>
    <n v="388495"/>
    <x v="6"/>
    <s v="Texora S.A"/>
  </r>
  <r>
    <m/>
    <s v="EGRESO"/>
    <d v="2022-06-29T00:00:00"/>
    <n v="6"/>
    <x v="0"/>
    <x v="0"/>
    <x v="7"/>
    <n v="0"/>
    <n v="84490"/>
    <n v="-84490"/>
    <x v="0"/>
    <x v="1"/>
    <n v="388495"/>
    <x v="6"/>
    <s v="Texora S.A"/>
  </r>
  <r>
    <m/>
    <s v="EGRESO"/>
    <d v="2022-06-10T00:00:00"/>
    <n v="6"/>
    <x v="1"/>
    <x v="12"/>
    <x v="7"/>
    <n v="114377"/>
    <n v="0"/>
    <n v="114377"/>
    <x v="0"/>
    <x v="3"/>
    <n v="98"/>
    <x v="16"/>
    <s v="SIMPLE TAX SPA"/>
  </r>
  <r>
    <m/>
    <s v="EGRESO"/>
    <d v="2022-06-10T00:00:00"/>
    <n v="6"/>
    <x v="0"/>
    <x v="0"/>
    <x v="7"/>
    <n v="0"/>
    <n v="114377"/>
    <n v="-114377"/>
    <x v="0"/>
    <x v="3"/>
    <n v="98"/>
    <x v="16"/>
    <s v="SIMPLE TAX SPA"/>
  </r>
  <r>
    <m/>
    <s v="EGRESO"/>
    <d v="2022-07-04T00:00:00"/>
    <n v="7"/>
    <x v="1"/>
    <x v="12"/>
    <x v="7"/>
    <n v="209464"/>
    <n v="0"/>
    <n v="209464"/>
    <x v="0"/>
    <x v="1"/>
    <n v="389080"/>
    <x v="6"/>
    <s v="Texora S.A"/>
  </r>
  <r>
    <m/>
    <s v="EGRESO"/>
    <d v="2022-07-04T00:00:00"/>
    <n v="7"/>
    <x v="0"/>
    <x v="0"/>
    <x v="7"/>
    <n v="0"/>
    <n v="209464"/>
    <n v="-209464"/>
    <x v="0"/>
    <x v="1"/>
    <n v="389080"/>
    <x v="6"/>
    <s v="Texora S.A"/>
  </r>
  <r>
    <m/>
    <s v="EGRESO"/>
    <d v="2022-07-08T00:00:00"/>
    <n v="7"/>
    <x v="1"/>
    <x v="12"/>
    <x v="7"/>
    <n v="12000"/>
    <n v="0"/>
    <n v="12000"/>
    <x v="0"/>
    <x v="1"/>
    <n v="18005"/>
    <x v="18"/>
    <s v="COMERCIALIZADORA KASPI LTDA."/>
  </r>
  <r>
    <m/>
    <s v="EGRESO"/>
    <d v="2022-07-08T00:00:00"/>
    <n v="7"/>
    <x v="0"/>
    <x v="0"/>
    <x v="7"/>
    <n v="0"/>
    <n v="12000"/>
    <n v="-12000"/>
    <x v="0"/>
    <x v="1"/>
    <n v="18005"/>
    <x v="18"/>
    <s v="COMERCIALIZADORA KASPI LTDA."/>
  </r>
  <r>
    <m/>
    <s v="EGRESO"/>
    <d v="2022-07-14T00:00:00"/>
    <n v="7"/>
    <x v="1"/>
    <x v="12"/>
    <x v="7"/>
    <n v="95152"/>
    <n v="0"/>
    <n v="95152"/>
    <x v="0"/>
    <x v="1"/>
    <n v="390768"/>
    <x v="6"/>
    <s v="Texora S.A"/>
  </r>
  <r>
    <m/>
    <s v="EGRESO"/>
    <d v="2022-07-14T00:00:00"/>
    <n v="7"/>
    <x v="0"/>
    <x v="0"/>
    <x v="7"/>
    <n v="0"/>
    <n v="95152"/>
    <n v="-95152"/>
    <x v="0"/>
    <x v="1"/>
    <n v="390768"/>
    <x v="6"/>
    <s v="Texora S.A"/>
  </r>
  <r>
    <m/>
    <s v="EGRESO"/>
    <d v="2022-07-15T00:00:00"/>
    <n v="7"/>
    <x v="1"/>
    <x v="12"/>
    <x v="7"/>
    <n v="69947"/>
    <n v="0"/>
    <n v="69947"/>
    <x v="0"/>
    <x v="1"/>
    <n v="176186"/>
    <x v="7"/>
    <s v="MICROGEO S.A."/>
  </r>
  <r>
    <m/>
    <s v="EGRESO"/>
    <d v="2022-07-15T00:00:00"/>
    <n v="7"/>
    <x v="0"/>
    <x v="0"/>
    <x v="7"/>
    <n v="0"/>
    <n v="69947"/>
    <n v="-69947"/>
    <x v="0"/>
    <x v="1"/>
    <n v="176186"/>
    <x v="7"/>
    <s v="MICROGEO S.A."/>
  </r>
  <r>
    <m/>
    <s v="EGRESO"/>
    <d v="2022-07-20T00:00:00"/>
    <n v="7"/>
    <x v="1"/>
    <x v="12"/>
    <x v="7"/>
    <n v="124104"/>
    <n v="0"/>
    <n v="124104"/>
    <x v="0"/>
    <x v="1"/>
    <n v="356113"/>
    <x v="23"/>
    <s v="Sociedad Importadora Maritex Spa"/>
  </r>
  <r>
    <m/>
    <s v="EGRESO"/>
    <d v="2022-07-20T00:00:00"/>
    <n v="7"/>
    <x v="0"/>
    <x v="0"/>
    <x v="7"/>
    <n v="0"/>
    <n v="124104"/>
    <n v="-124104"/>
    <x v="0"/>
    <x v="1"/>
    <n v="356113"/>
    <x v="23"/>
    <s v="Sociedad Importadora Maritex Spa"/>
  </r>
  <r>
    <m/>
    <s v="EGRESO"/>
    <d v="2022-07-16T00:00:00"/>
    <n v="7"/>
    <x v="1"/>
    <x v="12"/>
    <x v="7"/>
    <n v="42960"/>
    <n v="0"/>
    <n v="42960"/>
    <x v="0"/>
    <x v="1"/>
    <n v="10350611"/>
    <x v="9"/>
    <s v="WOM S.A."/>
  </r>
  <r>
    <m/>
    <s v="EGRESO"/>
    <d v="2022-07-16T00:00:00"/>
    <n v="7"/>
    <x v="0"/>
    <x v="0"/>
    <x v="7"/>
    <n v="0"/>
    <n v="42960"/>
    <n v="-42960"/>
    <x v="0"/>
    <x v="1"/>
    <n v="10350611"/>
    <x v="9"/>
    <s v="WOM S.A."/>
  </r>
  <r>
    <m/>
    <s v="EGRESO"/>
    <d v="2022-07-25T00:00:00"/>
    <n v="7"/>
    <x v="1"/>
    <x v="12"/>
    <x v="7"/>
    <n v="2574958"/>
    <n v="0"/>
    <n v="2574958"/>
    <x v="0"/>
    <x v="1"/>
    <n v="392204"/>
    <x v="6"/>
    <s v="Texora S.A"/>
  </r>
  <r>
    <m/>
    <s v="EGRESO"/>
    <d v="2022-07-25T00:00:00"/>
    <n v="7"/>
    <x v="0"/>
    <x v="0"/>
    <x v="7"/>
    <n v="0"/>
    <n v="2574958"/>
    <n v="-2574958"/>
    <x v="0"/>
    <x v="1"/>
    <n v="392204"/>
    <x v="6"/>
    <s v="Texora S.A"/>
  </r>
  <r>
    <m/>
    <s v="EGRESO"/>
    <d v="2022-07-26T00:00:00"/>
    <n v="7"/>
    <x v="1"/>
    <x v="12"/>
    <x v="7"/>
    <n v="87500"/>
    <n v="0"/>
    <n v="87500"/>
    <x v="0"/>
    <x v="1"/>
    <n v="3237"/>
    <x v="22"/>
    <s v="IMPORTADORA Y EXPORTADORA FUMI ZZ LIMITADA"/>
  </r>
  <r>
    <m/>
    <s v="EGRESO"/>
    <d v="2022-07-26T00:00:00"/>
    <n v="7"/>
    <x v="0"/>
    <x v="0"/>
    <x v="7"/>
    <n v="0"/>
    <n v="87500"/>
    <n v="-87500"/>
    <x v="0"/>
    <x v="1"/>
    <n v="3237"/>
    <x v="22"/>
    <s v="IMPORTADORA Y EXPORTADORA FUMI ZZ LIMITADA"/>
  </r>
  <r>
    <m/>
    <s v="EGRESO"/>
    <d v="2022-07-27T00:00:00"/>
    <n v="7"/>
    <x v="1"/>
    <x v="12"/>
    <x v="7"/>
    <n v="461399"/>
    <n v="0"/>
    <n v="461399"/>
    <x v="0"/>
    <x v="1"/>
    <n v="392719"/>
    <x v="6"/>
    <s v="Texora S.A"/>
  </r>
  <r>
    <m/>
    <s v="EGRESO"/>
    <d v="2022-07-27T00:00:00"/>
    <n v="7"/>
    <x v="0"/>
    <x v="0"/>
    <x v="7"/>
    <n v="0"/>
    <n v="461399"/>
    <n v="-461399"/>
    <x v="0"/>
    <x v="1"/>
    <n v="392719"/>
    <x v="6"/>
    <s v="Texora S.A"/>
  </r>
  <r>
    <m/>
    <s v="EGRESO"/>
    <d v="2022-07-27T00:00:00"/>
    <n v="7"/>
    <x v="1"/>
    <x v="12"/>
    <x v="7"/>
    <n v="48409"/>
    <n v="0"/>
    <n v="48409"/>
    <x v="0"/>
    <x v="1"/>
    <n v="392721"/>
    <x v="6"/>
    <s v="Texora S.A"/>
  </r>
  <r>
    <m/>
    <s v="EGRESO"/>
    <d v="2022-07-27T00:00:00"/>
    <n v="7"/>
    <x v="0"/>
    <x v="0"/>
    <x v="7"/>
    <n v="0"/>
    <n v="48409"/>
    <n v="-48409"/>
    <x v="0"/>
    <x v="1"/>
    <n v="392721"/>
    <x v="6"/>
    <s v="Texora S.A"/>
  </r>
  <r>
    <m/>
    <s v="EGRESO"/>
    <d v="2022-07-28T00:00:00"/>
    <n v="7"/>
    <x v="1"/>
    <x v="12"/>
    <x v="7"/>
    <n v="58334"/>
    <n v="0"/>
    <n v="58334"/>
    <x v="0"/>
    <x v="1"/>
    <n v="392837"/>
    <x v="6"/>
    <s v="Texora S.A"/>
  </r>
  <r>
    <m/>
    <s v="EGRESO"/>
    <d v="2022-07-28T00:00:00"/>
    <n v="7"/>
    <x v="0"/>
    <x v="0"/>
    <x v="7"/>
    <n v="0"/>
    <n v="58334"/>
    <n v="-58334"/>
    <x v="0"/>
    <x v="1"/>
    <n v="392837"/>
    <x v="6"/>
    <s v="Texora S.A"/>
  </r>
  <r>
    <m/>
    <s v="EGRESO"/>
    <d v="2022-07-28T00:00:00"/>
    <n v="7"/>
    <x v="1"/>
    <x v="12"/>
    <x v="7"/>
    <n v="115801"/>
    <n v="0"/>
    <n v="115801"/>
    <x v="0"/>
    <x v="3"/>
    <n v="103"/>
    <x v="16"/>
    <s v="SIMPLE TAX SPA"/>
  </r>
  <r>
    <m/>
    <s v="EGRESO"/>
    <d v="2022-07-28T00:00:00"/>
    <n v="7"/>
    <x v="0"/>
    <x v="0"/>
    <x v="7"/>
    <n v="0"/>
    <n v="115801"/>
    <n v="-115801"/>
    <x v="0"/>
    <x v="3"/>
    <n v="103"/>
    <x v="16"/>
    <s v="SIMPLE TAX SPA"/>
  </r>
  <r>
    <m/>
    <s v="EGRESO"/>
    <d v="2022-08-01T00:00:00"/>
    <n v="8"/>
    <x v="1"/>
    <x v="12"/>
    <x v="7"/>
    <n v="42495"/>
    <n v="0"/>
    <n v="42495"/>
    <x v="0"/>
    <x v="1"/>
    <n v="309181"/>
    <x v="12"/>
    <s v="COMERCIAL SATEX LTDA"/>
  </r>
  <r>
    <m/>
    <s v="EGRESO"/>
    <d v="2022-08-01T00:00:00"/>
    <n v="8"/>
    <x v="0"/>
    <x v="0"/>
    <x v="7"/>
    <n v="0"/>
    <n v="42495"/>
    <n v="-42495"/>
    <x v="0"/>
    <x v="1"/>
    <n v="309181"/>
    <x v="12"/>
    <s v="COMERCIAL SATEX LTDA"/>
  </r>
  <r>
    <m/>
    <s v="EGRESO"/>
    <d v="2022-08-01T00:00:00"/>
    <n v="8"/>
    <x v="1"/>
    <x v="12"/>
    <x v="7"/>
    <n v="21247"/>
    <n v="0"/>
    <n v="21247"/>
    <x v="0"/>
    <x v="1"/>
    <n v="309185"/>
    <x v="12"/>
    <s v="COMERCIAL SATEX LTDA"/>
  </r>
  <r>
    <m/>
    <s v="EGRESO"/>
    <d v="2022-08-01T00:00:00"/>
    <n v="8"/>
    <x v="0"/>
    <x v="0"/>
    <x v="7"/>
    <n v="0"/>
    <n v="21247"/>
    <n v="-21247"/>
    <x v="0"/>
    <x v="1"/>
    <n v="309185"/>
    <x v="12"/>
    <s v="COMERCIAL SATEX LTDA"/>
  </r>
  <r>
    <m/>
    <s v="EGRESO"/>
    <d v="2022-08-01T00:00:00"/>
    <n v="8"/>
    <x v="1"/>
    <x v="12"/>
    <x v="7"/>
    <n v="11800"/>
    <n v="0"/>
    <n v="11800"/>
    <x v="0"/>
    <x v="1"/>
    <n v="208"/>
    <x v="30"/>
    <s v="CHRISTIAN ANDRES TRIGO ALBORNOZ"/>
  </r>
  <r>
    <m/>
    <s v="EGRESO"/>
    <d v="2022-08-01T00:00:00"/>
    <n v="8"/>
    <x v="0"/>
    <x v="0"/>
    <x v="7"/>
    <n v="0"/>
    <n v="11800"/>
    <n v="-11800"/>
    <x v="0"/>
    <x v="1"/>
    <n v="208"/>
    <x v="30"/>
    <s v="CHRISTIAN ANDRES TRIGO ALBORNOZ"/>
  </r>
  <r>
    <m/>
    <s v="EGRESO"/>
    <d v="2022-08-02T00:00:00"/>
    <n v="8"/>
    <x v="1"/>
    <x v="12"/>
    <x v="7"/>
    <n v="83796"/>
    <n v="0"/>
    <n v="83796"/>
    <x v="0"/>
    <x v="1"/>
    <n v="357215"/>
    <x v="23"/>
    <s v="Sociedad Importadora Maritex Spa"/>
  </r>
  <r>
    <m/>
    <s v="EGRESO"/>
    <d v="2022-08-02T00:00:00"/>
    <n v="8"/>
    <x v="0"/>
    <x v="0"/>
    <x v="7"/>
    <n v="0"/>
    <n v="83796"/>
    <n v="-83796"/>
    <x v="0"/>
    <x v="1"/>
    <n v="357215"/>
    <x v="23"/>
    <s v="Sociedad Importadora Maritex Spa"/>
  </r>
  <r>
    <m/>
    <s v="EGRESO"/>
    <d v="2022-08-03T00:00:00"/>
    <n v="8"/>
    <x v="1"/>
    <x v="12"/>
    <x v="7"/>
    <n v="257464"/>
    <n v="0"/>
    <n v="257464"/>
    <x v="0"/>
    <x v="1"/>
    <n v="34874"/>
    <x v="21"/>
    <s v="SOCIEDAD TEXORA WORKWEAR STORE CHILE SPA"/>
  </r>
  <r>
    <m/>
    <s v="EGRESO"/>
    <d v="2022-08-03T00:00:00"/>
    <n v="8"/>
    <x v="0"/>
    <x v="0"/>
    <x v="7"/>
    <n v="0"/>
    <n v="257464"/>
    <n v="-257464"/>
    <x v="0"/>
    <x v="1"/>
    <n v="34874"/>
    <x v="21"/>
    <s v="SOCIEDAD TEXORA WORKWEAR STORE CHILE SPA"/>
  </r>
  <r>
    <m/>
    <s v="EGRESO"/>
    <d v="2022-08-03T00:00:00"/>
    <n v="8"/>
    <x v="1"/>
    <x v="12"/>
    <x v="7"/>
    <n v="17814"/>
    <n v="0"/>
    <n v="17814"/>
    <x v="0"/>
    <x v="1"/>
    <n v="393527"/>
    <x v="6"/>
    <s v="Texora S.A"/>
  </r>
  <r>
    <m/>
    <s v="EGRESO"/>
    <d v="2022-08-03T00:00:00"/>
    <n v="8"/>
    <x v="0"/>
    <x v="0"/>
    <x v="7"/>
    <n v="0"/>
    <n v="17814"/>
    <n v="-17814"/>
    <x v="0"/>
    <x v="1"/>
    <n v="393527"/>
    <x v="6"/>
    <s v="Texora S.A"/>
  </r>
  <r>
    <m/>
    <s v="EGRESO"/>
    <d v="2022-08-05T00:00:00"/>
    <n v="8"/>
    <x v="1"/>
    <x v="12"/>
    <x v="7"/>
    <n v="27989"/>
    <n v="0"/>
    <n v="27989"/>
    <x v="0"/>
    <x v="1"/>
    <n v="393868"/>
    <x v="6"/>
    <s v="Texora S.A"/>
  </r>
  <r>
    <m/>
    <s v="EGRESO"/>
    <d v="2022-08-05T00:00:00"/>
    <n v="8"/>
    <x v="0"/>
    <x v="0"/>
    <x v="7"/>
    <n v="0"/>
    <n v="27989"/>
    <n v="-27989"/>
    <x v="0"/>
    <x v="1"/>
    <n v="393868"/>
    <x v="6"/>
    <s v="Texora S.A"/>
  </r>
  <r>
    <m/>
    <s v="EGRESO"/>
    <d v="2022-08-09T00:00:00"/>
    <n v="8"/>
    <x v="1"/>
    <x v="12"/>
    <x v="7"/>
    <n v="11800"/>
    <n v="0"/>
    <n v="11800"/>
    <x v="0"/>
    <x v="1"/>
    <n v="31"/>
    <x v="26"/>
    <s v="TODO EMPAQUE SPA"/>
  </r>
  <r>
    <m/>
    <s v="EGRESO"/>
    <d v="2022-08-09T00:00:00"/>
    <n v="8"/>
    <x v="0"/>
    <x v="0"/>
    <x v="7"/>
    <n v="0"/>
    <n v="11800"/>
    <n v="-11800"/>
    <x v="0"/>
    <x v="1"/>
    <n v="31"/>
    <x v="26"/>
    <s v="TODO EMPAQUE SPA"/>
  </r>
  <r>
    <m/>
    <s v="EGRESO"/>
    <d v="2022-08-11T00:00:00"/>
    <n v="8"/>
    <x v="1"/>
    <x v="12"/>
    <x v="7"/>
    <n v="56049"/>
    <n v="0"/>
    <n v="56049"/>
    <x v="0"/>
    <x v="1"/>
    <n v="952"/>
    <x v="17"/>
    <s v="CASA YSS SPA"/>
  </r>
  <r>
    <m/>
    <s v="EGRESO"/>
    <d v="2022-08-11T00:00:00"/>
    <n v="8"/>
    <x v="0"/>
    <x v="0"/>
    <x v="7"/>
    <n v="0"/>
    <n v="56049"/>
    <n v="-56049"/>
    <x v="0"/>
    <x v="1"/>
    <n v="952"/>
    <x v="17"/>
    <s v="CASA YSS SPA"/>
  </r>
  <r>
    <m/>
    <s v="EGRESO"/>
    <d v="2022-08-11T00:00:00"/>
    <n v="8"/>
    <x v="1"/>
    <x v="12"/>
    <x v="7"/>
    <n v="60726"/>
    <n v="0"/>
    <n v="60726"/>
    <x v="0"/>
    <x v="1"/>
    <n v="394705"/>
    <x v="6"/>
    <s v="Texora S.A"/>
  </r>
  <r>
    <m/>
    <s v="EGRESO"/>
    <d v="2022-08-11T00:00:00"/>
    <n v="8"/>
    <x v="0"/>
    <x v="0"/>
    <x v="7"/>
    <n v="0"/>
    <n v="60726"/>
    <n v="-60726"/>
    <x v="0"/>
    <x v="1"/>
    <n v="394705"/>
    <x v="6"/>
    <s v="Texora S.A"/>
  </r>
  <r>
    <m/>
    <s v="EGRESO"/>
    <d v="2022-08-11T00:00:00"/>
    <n v="8"/>
    <x v="1"/>
    <x v="12"/>
    <x v="7"/>
    <n v="185253"/>
    <n v="0"/>
    <n v="185253"/>
    <x v="0"/>
    <x v="1"/>
    <n v="690593"/>
    <x v="5"/>
    <s v="Comercial Mundo Transfer Ltda"/>
  </r>
  <r>
    <m/>
    <s v="EGRESO"/>
    <d v="2022-08-11T00:00:00"/>
    <n v="8"/>
    <x v="0"/>
    <x v="0"/>
    <x v="7"/>
    <n v="0"/>
    <n v="185253"/>
    <n v="-185253"/>
    <x v="0"/>
    <x v="1"/>
    <n v="690593"/>
    <x v="5"/>
    <s v="Comercial Mundo Transfer Ltda"/>
  </r>
  <r>
    <m/>
    <s v="EGRESO"/>
    <d v="2022-08-12T00:00:00"/>
    <n v="8"/>
    <x v="1"/>
    <x v="12"/>
    <x v="7"/>
    <n v="150559"/>
    <n v="0"/>
    <n v="150559"/>
    <x v="0"/>
    <x v="1"/>
    <n v="394870"/>
    <x v="6"/>
    <s v="Texora S.A"/>
  </r>
  <r>
    <m/>
    <s v="EGRESO"/>
    <d v="2022-08-12T00:00:00"/>
    <n v="8"/>
    <x v="0"/>
    <x v="0"/>
    <x v="7"/>
    <n v="0"/>
    <n v="150559"/>
    <n v="-150559"/>
    <x v="0"/>
    <x v="1"/>
    <n v="394870"/>
    <x v="6"/>
    <s v="Texora S.A"/>
  </r>
  <r>
    <m/>
    <s v="EGRESO"/>
    <d v="2022-08-12T00:00:00"/>
    <n v="8"/>
    <x v="1"/>
    <x v="12"/>
    <x v="7"/>
    <n v="163601"/>
    <n v="0"/>
    <n v="163601"/>
    <x v="0"/>
    <x v="1"/>
    <n v="394873"/>
    <x v="6"/>
    <s v="Texora S.A"/>
  </r>
  <r>
    <m/>
    <s v="EGRESO"/>
    <d v="2022-08-12T00:00:00"/>
    <n v="8"/>
    <x v="0"/>
    <x v="0"/>
    <x v="7"/>
    <n v="0"/>
    <n v="163601"/>
    <n v="-163601"/>
    <x v="0"/>
    <x v="1"/>
    <n v="394873"/>
    <x v="6"/>
    <s v="Texora S.A"/>
  </r>
  <r>
    <m/>
    <s v="EGRESO"/>
    <d v="2022-08-12T00:00:00"/>
    <n v="8"/>
    <x v="1"/>
    <x v="12"/>
    <x v="7"/>
    <n v="349931"/>
    <n v="0"/>
    <n v="349931"/>
    <x v="0"/>
    <x v="1"/>
    <n v="394874"/>
    <x v="6"/>
    <s v="Texora S.A"/>
  </r>
  <r>
    <m/>
    <s v="EGRESO"/>
    <d v="2022-08-12T00:00:00"/>
    <n v="8"/>
    <x v="0"/>
    <x v="0"/>
    <x v="7"/>
    <n v="0"/>
    <n v="349931"/>
    <n v="-349931"/>
    <x v="0"/>
    <x v="1"/>
    <n v="394874"/>
    <x v="6"/>
    <s v="Texora S.A"/>
  </r>
  <r>
    <m/>
    <s v="EGRESO"/>
    <d v="2022-08-12T00:00:00"/>
    <n v="8"/>
    <x v="1"/>
    <x v="12"/>
    <x v="7"/>
    <n v="94641"/>
    <n v="0"/>
    <n v="94641"/>
    <x v="0"/>
    <x v="1"/>
    <n v="394872"/>
    <x v="6"/>
    <s v="Texora S.A"/>
  </r>
  <r>
    <m/>
    <s v="EGRESO"/>
    <d v="2022-08-12T00:00:00"/>
    <n v="8"/>
    <x v="0"/>
    <x v="0"/>
    <x v="7"/>
    <n v="0"/>
    <n v="94641"/>
    <n v="-94641"/>
    <x v="0"/>
    <x v="1"/>
    <n v="394872"/>
    <x v="6"/>
    <s v="Texora S.A"/>
  </r>
  <r>
    <m/>
    <s v="EGRESO"/>
    <d v="2022-08-12T00:00:00"/>
    <n v="8"/>
    <x v="1"/>
    <x v="12"/>
    <x v="7"/>
    <n v="59748"/>
    <n v="0"/>
    <n v="59748"/>
    <x v="0"/>
    <x v="1"/>
    <n v="690826"/>
    <x v="5"/>
    <s v="Comercial Mundo Transfer Ltda"/>
  </r>
  <r>
    <m/>
    <s v="EGRESO"/>
    <d v="2022-08-12T00:00:00"/>
    <n v="8"/>
    <x v="0"/>
    <x v="0"/>
    <x v="7"/>
    <n v="0"/>
    <n v="59748"/>
    <n v="-59748"/>
    <x v="0"/>
    <x v="1"/>
    <n v="690826"/>
    <x v="5"/>
    <s v="Comercial Mundo Transfer Ltda"/>
  </r>
  <r>
    <m/>
    <s v="EGRESO"/>
    <d v="2022-08-16T00:00:00"/>
    <n v="8"/>
    <x v="1"/>
    <x v="12"/>
    <x v="7"/>
    <n v="81646"/>
    <n v="0"/>
    <n v="81646"/>
    <x v="0"/>
    <x v="1"/>
    <n v="395181"/>
    <x v="6"/>
    <s v="Texora S.A"/>
  </r>
  <r>
    <m/>
    <s v="EGRESO"/>
    <d v="2022-08-16T00:00:00"/>
    <n v="8"/>
    <x v="0"/>
    <x v="0"/>
    <x v="7"/>
    <n v="0"/>
    <n v="81646"/>
    <n v="-81646"/>
    <x v="0"/>
    <x v="1"/>
    <n v="395181"/>
    <x v="6"/>
    <s v="Texora S.A"/>
  </r>
  <r>
    <m/>
    <s v="EGRESO"/>
    <d v="2022-08-17T00:00:00"/>
    <n v="8"/>
    <x v="1"/>
    <x v="12"/>
    <x v="7"/>
    <n v="139885"/>
    <n v="0"/>
    <n v="139885"/>
    <x v="0"/>
    <x v="1"/>
    <n v="395280"/>
    <x v="6"/>
    <s v="Texora S.A"/>
  </r>
  <r>
    <m/>
    <s v="EGRESO"/>
    <d v="2022-08-17T00:00:00"/>
    <n v="8"/>
    <x v="0"/>
    <x v="0"/>
    <x v="7"/>
    <n v="0"/>
    <n v="139885"/>
    <n v="-139885"/>
    <x v="0"/>
    <x v="1"/>
    <n v="395280"/>
    <x v="6"/>
    <s v="Texora S.A"/>
  </r>
  <r>
    <m/>
    <s v="EGRESO"/>
    <d v="2022-08-19T00:00:00"/>
    <n v="8"/>
    <x v="1"/>
    <x v="12"/>
    <x v="7"/>
    <n v="524909"/>
    <n v="0"/>
    <n v="524909"/>
    <x v="0"/>
    <x v="1"/>
    <n v="395591"/>
    <x v="6"/>
    <s v="Texora S.A"/>
  </r>
  <r>
    <m/>
    <s v="EGRESO"/>
    <d v="2022-08-19T00:00:00"/>
    <n v="8"/>
    <x v="0"/>
    <x v="0"/>
    <x v="7"/>
    <n v="0"/>
    <n v="524909"/>
    <n v="-524909"/>
    <x v="0"/>
    <x v="1"/>
    <n v="395591"/>
    <x v="6"/>
    <s v="Texora S.A"/>
  </r>
  <r>
    <m/>
    <s v="EGRESO"/>
    <d v="2022-08-19T00:00:00"/>
    <n v="8"/>
    <x v="1"/>
    <x v="12"/>
    <x v="7"/>
    <n v="9000"/>
    <n v="0"/>
    <n v="9000"/>
    <x v="0"/>
    <x v="1"/>
    <n v="12141"/>
    <x v="31"/>
    <s v="COMERCIAL AHN Y PAEK LTDA"/>
  </r>
  <r>
    <m/>
    <s v="EGRESO"/>
    <d v="2022-08-19T00:00:00"/>
    <n v="8"/>
    <x v="0"/>
    <x v="0"/>
    <x v="7"/>
    <n v="0"/>
    <n v="9000"/>
    <n v="-9000"/>
    <x v="0"/>
    <x v="1"/>
    <n v="12141"/>
    <x v="31"/>
    <s v="COMERCIAL AHN Y PAEK LTDA"/>
  </r>
  <r>
    <m/>
    <s v="EGRESO"/>
    <d v="2022-08-19T00:00:00"/>
    <n v="8"/>
    <x v="1"/>
    <x v="12"/>
    <x v="7"/>
    <n v="19057"/>
    <n v="0"/>
    <n v="19057"/>
    <x v="0"/>
    <x v="1"/>
    <n v="1004"/>
    <x v="17"/>
    <s v="CASA YSS SPA"/>
  </r>
  <r>
    <m/>
    <s v="EGRESO"/>
    <d v="2022-08-19T00:00:00"/>
    <n v="8"/>
    <x v="0"/>
    <x v="0"/>
    <x v="7"/>
    <n v="0"/>
    <n v="19057"/>
    <n v="-19057"/>
    <x v="0"/>
    <x v="1"/>
    <n v="1004"/>
    <x v="17"/>
    <s v="CASA YSS SPA"/>
  </r>
  <r>
    <m/>
    <s v="EGRESO"/>
    <d v="2022-08-16T00:00:00"/>
    <n v="8"/>
    <x v="1"/>
    <x v="12"/>
    <x v="7"/>
    <n v="42960"/>
    <n v="0"/>
    <n v="42960"/>
    <x v="0"/>
    <x v="1"/>
    <n v="10489159"/>
    <x v="9"/>
    <s v="WOM S.A."/>
  </r>
  <r>
    <m/>
    <s v="EGRESO"/>
    <d v="2022-08-16T00:00:00"/>
    <n v="8"/>
    <x v="0"/>
    <x v="0"/>
    <x v="7"/>
    <n v="0"/>
    <n v="42960"/>
    <n v="-42960"/>
    <x v="0"/>
    <x v="1"/>
    <n v="10489159"/>
    <x v="9"/>
    <s v="WOM S.A."/>
  </r>
  <r>
    <m/>
    <s v="EGRESO"/>
    <d v="2022-08-22T00:00:00"/>
    <n v="8"/>
    <x v="1"/>
    <x v="12"/>
    <x v="7"/>
    <n v="11800"/>
    <n v="0"/>
    <n v="11800"/>
    <x v="0"/>
    <x v="1"/>
    <n v="229"/>
    <x v="30"/>
    <s v="CHRISTIAN ANDRES TRIGO ALBORNOZ"/>
  </r>
  <r>
    <m/>
    <s v="EGRESO"/>
    <d v="2022-08-22T00:00:00"/>
    <n v="8"/>
    <x v="0"/>
    <x v="0"/>
    <x v="7"/>
    <n v="0"/>
    <n v="11800"/>
    <n v="-11800"/>
    <x v="0"/>
    <x v="1"/>
    <n v="229"/>
    <x v="30"/>
    <s v="CHRISTIAN ANDRES TRIGO ALBORNOZ"/>
  </r>
  <r>
    <m/>
    <s v="EGRESO"/>
    <d v="2022-08-29T00:00:00"/>
    <n v="8"/>
    <x v="1"/>
    <x v="12"/>
    <x v="7"/>
    <n v="25612"/>
    <n v="0"/>
    <n v="25612"/>
    <x v="0"/>
    <x v="1"/>
    <n v="693619"/>
    <x v="5"/>
    <s v="Comercial Mundo Transfer Ltda"/>
  </r>
  <r>
    <m/>
    <s v="EGRESO"/>
    <d v="2022-08-29T00:00:00"/>
    <n v="8"/>
    <x v="0"/>
    <x v="0"/>
    <x v="7"/>
    <n v="0"/>
    <n v="25612"/>
    <n v="-25612"/>
    <x v="0"/>
    <x v="1"/>
    <n v="693619"/>
    <x v="5"/>
    <s v="Comercial Mundo Transfer Ltda"/>
  </r>
  <r>
    <m/>
    <s v="EGRESO"/>
    <d v="2022-08-29T00:00:00"/>
    <n v="8"/>
    <x v="1"/>
    <x v="12"/>
    <x v="7"/>
    <n v="5369"/>
    <n v="0"/>
    <n v="5369"/>
    <x v="0"/>
    <x v="1"/>
    <n v="1047"/>
    <x v="17"/>
    <s v="CASA YSS SPA"/>
  </r>
  <r>
    <m/>
    <s v="EGRESO"/>
    <d v="2022-08-29T00:00:00"/>
    <n v="8"/>
    <x v="0"/>
    <x v="0"/>
    <x v="7"/>
    <n v="0"/>
    <n v="5369"/>
    <n v="-5369"/>
    <x v="0"/>
    <x v="1"/>
    <n v="1047"/>
    <x v="17"/>
    <s v="CASA YSS SPA"/>
  </r>
  <r>
    <m/>
    <s v="EGRESO"/>
    <d v="2022-08-16T00:00:00"/>
    <n v="8"/>
    <x v="1"/>
    <x v="12"/>
    <x v="7"/>
    <n v="116960"/>
    <n v="0"/>
    <n v="116960"/>
    <x v="0"/>
    <x v="3"/>
    <n v="109"/>
    <x v="16"/>
    <s v="SIMPLE TAX SPA"/>
  </r>
  <r>
    <m/>
    <s v="EGRESO"/>
    <d v="2022-08-16T00:00:00"/>
    <n v="8"/>
    <x v="0"/>
    <x v="0"/>
    <x v="7"/>
    <n v="0"/>
    <n v="116960"/>
    <n v="-116960"/>
    <x v="0"/>
    <x v="3"/>
    <n v="109"/>
    <x v="16"/>
    <s v="SIMPLE TAX SPA"/>
  </r>
  <r>
    <m/>
    <s v="EGRESO"/>
    <d v="2022-08-25T00:00:00"/>
    <n v="9"/>
    <x v="1"/>
    <x v="12"/>
    <x v="7"/>
    <n v="18750"/>
    <n v="0"/>
    <n v="18750"/>
    <x v="0"/>
    <x v="1"/>
    <n v="3354"/>
    <x v="32"/>
    <s v="COMERCIALIZADORA, IMPORTADORA Y EXPORTADORA JV LIFETIME SPA"/>
  </r>
  <r>
    <m/>
    <s v="EGRESO"/>
    <d v="2022-08-25T00:00:00"/>
    <n v="9"/>
    <x v="0"/>
    <x v="0"/>
    <x v="7"/>
    <n v="0"/>
    <n v="18750"/>
    <n v="-18750"/>
    <x v="0"/>
    <x v="1"/>
    <n v="3354"/>
    <x v="32"/>
    <s v="COMERCIALIZADORA, IMPORTADORA Y EXPORTADORA JV LIFETIME SPA"/>
  </r>
  <r>
    <m/>
    <s v="EGRESO"/>
    <d v="2022-09-01T00:00:00"/>
    <n v="9"/>
    <x v="1"/>
    <x v="12"/>
    <x v="7"/>
    <n v="14186"/>
    <n v="0"/>
    <n v="14186"/>
    <x v="0"/>
    <x v="1"/>
    <n v="694359"/>
    <x v="5"/>
    <s v="Comercial Mundo Transfer Ltda"/>
  </r>
  <r>
    <m/>
    <s v="EGRESO"/>
    <d v="2022-09-01T00:00:00"/>
    <n v="9"/>
    <x v="0"/>
    <x v="0"/>
    <x v="7"/>
    <n v="0"/>
    <n v="14186"/>
    <n v="-14186"/>
    <x v="0"/>
    <x v="1"/>
    <n v="694359"/>
    <x v="5"/>
    <s v="Comercial Mundo Transfer Ltda"/>
  </r>
  <r>
    <m/>
    <s v="EGRESO"/>
    <d v="2022-09-01T00:00:00"/>
    <n v="9"/>
    <x v="1"/>
    <x v="12"/>
    <x v="7"/>
    <n v="4900"/>
    <n v="0"/>
    <n v="4900"/>
    <x v="0"/>
    <x v="1"/>
    <n v="243"/>
    <x v="30"/>
    <s v="CHRISTIAN ANDRES TRIGO ALBORNOZ"/>
  </r>
  <r>
    <m/>
    <s v="EGRESO"/>
    <d v="2022-09-01T00:00:00"/>
    <n v="9"/>
    <x v="0"/>
    <x v="0"/>
    <x v="7"/>
    <n v="0"/>
    <n v="4900"/>
    <n v="-4900"/>
    <x v="0"/>
    <x v="1"/>
    <n v="243"/>
    <x v="30"/>
    <s v="CHRISTIAN ANDRES TRIGO ALBORNOZ"/>
  </r>
  <r>
    <m/>
    <s v="EGRESO"/>
    <d v="2022-09-06T00:00:00"/>
    <n v="9"/>
    <x v="1"/>
    <x v="12"/>
    <x v="7"/>
    <n v="9574"/>
    <n v="0"/>
    <n v="9574"/>
    <x v="0"/>
    <x v="1"/>
    <n v="695175"/>
    <x v="5"/>
    <s v="Comercial Mundo Transfer Ltda"/>
  </r>
  <r>
    <m/>
    <s v="EGRESO"/>
    <d v="2022-09-06T00:00:00"/>
    <n v="9"/>
    <x v="0"/>
    <x v="0"/>
    <x v="7"/>
    <n v="0"/>
    <n v="9574"/>
    <n v="-9574"/>
    <x v="0"/>
    <x v="1"/>
    <n v="695175"/>
    <x v="5"/>
    <s v="Comercial Mundo Transfer Ltda"/>
  </r>
  <r>
    <m/>
    <s v="EGRESO"/>
    <d v="2022-09-06T00:00:00"/>
    <n v="9"/>
    <x v="1"/>
    <x v="12"/>
    <x v="7"/>
    <n v="96545"/>
    <n v="0"/>
    <n v="96545"/>
    <x v="0"/>
    <x v="1"/>
    <n v="398650"/>
    <x v="6"/>
    <s v="Texora S.A"/>
  </r>
  <r>
    <m/>
    <s v="EGRESO"/>
    <d v="2022-09-06T00:00:00"/>
    <n v="9"/>
    <x v="0"/>
    <x v="0"/>
    <x v="7"/>
    <n v="0"/>
    <n v="96545"/>
    <n v="-96545"/>
    <x v="0"/>
    <x v="1"/>
    <n v="398650"/>
    <x v="6"/>
    <s v="Texora S.A"/>
  </r>
  <r>
    <m/>
    <s v="EGRESO"/>
    <d v="2022-09-07T00:00:00"/>
    <n v="9"/>
    <x v="1"/>
    <x v="12"/>
    <x v="7"/>
    <n v="136160"/>
    <n v="0"/>
    <n v="136160"/>
    <x v="0"/>
    <x v="1"/>
    <n v="398887"/>
    <x v="6"/>
    <s v="Texora S.A"/>
  </r>
  <r>
    <m/>
    <s v="EGRESO"/>
    <d v="2022-09-07T00:00:00"/>
    <n v="9"/>
    <x v="0"/>
    <x v="0"/>
    <x v="7"/>
    <n v="0"/>
    <n v="136160"/>
    <n v="-136160"/>
    <x v="0"/>
    <x v="1"/>
    <n v="398887"/>
    <x v="6"/>
    <s v="Texora S.A"/>
  </r>
  <r>
    <m/>
    <s v="EGRESO"/>
    <d v="2022-09-08T00:00:00"/>
    <n v="9"/>
    <x v="1"/>
    <x v="12"/>
    <x v="7"/>
    <n v="16779"/>
    <n v="0"/>
    <n v="16779"/>
    <x v="0"/>
    <x v="1"/>
    <n v="398963"/>
    <x v="6"/>
    <s v="Texora S.A"/>
  </r>
  <r>
    <m/>
    <s v="EGRESO"/>
    <d v="2022-09-08T00:00:00"/>
    <n v="9"/>
    <x v="0"/>
    <x v="0"/>
    <x v="7"/>
    <n v="0"/>
    <n v="16779"/>
    <n v="-16779"/>
    <x v="0"/>
    <x v="1"/>
    <n v="398963"/>
    <x v="6"/>
    <s v="Texora S.A"/>
  </r>
  <r>
    <m/>
    <s v="EGRESO"/>
    <d v="2022-09-09T00:00:00"/>
    <n v="9"/>
    <x v="1"/>
    <x v="12"/>
    <x v="7"/>
    <n v="19159"/>
    <n v="0"/>
    <n v="19159"/>
    <x v="0"/>
    <x v="1"/>
    <n v="399125"/>
    <x v="6"/>
    <s v="Texora S.A"/>
  </r>
  <r>
    <m/>
    <s v="EGRESO"/>
    <d v="2022-09-09T00:00:00"/>
    <n v="9"/>
    <x v="0"/>
    <x v="0"/>
    <x v="7"/>
    <n v="0"/>
    <n v="19159"/>
    <n v="-19159"/>
    <x v="0"/>
    <x v="1"/>
    <n v="399125"/>
    <x v="6"/>
    <s v="Texora S.A"/>
  </r>
  <r>
    <m/>
    <s v="EGRESO"/>
    <d v="2022-09-09T00:00:00"/>
    <n v="9"/>
    <x v="1"/>
    <x v="12"/>
    <x v="7"/>
    <n v="590640"/>
    <n v="0"/>
    <n v="590640"/>
    <x v="0"/>
    <x v="1"/>
    <n v="4234"/>
    <x v="22"/>
    <s v="IMPORTADORA Y EXPORTADORA FUMI ZZ LIMITADA"/>
  </r>
  <r>
    <m/>
    <s v="EGRESO"/>
    <d v="2022-09-09T00:00:00"/>
    <n v="9"/>
    <x v="0"/>
    <x v="0"/>
    <x v="7"/>
    <n v="0"/>
    <n v="590640"/>
    <n v="-590640"/>
    <x v="0"/>
    <x v="1"/>
    <n v="4234"/>
    <x v="22"/>
    <s v="IMPORTADORA Y EXPORTADORA FUMI ZZ LIMITADA"/>
  </r>
  <r>
    <m/>
    <s v="EGRESO"/>
    <d v="2022-09-09T00:00:00"/>
    <n v="9"/>
    <x v="1"/>
    <x v="12"/>
    <x v="7"/>
    <n v="111960"/>
    <n v="0"/>
    <n v="111960"/>
    <x v="0"/>
    <x v="1"/>
    <n v="17208"/>
    <x v="33"/>
    <s v="IMPORTADORA ANDESLAND LIMITADA"/>
  </r>
  <r>
    <m/>
    <s v="EGRESO"/>
    <d v="2022-09-09T00:00:00"/>
    <n v="9"/>
    <x v="0"/>
    <x v="0"/>
    <x v="7"/>
    <n v="0"/>
    <n v="111960"/>
    <n v="-111960"/>
    <x v="0"/>
    <x v="1"/>
    <n v="17208"/>
    <x v="33"/>
    <s v="IMPORTADORA ANDESLAND LIMITADA"/>
  </r>
  <r>
    <m/>
    <s v="EGRESO"/>
    <d v="2022-09-09T00:00:00"/>
    <n v="9"/>
    <x v="1"/>
    <x v="12"/>
    <x v="7"/>
    <n v="62180"/>
    <n v="0"/>
    <n v="62180"/>
    <x v="0"/>
    <x v="1"/>
    <n v="36471"/>
    <x v="21"/>
    <s v="SOCIEDAD TEXORA WORKWEAR STORE CHILE SPA"/>
  </r>
  <r>
    <m/>
    <s v="EGRESO"/>
    <d v="2022-09-09T00:00:00"/>
    <n v="9"/>
    <x v="0"/>
    <x v="0"/>
    <x v="7"/>
    <n v="0"/>
    <n v="62180"/>
    <n v="-62180"/>
    <x v="0"/>
    <x v="1"/>
    <n v="36471"/>
    <x v="21"/>
    <s v="SOCIEDAD TEXORA WORKWEAR STORE CHILE SPA"/>
  </r>
  <r>
    <m/>
    <s v="EGRESO"/>
    <d v="2022-09-12T00:00:00"/>
    <n v="9"/>
    <x v="1"/>
    <x v="12"/>
    <x v="7"/>
    <n v="69500"/>
    <n v="0"/>
    <n v="69500"/>
    <x v="0"/>
    <x v="1"/>
    <n v="344085"/>
    <x v="34"/>
    <s v="FOTOSTYLE REGALOS ESPECIALES LIMITADA"/>
  </r>
  <r>
    <m/>
    <s v="EGRESO"/>
    <d v="2022-09-12T00:00:00"/>
    <n v="9"/>
    <x v="0"/>
    <x v="0"/>
    <x v="7"/>
    <n v="0"/>
    <n v="69500"/>
    <n v="-69500"/>
    <x v="0"/>
    <x v="1"/>
    <n v="344085"/>
    <x v="34"/>
    <s v="FOTOSTYLE REGALOS ESPECIALES LIMITADA"/>
  </r>
  <r>
    <m/>
    <s v="EGRESO"/>
    <d v="2022-09-12T00:00:00"/>
    <n v="9"/>
    <x v="1"/>
    <x v="12"/>
    <x v="7"/>
    <n v="143942"/>
    <n v="0"/>
    <n v="143942"/>
    <x v="0"/>
    <x v="1"/>
    <n v="1949"/>
    <x v="19"/>
    <s v="TEXTIL HAPI LIMITADA"/>
  </r>
  <r>
    <m/>
    <s v="EGRESO"/>
    <d v="2022-09-12T00:00:00"/>
    <n v="9"/>
    <x v="0"/>
    <x v="0"/>
    <x v="7"/>
    <n v="0"/>
    <n v="143942"/>
    <n v="-143942"/>
    <x v="0"/>
    <x v="1"/>
    <n v="1949"/>
    <x v="19"/>
    <s v="TEXTIL HAPI LIMITADA"/>
  </r>
  <r>
    <m/>
    <s v="EGRESO"/>
    <d v="2022-09-14T00:00:00"/>
    <n v="9"/>
    <x v="1"/>
    <x v="12"/>
    <x v="7"/>
    <n v="5603"/>
    <n v="0"/>
    <n v="5603"/>
    <x v="0"/>
    <x v="1"/>
    <n v="696802"/>
    <x v="5"/>
    <s v="Comercial Mundo Transfer Ltda"/>
  </r>
  <r>
    <m/>
    <s v="EGRESO"/>
    <d v="2022-09-14T00:00:00"/>
    <n v="9"/>
    <x v="0"/>
    <x v="0"/>
    <x v="7"/>
    <n v="0"/>
    <n v="5603"/>
    <n v="-5603"/>
    <x v="0"/>
    <x v="1"/>
    <n v="696802"/>
    <x v="5"/>
    <s v="Comercial Mundo Transfer Ltda"/>
  </r>
  <r>
    <m/>
    <s v="EGRESO"/>
    <d v="2022-09-15T00:00:00"/>
    <n v="9"/>
    <x v="1"/>
    <x v="12"/>
    <x v="7"/>
    <n v="26380"/>
    <n v="0"/>
    <n v="26380"/>
    <x v="0"/>
    <x v="1"/>
    <n v="697032"/>
    <x v="5"/>
    <s v="Comercial Mundo Transfer Ltda"/>
  </r>
  <r>
    <m/>
    <s v="EGRESO"/>
    <d v="2022-09-15T00:00:00"/>
    <n v="9"/>
    <x v="0"/>
    <x v="0"/>
    <x v="7"/>
    <n v="0"/>
    <n v="26380"/>
    <n v="-26380"/>
    <x v="0"/>
    <x v="1"/>
    <n v="697032"/>
    <x v="5"/>
    <s v="Comercial Mundo Transfer Ltda"/>
  </r>
  <r>
    <m/>
    <s v="EGRESO"/>
    <d v="2022-09-21T00:00:00"/>
    <n v="9"/>
    <x v="1"/>
    <x v="12"/>
    <x v="7"/>
    <n v="9190"/>
    <n v="0"/>
    <n v="9190"/>
    <x v="0"/>
    <x v="1"/>
    <n v="36733"/>
    <x v="21"/>
    <s v="SOCIEDAD TEXORA WORKWEAR STORE CHILE SPA"/>
  </r>
  <r>
    <m/>
    <s v="EGRESO"/>
    <d v="2022-09-21T00:00:00"/>
    <n v="9"/>
    <x v="0"/>
    <x v="0"/>
    <x v="7"/>
    <n v="0"/>
    <n v="9190"/>
    <n v="-9190"/>
    <x v="0"/>
    <x v="1"/>
    <n v="36733"/>
    <x v="21"/>
    <s v="SOCIEDAD TEXORA WORKWEAR STORE CHILE SPA"/>
  </r>
  <r>
    <m/>
    <s v="EGRESO"/>
    <d v="2022-09-27T00:00:00"/>
    <n v="9"/>
    <x v="1"/>
    <x v="12"/>
    <x v="7"/>
    <n v="368900"/>
    <n v="0"/>
    <n v="368900"/>
    <x v="0"/>
    <x v="1"/>
    <n v="17400"/>
    <x v="33"/>
    <s v="IMPORTADORA ANDESLAND LIMITADA"/>
  </r>
  <r>
    <m/>
    <s v="EGRESO"/>
    <d v="2022-09-27T00:00:00"/>
    <n v="9"/>
    <x v="0"/>
    <x v="0"/>
    <x v="7"/>
    <n v="0"/>
    <n v="368900"/>
    <n v="-368900"/>
    <x v="0"/>
    <x v="1"/>
    <n v="17400"/>
    <x v="33"/>
    <s v="IMPORTADORA ANDESLAND LIMITADA"/>
  </r>
  <r>
    <m/>
    <s v="EGRESO"/>
    <d v="2022-09-28T00:00:00"/>
    <n v="9"/>
    <x v="1"/>
    <x v="12"/>
    <x v="7"/>
    <n v="199587"/>
    <n v="0"/>
    <n v="199587"/>
    <x v="0"/>
    <x v="1"/>
    <n v="10671"/>
    <x v="35"/>
    <s v="COMERCIALIZADORA Y DISTRIBUIDORA TEXTIL ANONIMA LIMITADA"/>
  </r>
  <r>
    <m/>
    <s v="EGRESO"/>
    <d v="2022-09-28T00:00:00"/>
    <n v="9"/>
    <x v="0"/>
    <x v="0"/>
    <x v="7"/>
    <n v="0"/>
    <n v="199587"/>
    <n v="-199587"/>
    <x v="0"/>
    <x v="1"/>
    <n v="10671"/>
    <x v="35"/>
    <s v="COMERCIALIZADORA Y DISTRIBUIDORA TEXTIL ANONIMA LIMITADA"/>
  </r>
  <r>
    <m/>
    <s v="EGRESO"/>
    <d v="2022-09-15T00:00:00"/>
    <n v="9"/>
    <x v="1"/>
    <x v="12"/>
    <x v="7"/>
    <n v="118426"/>
    <n v="0"/>
    <n v="118426"/>
    <x v="0"/>
    <x v="3"/>
    <n v="115"/>
    <x v="16"/>
    <s v="SIMPLE TAX SPA"/>
  </r>
  <r>
    <m/>
    <s v="EGRESO"/>
    <d v="2022-09-15T00:00:00"/>
    <n v="9"/>
    <x v="0"/>
    <x v="0"/>
    <x v="7"/>
    <n v="0"/>
    <n v="118426"/>
    <n v="-118426"/>
    <x v="0"/>
    <x v="3"/>
    <n v="115"/>
    <x v="16"/>
    <s v="SIMPLE TAX SPA"/>
  </r>
  <r>
    <m/>
    <s v="EGRESO"/>
    <d v="2022-09-16T00:00:00"/>
    <n v="10"/>
    <x v="1"/>
    <x v="12"/>
    <x v="7"/>
    <n v="42960"/>
    <n v="0"/>
    <n v="42960"/>
    <x v="0"/>
    <x v="1"/>
    <n v="10661140"/>
    <x v="9"/>
    <s v="WOM S.A."/>
  </r>
  <r>
    <m/>
    <s v="EGRESO"/>
    <d v="2022-09-16T00:00:00"/>
    <n v="10"/>
    <x v="0"/>
    <x v="0"/>
    <x v="7"/>
    <n v="0"/>
    <n v="42960"/>
    <n v="-42960"/>
    <x v="0"/>
    <x v="1"/>
    <n v="10661140"/>
    <x v="9"/>
    <s v="WOM S.A."/>
  </r>
  <r>
    <m/>
    <s v="EGRESO"/>
    <d v="2022-10-03T00:00:00"/>
    <n v="10"/>
    <x v="1"/>
    <x v="12"/>
    <x v="7"/>
    <n v="22794"/>
    <n v="0"/>
    <n v="22794"/>
    <x v="0"/>
    <x v="1"/>
    <n v="268389"/>
    <x v="36"/>
    <s v="PROMO IMPORT CHILE LIMITADA"/>
  </r>
  <r>
    <m/>
    <s v="EGRESO"/>
    <d v="2022-10-03T00:00:00"/>
    <n v="10"/>
    <x v="0"/>
    <x v="0"/>
    <x v="7"/>
    <n v="0"/>
    <n v="22794"/>
    <n v="-22794"/>
    <x v="0"/>
    <x v="1"/>
    <n v="268389"/>
    <x v="36"/>
    <s v="PROMO IMPORT CHILE LIMITADA"/>
  </r>
  <r>
    <m/>
    <s v="EGRESO"/>
    <d v="2022-10-04T00:00:00"/>
    <n v="10"/>
    <x v="1"/>
    <x v="12"/>
    <x v="7"/>
    <n v="22420"/>
    <n v="0"/>
    <n v="22420"/>
    <x v="0"/>
    <x v="1"/>
    <n v="1273"/>
    <x v="17"/>
    <s v="CASA YSS SPA"/>
  </r>
  <r>
    <m/>
    <s v="EGRESO"/>
    <d v="2022-10-04T00:00:00"/>
    <n v="10"/>
    <x v="0"/>
    <x v="0"/>
    <x v="7"/>
    <n v="0"/>
    <n v="22420"/>
    <n v="-22420"/>
    <x v="0"/>
    <x v="1"/>
    <n v="1273"/>
    <x v="17"/>
    <s v="CASA YSS SPA"/>
  </r>
  <r>
    <m/>
    <s v="EGRESO"/>
    <d v="2022-10-04T00:00:00"/>
    <n v="10"/>
    <x v="1"/>
    <x v="12"/>
    <x v="7"/>
    <n v="139750"/>
    <n v="0"/>
    <n v="139750"/>
    <x v="0"/>
    <x v="1"/>
    <n v="4806"/>
    <x v="22"/>
    <s v="IMPORTADORA Y EXPORTADORA FUMI ZZ LIMITADA"/>
  </r>
  <r>
    <m/>
    <s v="EGRESO"/>
    <d v="2022-10-04T00:00:00"/>
    <n v="10"/>
    <x v="0"/>
    <x v="0"/>
    <x v="7"/>
    <n v="0"/>
    <n v="139750"/>
    <n v="-139750"/>
    <x v="0"/>
    <x v="1"/>
    <n v="4806"/>
    <x v="22"/>
    <s v="IMPORTADORA Y EXPORTADORA FUMI ZZ LIMITADA"/>
  </r>
  <r>
    <m/>
    <s v="EGRESO"/>
    <d v="2022-10-04T00:00:00"/>
    <n v="10"/>
    <x v="1"/>
    <x v="12"/>
    <x v="7"/>
    <n v="73550"/>
    <n v="0"/>
    <n v="73550"/>
    <x v="0"/>
    <x v="1"/>
    <n v="163879"/>
    <x v="3"/>
    <s v="TEXTIL SUMEY LTDA"/>
  </r>
  <r>
    <m/>
    <s v="EGRESO"/>
    <d v="2022-10-04T00:00:00"/>
    <n v="10"/>
    <x v="0"/>
    <x v="0"/>
    <x v="7"/>
    <n v="0"/>
    <n v="73550"/>
    <n v="-73550"/>
    <x v="0"/>
    <x v="1"/>
    <n v="163879"/>
    <x v="3"/>
    <s v="TEXTIL SUMEY LTDA"/>
  </r>
  <r>
    <m/>
    <s v="EGRESO"/>
    <d v="2022-10-04T00:00:00"/>
    <n v="10"/>
    <x v="1"/>
    <x v="12"/>
    <x v="7"/>
    <n v="11800"/>
    <n v="0"/>
    <n v="11800"/>
    <x v="0"/>
    <x v="1"/>
    <n v="273"/>
    <x v="30"/>
    <s v="CHRISTIAN ANDRES TRIGO ALBORNOZ"/>
  </r>
  <r>
    <m/>
    <s v="EGRESO"/>
    <d v="2022-10-04T00:00:00"/>
    <n v="10"/>
    <x v="0"/>
    <x v="0"/>
    <x v="7"/>
    <n v="0"/>
    <n v="11800"/>
    <n v="-11800"/>
    <x v="0"/>
    <x v="1"/>
    <n v="273"/>
    <x v="30"/>
    <s v="CHRISTIAN ANDRES TRIGO ALBORNOZ"/>
  </r>
  <r>
    <m/>
    <s v="EGRESO"/>
    <d v="2022-10-05T00:00:00"/>
    <n v="10"/>
    <x v="1"/>
    <x v="12"/>
    <x v="7"/>
    <n v="184001"/>
    <n v="0"/>
    <n v="184001"/>
    <x v="0"/>
    <x v="1"/>
    <n v="4844"/>
    <x v="22"/>
    <s v="IMPORTADORA Y EXPORTADORA FUMI ZZ LIMITADA"/>
  </r>
  <r>
    <m/>
    <s v="EGRESO"/>
    <d v="2022-10-05T00:00:00"/>
    <n v="10"/>
    <x v="0"/>
    <x v="0"/>
    <x v="7"/>
    <n v="0"/>
    <n v="184001"/>
    <n v="-184001"/>
    <x v="0"/>
    <x v="1"/>
    <n v="4844"/>
    <x v="22"/>
    <s v="IMPORTADORA Y EXPORTADORA FUMI ZZ LIMITADA"/>
  </r>
  <r>
    <m/>
    <s v="EGRESO"/>
    <d v="2022-10-05T00:00:00"/>
    <n v="10"/>
    <x v="1"/>
    <x v="12"/>
    <x v="7"/>
    <n v="34510"/>
    <n v="0"/>
    <n v="34510"/>
    <x v="0"/>
    <x v="1"/>
    <n v="402033"/>
    <x v="6"/>
    <s v="Texora S.A"/>
  </r>
  <r>
    <m/>
    <s v="EGRESO"/>
    <d v="2022-10-05T00:00:00"/>
    <n v="10"/>
    <x v="0"/>
    <x v="0"/>
    <x v="7"/>
    <n v="0"/>
    <n v="34510"/>
    <n v="-34510"/>
    <x v="0"/>
    <x v="1"/>
    <n v="402033"/>
    <x v="6"/>
    <s v="Texora S.A"/>
  </r>
  <r>
    <m/>
    <s v="EGRESO"/>
    <d v="2022-10-06T00:00:00"/>
    <n v="10"/>
    <x v="1"/>
    <x v="12"/>
    <x v="7"/>
    <n v="29990"/>
    <n v="0"/>
    <n v="29990"/>
    <x v="0"/>
    <x v="1"/>
    <n v="1717094"/>
    <x v="37"/>
    <s v="MercadoLibre Chile LTDA"/>
  </r>
  <r>
    <m/>
    <s v="EGRESO"/>
    <d v="2022-10-06T00:00:00"/>
    <n v="10"/>
    <x v="0"/>
    <x v="0"/>
    <x v="7"/>
    <n v="0"/>
    <n v="29990"/>
    <n v="-29990"/>
    <x v="0"/>
    <x v="1"/>
    <n v="1717094"/>
    <x v="37"/>
    <s v="MercadoLibre Chile LTDA"/>
  </r>
  <r>
    <m/>
    <s v="EGRESO"/>
    <d v="2022-10-06T00:00:00"/>
    <n v="10"/>
    <x v="1"/>
    <x v="12"/>
    <x v="7"/>
    <n v="195339"/>
    <n v="0"/>
    <n v="195339"/>
    <x v="0"/>
    <x v="1"/>
    <n v="701003"/>
    <x v="5"/>
    <s v="Comercial Mundo Transfer Ltda"/>
  </r>
  <r>
    <m/>
    <s v="EGRESO"/>
    <d v="2022-10-06T00:00:00"/>
    <n v="10"/>
    <x v="0"/>
    <x v="0"/>
    <x v="7"/>
    <n v="0"/>
    <n v="195339"/>
    <n v="-195339"/>
    <x v="0"/>
    <x v="1"/>
    <n v="701003"/>
    <x v="5"/>
    <s v="Comercial Mundo Transfer Ltda"/>
  </r>
  <r>
    <m/>
    <s v="EGRESO"/>
    <d v="2022-10-07T00:00:00"/>
    <n v="10"/>
    <x v="1"/>
    <x v="12"/>
    <x v="7"/>
    <n v="165065"/>
    <n v="0"/>
    <n v="165065"/>
    <x v="0"/>
    <x v="1"/>
    <n v="402271"/>
    <x v="6"/>
    <s v="Texora S.A"/>
  </r>
  <r>
    <m/>
    <s v="EGRESO"/>
    <d v="2022-10-07T00:00:00"/>
    <n v="10"/>
    <x v="0"/>
    <x v="0"/>
    <x v="7"/>
    <n v="0"/>
    <n v="165065"/>
    <n v="-165065"/>
    <x v="0"/>
    <x v="1"/>
    <n v="402271"/>
    <x v="6"/>
    <s v="Texora S.A"/>
  </r>
  <r>
    <m/>
    <s v="EGRESO"/>
    <d v="2022-10-12T00:00:00"/>
    <n v="10"/>
    <x v="1"/>
    <x v="12"/>
    <x v="7"/>
    <n v="18000"/>
    <n v="0"/>
    <n v="18000"/>
    <x v="0"/>
    <x v="1"/>
    <n v="164521"/>
    <x v="3"/>
    <s v="TEXTIL SUMEY LTDA"/>
  </r>
  <r>
    <m/>
    <s v="EGRESO"/>
    <d v="2022-10-12T00:00:00"/>
    <n v="10"/>
    <x v="0"/>
    <x v="0"/>
    <x v="7"/>
    <n v="0"/>
    <n v="18000"/>
    <n v="-18000"/>
    <x v="0"/>
    <x v="1"/>
    <n v="164521"/>
    <x v="3"/>
    <s v="TEXTIL SUMEY LTDA"/>
  </r>
  <r>
    <m/>
    <s v="EGRESO"/>
    <d v="2022-10-13T00:00:00"/>
    <n v="10"/>
    <x v="1"/>
    <x v="12"/>
    <x v="7"/>
    <n v="2820"/>
    <n v="0"/>
    <n v="2820"/>
    <x v="0"/>
    <x v="1"/>
    <n v="369607"/>
    <x v="38"/>
    <s v="Homs"/>
  </r>
  <r>
    <m/>
    <s v="EGRESO"/>
    <d v="2022-10-13T00:00:00"/>
    <n v="10"/>
    <x v="0"/>
    <x v="0"/>
    <x v="7"/>
    <n v="0"/>
    <n v="2820"/>
    <n v="-2820"/>
    <x v="0"/>
    <x v="1"/>
    <n v="369607"/>
    <x v="38"/>
    <s v="Homs"/>
  </r>
  <r>
    <m/>
    <s v="EGRESO"/>
    <d v="2022-10-14T00:00:00"/>
    <n v="10"/>
    <x v="1"/>
    <x v="12"/>
    <x v="7"/>
    <n v="17100"/>
    <n v="0"/>
    <n v="17100"/>
    <x v="0"/>
    <x v="1"/>
    <n v="5111"/>
    <x v="22"/>
    <s v="IMPORTADORA Y EXPORTADORA FUMI ZZ LIMITADA"/>
  </r>
  <r>
    <m/>
    <s v="EGRESO"/>
    <d v="2022-10-14T00:00:00"/>
    <n v="10"/>
    <x v="0"/>
    <x v="0"/>
    <x v="7"/>
    <n v="0"/>
    <n v="17100"/>
    <n v="-17100"/>
    <x v="0"/>
    <x v="1"/>
    <n v="5111"/>
    <x v="22"/>
    <s v="IMPORTADORA Y EXPORTADORA FUMI ZZ LIMITADA"/>
  </r>
  <r>
    <m/>
    <s v="EGRESO"/>
    <d v="2022-10-14T00:00:00"/>
    <n v="10"/>
    <x v="1"/>
    <x v="12"/>
    <x v="7"/>
    <n v="192259"/>
    <n v="0"/>
    <n v="192259"/>
    <x v="0"/>
    <x v="1"/>
    <n v="317825"/>
    <x v="12"/>
    <s v="COMERCIAL SATEX LTDA"/>
  </r>
  <r>
    <m/>
    <s v="EGRESO"/>
    <d v="2022-10-14T00:00:00"/>
    <n v="10"/>
    <x v="0"/>
    <x v="0"/>
    <x v="7"/>
    <n v="0"/>
    <n v="192259"/>
    <n v="-192259"/>
    <x v="0"/>
    <x v="1"/>
    <n v="317825"/>
    <x v="12"/>
    <s v="COMERCIAL SATEX LTDA"/>
  </r>
  <r>
    <m/>
    <s v="EGRESO"/>
    <d v="2022-10-14T00:00:00"/>
    <n v="10"/>
    <x v="1"/>
    <x v="12"/>
    <x v="7"/>
    <n v="3580"/>
    <n v="0"/>
    <n v="3580"/>
    <x v="0"/>
    <x v="1"/>
    <n v="1354"/>
    <x v="17"/>
    <s v="CASA YSS SPA"/>
  </r>
  <r>
    <m/>
    <s v="EGRESO"/>
    <d v="2022-10-14T00:00:00"/>
    <n v="10"/>
    <x v="0"/>
    <x v="0"/>
    <x v="7"/>
    <n v="0"/>
    <n v="3580"/>
    <n v="-3580"/>
    <x v="0"/>
    <x v="1"/>
    <n v="1354"/>
    <x v="17"/>
    <s v="CASA YSS SPA"/>
  </r>
  <r>
    <m/>
    <s v="EGRESO"/>
    <d v="2022-10-14T00:00:00"/>
    <n v="10"/>
    <x v="1"/>
    <x v="12"/>
    <x v="7"/>
    <n v="6000"/>
    <n v="0"/>
    <n v="6000"/>
    <x v="0"/>
    <x v="1"/>
    <n v="12508"/>
    <x v="31"/>
    <s v="COMERCIAL AHN Y PAEK LTDA"/>
  </r>
  <r>
    <m/>
    <s v="EGRESO"/>
    <d v="2022-10-14T00:00:00"/>
    <n v="10"/>
    <x v="0"/>
    <x v="0"/>
    <x v="7"/>
    <n v="0"/>
    <n v="6000"/>
    <n v="-6000"/>
    <x v="0"/>
    <x v="1"/>
    <n v="12508"/>
    <x v="31"/>
    <s v="COMERCIAL AHN Y PAEK LTDA"/>
  </r>
  <r>
    <m/>
    <s v="EGRESO"/>
    <d v="2022-10-17T00:00:00"/>
    <n v="10"/>
    <x v="1"/>
    <x v="12"/>
    <x v="7"/>
    <n v="385858"/>
    <n v="0"/>
    <n v="385858"/>
    <x v="0"/>
    <x v="1"/>
    <n v="403014"/>
    <x v="6"/>
    <s v="Texora S.A"/>
  </r>
  <r>
    <m/>
    <s v="EGRESO"/>
    <d v="2022-10-17T00:00:00"/>
    <n v="10"/>
    <x v="0"/>
    <x v="0"/>
    <x v="7"/>
    <n v="0"/>
    <n v="385858"/>
    <n v="-385858"/>
    <x v="0"/>
    <x v="1"/>
    <n v="403014"/>
    <x v="6"/>
    <s v="Texora S.A"/>
  </r>
  <r>
    <m/>
    <s v="EGRESO"/>
    <d v="2022-10-18T00:00:00"/>
    <n v="10"/>
    <x v="1"/>
    <x v="12"/>
    <x v="7"/>
    <n v="7215"/>
    <n v="0"/>
    <n v="7215"/>
    <x v="0"/>
    <x v="1"/>
    <n v="318105"/>
    <x v="12"/>
    <s v="COMERCIAL SATEX LTDA"/>
  </r>
  <r>
    <m/>
    <s v="EGRESO"/>
    <d v="2022-10-18T00:00:00"/>
    <n v="10"/>
    <x v="0"/>
    <x v="0"/>
    <x v="7"/>
    <n v="0"/>
    <n v="7215"/>
    <n v="-7215"/>
    <x v="0"/>
    <x v="1"/>
    <n v="318105"/>
    <x v="12"/>
    <s v="COMERCIAL SATEX LTDA"/>
  </r>
  <r>
    <m/>
    <s v="EGRESO"/>
    <d v="2022-10-20T00:00:00"/>
    <n v="10"/>
    <x v="1"/>
    <x v="12"/>
    <x v="7"/>
    <n v="510510"/>
    <n v="0"/>
    <n v="510510"/>
    <x v="0"/>
    <x v="1"/>
    <n v="403735"/>
    <x v="6"/>
    <s v="Texora S.A"/>
  </r>
  <r>
    <m/>
    <s v="EGRESO"/>
    <d v="2022-10-20T00:00:00"/>
    <n v="10"/>
    <x v="0"/>
    <x v="0"/>
    <x v="7"/>
    <n v="0"/>
    <n v="510510"/>
    <n v="-510510"/>
    <x v="0"/>
    <x v="1"/>
    <n v="403735"/>
    <x v="6"/>
    <s v="Texora S.A"/>
  </r>
  <r>
    <m/>
    <s v="EGRESO"/>
    <d v="2022-10-16T00:00:00"/>
    <n v="10"/>
    <x v="1"/>
    <x v="12"/>
    <x v="7"/>
    <n v="42960"/>
    <n v="0"/>
    <n v="42960"/>
    <x v="0"/>
    <x v="1"/>
    <n v="10839741"/>
    <x v="9"/>
    <s v="WOM S.A."/>
  </r>
  <r>
    <m/>
    <s v="EGRESO"/>
    <d v="2022-10-16T00:00:00"/>
    <n v="10"/>
    <x v="0"/>
    <x v="0"/>
    <x v="7"/>
    <n v="0"/>
    <n v="42960"/>
    <n v="-42960"/>
    <x v="0"/>
    <x v="1"/>
    <n v="10839741"/>
    <x v="9"/>
    <s v="WOM S.A."/>
  </r>
  <r>
    <m/>
    <s v="EGRESO"/>
    <d v="2022-10-24T00:00:00"/>
    <n v="10"/>
    <x v="1"/>
    <x v="12"/>
    <x v="7"/>
    <n v="9290"/>
    <n v="0"/>
    <n v="9290"/>
    <x v="0"/>
    <x v="1"/>
    <n v="38294"/>
    <x v="21"/>
    <s v="SOCIEDAD TEXORA WORKWEAR STORE CHILE SPA"/>
  </r>
  <r>
    <m/>
    <s v="EGRESO"/>
    <d v="2022-10-24T00:00:00"/>
    <n v="10"/>
    <x v="0"/>
    <x v="0"/>
    <x v="7"/>
    <n v="0"/>
    <n v="9290"/>
    <n v="-9290"/>
    <x v="0"/>
    <x v="1"/>
    <n v="38294"/>
    <x v="21"/>
    <s v="SOCIEDAD TEXORA WORKWEAR STORE CHILE SPA"/>
  </r>
  <r>
    <m/>
    <s v="EGRESO"/>
    <d v="2022-10-25T00:00:00"/>
    <n v="10"/>
    <x v="1"/>
    <x v="12"/>
    <x v="7"/>
    <n v="326782"/>
    <n v="0"/>
    <n v="326782"/>
    <x v="0"/>
    <x v="1"/>
    <n v="705839"/>
    <x v="5"/>
    <s v="Comercial Mundo Transfer Ltda"/>
  </r>
  <r>
    <m/>
    <s v="EGRESO"/>
    <d v="2022-10-25T00:00:00"/>
    <n v="10"/>
    <x v="0"/>
    <x v="0"/>
    <x v="7"/>
    <n v="0"/>
    <n v="326782"/>
    <n v="-326782"/>
    <x v="0"/>
    <x v="1"/>
    <n v="705839"/>
    <x v="5"/>
    <s v="Comercial Mundo Transfer Ltda"/>
  </r>
  <r>
    <m/>
    <s v="EGRESO"/>
    <d v="2022-10-28T00:00:00"/>
    <n v="10"/>
    <x v="1"/>
    <x v="12"/>
    <x v="7"/>
    <n v="144192"/>
    <n v="0"/>
    <n v="144192"/>
    <x v="0"/>
    <x v="1"/>
    <n v="405797"/>
    <x v="6"/>
    <s v="Texora S.A"/>
  </r>
  <r>
    <m/>
    <s v="EGRESO"/>
    <d v="2022-10-28T00:00:00"/>
    <n v="10"/>
    <x v="0"/>
    <x v="0"/>
    <x v="7"/>
    <n v="0"/>
    <n v="144192"/>
    <n v="-144192"/>
    <x v="0"/>
    <x v="1"/>
    <n v="405797"/>
    <x v="6"/>
    <s v="Texora S.A"/>
  </r>
  <r>
    <m/>
    <s v="EGRESO"/>
    <d v="2022-10-05T00:00:00"/>
    <n v="10"/>
    <x v="1"/>
    <x v="12"/>
    <x v="7"/>
    <n v="0"/>
    <n v="139750"/>
    <n v="-139750"/>
    <x v="0"/>
    <x v="2"/>
    <n v="71"/>
    <x v="22"/>
    <s v="IMPORTADORA Y EXPORTADORA FUMI ZZ LIMITADA"/>
  </r>
  <r>
    <m/>
    <s v="EGRESO"/>
    <d v="2022-10-05T00:00:00"/>
    <n v="10"/>
    <x v="0"/>
    <x v="0"/>
    <x v="7"/>
    <n v="139750"/>
    <n v="0"/>
    <n v="139750"/>
    <x v="0"/>
    <x v="2"/>
    <n v="71"/>
    <x v="22"/>
    <s v="IMPORTADORA Y EXPORTADORA FUMI ZZ LIMITADA"/>
  </r>
  <r>
    <m/>
    <s v="EGRESO"/>
    <d v="2022-10-26T00:00:00"/>
    <n v="11"/>
    <x v="1"/>
    <x v="12"/>
    <x v="7"/>
    <n v="12126"/>
    <n v="0"/>
    <n v="12126"/>
    <x v="0"/>
    <x v="1"/>
    <n v="319197"/>
    <x v="12"/>
    <s v="COMERCIAL SATEX LTDA"/>
  </r>
  <r>
    <m/>
    <s v="EGRESO"/>
    <d v="2022-10-26T00:00:00"/>
    <n v="11"/>
    <x v="0"/>
    <x v="0"/>
    <x v="7"/>
    <n v="0"/>
    <n v="12126"/>
    <n v="-12126"/>
    <x v="0"/>
    <x v="1"/>
    <n v="319197"/>
    <x v="12"/>
    <s v="COMERCIAL SATEX LTDA"/>
  </r>
  <r>
    <m/>
    <s v="EGRESO"/>
    <d v="2022-10-26T00:00:00"/>
    <n v="11"/>
    <x v="1"/>
    <x v="12"/>
    <x v="7"/>
    <n v="702000"/>
    <n v="0"/>
    <n v="702000"/>
    <x v="0"/>
    <x v="1"/>
    <n v="5488"/>
    <x v="22"/>
    <s v="IMPORTADORA Y EXPORTADORA FUMI ZZ LIMITADA"/>
  </r>
  <r>
    <m/>
    <s v="EGRESO"/>
    <d v="2022-10-26T00:00:00"/>
    <n v="11"/>
    <x v="0"/>
    <x v="0"/>
    <x v="7"/>
    <n v="0"/>
    <n v="702000"/>
    <n v="-702000"/>
    <x v="0"/>
    <x v="1"/>
    <n v="5488"/>
    <x v="22"/>
    <s v="IMPORTADORA Y EXPORTADORA FUMI ZZ LIMITADA"/>
  </r>
  <r>
    <m/>
    <s v="EGRESO"/>
    <d v="2022-11-02T00:00:00"/>
    <n v="11"/>
    <x v="1"/>
    <x v="12"/>
    <x v="7"/>
    <n v="33130"/>
    <n v="0"/>
    <n v="33130"/>
    <x v="0"/>
    <x v="1"/>
    <n v="405905"/>
    <x v="6"/>
    <s v="Texora S.A"/>
  </r>
  <r>
    <m/>
    <s v="EGRESO"/>
    <d v="2022-11-02T00:00:00"/>
    <n v="11"/>
    <x v="0"/>
    <x v="0"/>
    <x v="7"/>
    <n v="0"/>
    <n v="33130"/>
    <n v="-33130"/>
    <x v="0"/>
    <x v="1"/>
    <n v="405905"/>
    <x v="6"/>
    <s v="Texora S.A"/>
  </r>
  <r>
    <m/>
    <s v="EGRESO"/>
    <d v="2022-11-02T00:00:00"/>
    <n v="11"/>
    <x v="1"/>
    <x v="12"/>
    <x v="7"/>
    <n v="221490"/>
    <n v="0"/>
    <n v="221490"/>
    <x v="0"/>
    <x v="1"/>
    <n v="707451"/>
    <x v="5"/>
    <s v="Comercial Mundo Transfer Ltda"/>
  </r>
  <r>
    <m/>
    <s v="EGRESO"/>
    <d v="2022-11-02T00:00:00"/>
    <n v="11"/>
    <x v="0"/>
    <x v="0"/>
    <x v="7"/>
    <n v="0"/>
    <n v="221490"/>
    <n v="-221490"/>
    <x v="0"/>
    <x v="1"/>
    <n v="707451"/>
    <x v="5"/>
    <s v="Comercial Mundo Transfer Ltda"/>
  </r>
  <r>
    <m/>
    <s v="EGRESO"/>
    <d v="2022-11-02T00:00:00"/>
    <n v="11"/>
    <x v="1"/>
    <x v="12"/>
    <x v="7"/>
    <n v="1915"/>
    <n v="0"/>
    <n v="1915"/>
    <x v="0"/>
    <x v="1"/>
    <n v="707466"/>
    <x v="5"/>
    <s v="Comercial Mundo Transfer Ltda"/>
  </r>
  <r>
    <m/>
    <s v="EGRESO"/>
    <d v="2022-11-02T00:00:00"/>
    <n v="11"/>
    <x v="0"/>
    <x v="0"/>
    <x v="7"/>
    <n v="0"/>
    <n v="1915"/>
    <n v="-1915"/>
    <x v="0"/>
    <x v="1"/>
    <n v="707466"/>
    <x v="5"/>
    <s v="Comercial Mundo Transfer Ltda"/>
  </r>
  <r>
    <m/>
    <s v="EGRESO"/>
    <d v="2022-11-02T00:00:00"/>
    <n v="11"/>
    <x v="1"/>
    <x v="12"/>
    <x v="7"/>
    <n v="9282"/>
    <n v="0"/>
    <n v="9282"/>
    <x v="0"/>
    <x v="1"/>
    <n v="406062"/>
    <x v="6"/>
    <s v="Texora S.A"/>
  </r>
  <r>
    <m/>
    <s v="EGRESO"/>
    <d v="2022-11-02T00:00:00"/>
    <n v="11"/>
    <x v="0"/>
    <x v="0"/>
    <x v="7"/>
    <n v="0"/>
    <n v="9282"/>
    <n v="-9282"/>
    <x v="0"/>
    <x v="1"/>
    <n v="406062"/>
    <x v="6"/>
    <s v="Texora S.A"/>
  </r>
  <r>
    <m/>
    <s v="EGRESO"/>
    <d v="2022-11-04T00:00:00"/>
    <n v="11"/>
    <x v="1"/>
    <x v="12"/>
    <x v="7"/>
    <n v="22201"/>
    <n v="0"/>
    <n v="22201"/>
    <x v="0"/>
    <x v="1"/>
    <n v="62"/>
    <x v="26"/>
    <s v="TODO EMPAQUE SPA"/>
  </r>
  <r>
    <m/>
    <s v="EGRESO"/>
    <d v="2022-11-04T00:00:00"/>
    <n v="11"/>
    <x v="0"/>
    <x v="0"/>
    <x v="7"/>
    <n v="0"/>
    <n v="22201"/>
    <n v="-22201"/>
    <x v="0"/>
    <x v="1"/>
    <n v="62"/>
    <x v="26"/>
    <s v="TODO EMPAQUE SPA"/>
  </r>
  <r>
    <m/>
    <s v="EGRESO"/>
    <d v="2022-11-08T00:00:00"/>
    <n v="11"/>
    <x v="1"/>
    <x v="12"/>
    <x v="7"/>
    <n v="14990"/>
    <n v="0"/>
    <n v="14990"/>
    <x v="0"/>
    <x v="1"/>
    <n v="38956"/>
    <x v="21"/>
    <s v="SOCIEDAD TEXORA WORKWEAR STORE CHILE SPA"/>
  </r>
  <r>
    <m/>
    <s v="EGRESO"/>
    <d v="2022-11-08T00:00:00"/>
    <n v="11"/>
    <x v="0"/>
    <x v="0"/>
    <x v="7"/>
    <n v="0"/>
    <n v="14990"/>
    <n v="-14990"/>
    <x v="0"/>
    <x v="1"/>
    <n v="38956"/>
    <x v="21"/>
    <s v="SOCIEDAD TEXORA WORKWEAR STORE CHILE SPA"/>
  </r>
  <r>
    <m/>
    <s v="EGRESO"/>
    <d v="2022-11-08T00:00:00"/>
    <n v="11"/>
    <x v="1"/>
    <x v="12"/>
    <x v="7"/>
    <n v="122609"/>
    <n v="0"/>
    <n v="122609"/>
    <x v="0"/>
    <x v="1"/>
    <n v="708892"/>
    <x v="5"/>
    <s v="Comercial Mundo Transfer Ltda"/>
  </r>
  <r>
    <m/>
    <s v="EGRESO"/>
    <d v="2022-11-08T00:00:00"/>
    <n v="11"/>
    <x v="0"/>
    <x v="0"/>
    <x v="7"/>
    <n v="0"/>
    <n v="122609"/>
    <n v="-122609"/>
    <x v="0"/>
    <x v="1"/>
    <n v="708892"/>
    <x v="5"/>
    <s v="Comercial Mundo Transfer Ltda"/>
  </r>
  <r>
    <m/>
    <s v="EGRESO"/>
    <d v="2022-11-09T00:00:00"/>
    <n v="11"/>
    <x v="1"/>
    <x v="12"/>
    <x v="7"/>
    <n v="240999"/>
    <n v="0"/>
    <n v="240999"/>
    <x v="0"/>
    <x v="1"/>
    <n v="407156"/>
    <x v="6"/>
    <s v="Texora S.A"/>
  </r>
  <r>
    <m/>
    <s v="EGRESO"/>
    <d v="2022-11-09T00:00:00"/>
    <n v="11"/>
    <x v="0"/>
    <x v="0"/>
    <x v="7"/>
    <n v="0"/>
    <n v="240999"/>
    <n v="-240999"/>
    <x v="0"/>
    <x v="1"/>
    <n v="407156"/>
    <x v="6"/>
    <s v="Texora S.A"/>
  </r>
  <r>
    <m/>
    <s v="EGRESO"/>
    <d v="2022-11-09T00:00:00"/>
    <n v="11"/>
    <x v="1"/>
    <x v="12"/>
    <x v="7"/>
    <n v="190924"/>
    <n v="0"/>
    <n v="190924"/>
    <x v="0"/>
    <x v="1"/>
    <n v="407264"/>
    <x v="6"/>
    <s v="Texora S.A"/>
  </r>
  <r>
    <m/>
    <s v="EGRESO"/>
    <d v="2022-11-09T00:00:00"/>
    <n v="11"/>
    <x v="0"/>
    <x v="0"/>
    <x v="7"/>
    <n v="0"/>
    <n v="190924"/>
    <n v="-190924"/>
    <x v="0"/>
    <x v="1"/>
    <n v="407264"/>
    <x v="6"/>
    <s v="Texora S.A"/>
  </r>
  <r>
    <m/>
    <s v="EGRESO"/>
    <d v="2022-11-10T00:00:00"/>
    <n v="11"/>
    <x v="1"/>
    <x v="12"/>
    <x v="7"/>
    <n v="9800"/>
    <n v="0"/>
    <n v="9800"/>
    <x v="0"/>
    <x v="1"/>
    <n v="68"/>
    <x v="26"/>
    <s v="TODO EMPAQUE SPA"/>
  </r>
  <r>
    <m/>
    <s v="EGRESO"/>
    <d v="2022-11-10T00:00:00"/>
    <n v="11"/>
    <x v="0"/>
    <x v="0"/>
    <x v="7"/>
    <n v="0"/>
    <n v="9800"/>
    <n v="-9800"/>
    <x v="0"/>
    <x v="1"/>
    <n v="68"/>
    <x v="26"/>
    <s v="TODO EMPAQUE SPA"/>
  </r>
  <r>
    <m/>
    <s v="EGRESO"/>
    <d v="2022-11-11T00:00:00"/>
    <n v="11"/>
    <x v="1"/>
    <x v="12"/>
    <x v="7"/>
    <n v="148905"/>
    <n v="0"/>
    <n v="148905"/>
    <x v="0"/>
    <x v="1"/>
    <n v="407780"/>
    <x v="6"/>
    <s v="Texora S.A"/>
  </r>
  <r>
    <m/>
    <s v="EGRESO"/>
    <d v="2022-11-11T00:00:00"/>
    <n v="11"/>
    <x v="0"/>
    <x v="0"/>
    <x v="7"/>
    <n v="0"/>
    <n v="148905"/>
    <n v="-148905"/>
    <x v="0"/>
    <x v="1"/>
    <n v="407780"/>
    <x v="6"/>
    <s v="Texora S.A"/>
  </r>
  <r>
    <m/>
    <s v="EGRESO"/>
    <d v="2022-11-11T00:00:00"/>
    <n v="11"/>
    <x v="1"/>
    <x v="12"/>
    <x v="7"/>
    <n v="92058"/>
    <n v="0"/>
    <n v="92058"/>
    <x v="0"/>
    <x v="1"/>
    <n v="407781"/>
    <x v="6"/>
    <s v="Texora S.A"/>
  </r>
  <r>
    <m/>
    <s v="EGRESO"/>
    <d v="2022-11-11T00:00:00"/>
    <n v="11"/>
    <x v="0"/>
    <x v="0"/>
    <x v="7"/>
    <n v="0"/>
    <n v="92058"/>
    <n v="-92058"/>
    <x v="0"/>
    <x v="1"/>
    <n v="407781"/>
    <x v="6"/>
    <s v="Texora S.A"/>
  </r>
  <r>
    <m/>
    <s v="EGRESO"/>
    <d v="2022-11-14T00:00:00"/>
    <n v="11"/>
    <x v="1"/>
    <x v="12"/>
    <x v="7"/>
    <n v="33844"/>
    <n v="0"/>
    <n v="33844"/>
    <x v="0"/>
    <x v="1"/>
    <n v="407876"/>
    <x v="6"/>
    <s v="Texora S.A"/>
  </r>
  <r>
    <m/>
    <s v="EGRESO"/>
    <d v="2022-11-14T00:00:00"/>
    <n v="11"/>
    <x v="0"/>
    <x v="0"/>
    <x v="7"/>
    <n v="0"/>
    <n v="33844"/>
    <n v="-33844"/>
    <x v="0"/>
    <x v="1"/>
    <n v="407876"/>
    <x v="6"/>
    <s v="Texora S.A"/>
  </r>
  <r>
    <m/>
    <s v="EGRESO"/>
    <d v="2022-11-15T00:00:00"/>
    <n v="11"/>
    <x v="1"/>
    <x v="12"/>
    <x v="7"/>
    <n v="59978"/>
    <n v="0"/>
    <n v="59978"/>
    <x v="0"/>
    <x v="1"/>
    <n v="18228"/>
    <x v="33"/>
    <s v="IMPORTADORA ANDESLAND LIMITADA"/>
  </r>
  <r>
    <m/>
    <s v="EGRESO"/>
    <d v="2022-11-15T00:00:00"/>
    <n v="11"/>
    <x v="0"/>
    <x v="0"/>
    <x v="7"/>
    <n v="0"/>
    <n v="59978"/>
    <n v="-59978"/>
    <x v="0"/>
    <x v="1"/>
    <n v="18228"/>
    <x v="33"/>
    <s v="IMPORTADORA ANDESLAND LIMITADA"/>
  </r>
  <r>
    <m/>
    <s v="EGRESO"/>
    <d v="2022-11-15T00:00:00"/>
    <n v="11"/>
    <x v="1"/>
    <x v="12"/>
    <x v="7"/>
    <n v="6500"/>
    <n v="0"/>
    <n v="6500"/>
    <x v="0"/>
    <x v="1"/>
    <n v="49032"/>
    <x v="13"/>
    <s v="INVERSIONES SIRACUSA SPA"/>
  </r>
  <r>
    <m/>
    <s v="EGRESO"/>
    <d v="2022-11-15T00:00:00"/>
    <n v="11"/>
    <x v="0"/>
    <x v="0"/>
    <x v="7"/>
    <n v="0"/>
    <n v="6500"/>
    <n v="-6500"/>
    <x v="0"/>
    <x v="1"/>
    <n v="49032"/>
    <x v="13"/>
    <s v="INVERSIONES SIRACUSA SPA"/>
  </r>
  <r>
    <m/>
    <s v="EGRESO"/>
    <d v="2022-11-15T00:00:00"/>
    <n v="11"/>
    <x v="1"/>
    <x v="12"/>
    <x v="7"/>
    <n v="7843"/>
    <n v="0"/>
    <n v="7843"/>
    <x v="0"/>
    <x v="1"/>
    <n v="710843"/>
    <x v="5"/>
    <s v="Comercial Mundo Transfer Ltda"/>
  </r>
  <r>
    <m/>
    <s v="EGRESO"/>
    <d v="2022-11-15T00:00:00"/>
    <n v="11"/>
    <x v="0"/>
    <x v="0"/>
    <x v="7"/>
    <n v="0"/>
    <n v="7843"/>
    <n v="-7843"/>
    <x v="0"/>
    <x v="1"/>
    <n v="710843"/>
    <x v="5"/>
    <s v="Comercial Mundo Transfer Ltda"/>
  </r>
  <r>
    <m/>
    <s v="EGRESO"/>
    <d v="2022-11-16T00:00:00"/>
    <n v="11"/>
    <x v="1"/>
    <x v="12"/>
    <x v="7"/>
    <n v="25352"/>
    <n v="0"/>
    <n v="25352"/>
    <x v="0"/>
    <x v="1"/>
    <n v="711415"/>
    <x v="5"/>
    <s v="Comercial Mundo Transfer Ltda"/>
  </r>
  <r>
    <m/>
    <s v="EGRESO"/>
    <d v="2022-11-16T00:00:00"/>
    <n v="11"/>
    <x v="0"/>
    <x v="0"/>
    <x v="7"/>
    <n v="0"/>
    <n v="25352"/>
    <n v="-25352"/>
    <x v="0"/>
    <x v="1"/>
    <n v="711415"/>
    <x v="5"/>
    <s v="Comercial Mundo Transfer Ltda"/>
  </r>
  <r>
    <m/>
    <s v="EGRESO"/>
    <d v="2022-11-17T00:00:00"/>
    <n v="11"/>
    <x v="1"/>
    <x v="12"/>
    <x v="7"/>
    <n v="128948"/>
    <n v="0"/>
    <n v="128948"/>
    <x v="0"/>
    <x v="1"/>
    <n v="408734"/>
    <x v="6"/>
    <s v="Texora S.A"/>
  </r>
  <r>
    <m/>
    <s v="EGRESO"/>
    <d v="2022-11-17T00:00:00"/>
    <n v="11"/>
    <x v="0"/>
    <x v="0"/>
    <x v="7"/>
    <n v="0"/>
    <n v="128948"/>
    <n v="-128948"/>
    <x v="0"/>
    <x v="1"/>
    <n v="408734"/>
    <x v="6"/>
    <s v="Texora S.A"/>
  </r>
  <r>
    <m/>
    <s v="EGRESO"/>
    <d v="2022-11-20T00:00:00"/>
    <n v="11"/>
    <x v="1"/>
    <x v="12"/>
    <x v="7"/>
    <n v="66224"/>
    <n v="0"/>
    <n v="66224"/>
    <x v="0"/>
    <x v="1"/>
    <n v="17721005"/>
    <x v="39"/>
    <s v="CENCOSUD RETAIL S.A."/>
  </r>
  <r>
    <m/>
    <s v="EGRESO"/>
    <d v="2022-11-20T00:00:00"/>
    <n v="11"/>
    <x v="0"/>
    <x v="0"/>
    <x v="7"/>
    <n v="0"/>
    <n v="66224"/>
    <n v="-66224"/>
    <x v="0"/>
    <x v="1"/>
    <n v="17721005"/>
    <x v="39"/>
    <s v="CENCOSUD RETAIL S.A."/>
  </r>
  <r>
    <m/>
    <s v="EGRESO"/>
    <d v="2022-11-16T00:00:00"/>
    <n v="11"/>
    <x v="1"/>
    <x v="12"/>
    <x v="7"/>
    <n v="42960"/>
    <n v="0"/>
    <n v="42960"/>
    <x v="0"/>
    <x v="1"/>
    <n v="10995693"/>
    <x v="9"/>
    <s v="WOM S.A."/>
  </r>
  <r>
    <m/>
    <s v="EGRESO"/>
    <d v="2022-11-16T00:00:00"/>
    <n v="11"/>
    <x v="0"/>
    <x v="0"/>
    <x v="7"/>
    <n v="0"/>
    <n v="42960"/>
    <n v="-42960"/>
    <x v="0"/>
    <x v="1"/>
    <n v="10995693"/>
    <x v="9"/>
    <s v="WOM S.A."/>
  </r>
  <r>
    <m/>
    <s v="EGRESO"/>
    <d v="2022-11-22T00:00:00"/>
    <n v="11"/>
    <x v="1"/>
    <x v="12"/>
    <x v="7"/>
    <n v="41969"/>
    <n v="0"/>
    <n v="41969"/>
    <x v="0"/>
    <x v="1"/>
    <n v="4147"/>
    <x v="10"/>
    <s v="IMPORTADORA Y COMERCIALIZADORA GORILA LIMITADA"/>
  </r>
  <r>
    <m/>
    <s v="EGRESO"/>
    <d v="2022-11-22T00:00:00"/>
    <n v="11"/>
    <x v="0"/>
    <x v="0"/>
    <x v="7"/>
    <n v="0"/>
    <n v="41969"/>
    <n v="-41969"/>
    <x v="0"/>
    <x v="1"/>
    <n v="4147"/>
    <x v="10"/>
    <s v="IMPORTADORA Y COMERCIALIZADORA GORILA LIMITADA"/>
  </r>
  <r>
    <m/>
    <s v="EGRESO"/>
    <d v="2022-11-22T00:00:00"/>
    <n v="11"/>
    <x v="1"/>
    <x v="12"/>
    <x v="7"/>
    <n v="5581"/>
    <n v="0"/>
    <n v="5581"/>
    <x v="0"/>
    <x v="1"/>
    <n v="712809"/>
    <x v="5"/>
    <s v="Comercial Mundo Transfer Ltda"/>
  </r>
  <r>
    <m/>
    <s v="EGRESO"/>
    <d v="2022-11-22T00:00:00"/>
    <n v="11"/>
    <x v="0"/>
    <x v="0"/>
    <x v="7"/>
    <n v="0"/>
    <n v="5581"/>
    <n v="-5581"/>
    <x v="0"/>
    <x v="1"/>
    <n v="712809"/>
    <x v="5"/>
    <s v="Comercial Mundo Transfer Ltda"/>
  </r>
  <r>
    <m/>
    <s v="EGRESO"/>
    <d v="2022-11-22T00:00:00"/>
    <n v="11"/>
    <x v="1"/>
    <x v="12"/>
    <x v="7"/>
    <n v="23600"/>
    <n v="0"/>
    <n v="23600"/>
    <x v="0"/>
    <x v="1"/>
    <n v="75"/>
    <x v="26"/>
    <s v="TODO EMPAQUE SPA"/>
  </r>
  <r>
    <m/>
    <s v="EGRESO"/>
    <d v="2022-11-22T00:00:00"/>
    <n v="11"/>
    <x v="0"/>
    <x v="0"/>
    <x v="7"/>
    <n v="0"/>
    <n v="23600"/>
    <n v="-23600"/>
    <x v="0"/>
    <x v="1"/>
    <n v="75"/>
    <x v="26"/>
    <s v="TODO EMPAQUE SPA"/>
  </r>
  <r>
    <m/>
    <s v="EGRESO"/>
    <d v="2022-11-23T00:00:00"/>
    <n v="11"/>
    <x v="1"/>
    <x v="12"/>
    <x v="7"/>
    <n v="18000"/>
    <n v="0"/>
    <n v="18000"/>
    <x v="0"/>
    <x v="1"/>
    <n v="168612"/>
    <x v="3"/>
    <s v="TEXTIL SUMEY LTDA"/>
  </r>
  <r>
    <m/>
    <s v="EGRESO"/>
    <d v="2022-11-23T00:00:00"/>
    <n v="11"/>
    <x v="0"/>
    <x v="0"/>
    <x v="7"/>
    <n v="0"/>
    <n v="18000"/>
    <n v="-18000"/>
    <x v="0"/>
    <x v="1"/>
    <n v="168612"/>
    <x v="3"/>
    <s v="TEXTIL SUMEY LTDA"/>
  </r>
  <r>
    <m/>
    <s v="EGRESO"/>
    <d v="2022-11-23T00:00:00"/>
    <n v="11"/>
    <x v="1"/>
    <x v="12"/>
    <x v="7"/>
    <n v="9006"/>
    <n v="0"/>
    <n v="9006"/>
    <x v="0"/>
    <x v="1"/>
    <n v="713174"/>
    <x v="5"/>
    <s v="Comercial Mundo Transfer Ltda"/>
  </r>
  <r>
    <m/>
    <s v="EGRESO"/>
    <d v="2022-11-23T00:00:00"/>
    <n v="11"/>
    <x v="0"/>
    <x v="0"/>
    <x v="7"/>
    <n v="0"/>
    <n v="9006"/>
    <n v="-9006"/>
    <x v="0"/>
    <x v="1"/>
    <n v="713174"/>
    <x v="5"/>
    <s v="Comercial Mundo Transfer Ltda"/>
  </r>
  <r>
    <m/>
    <s v="EGRESO"/>
    <d v="2022-11-23T00:00:00"/>
    <n v="11"/>
    <x v="1"/>
    <x v="12"/>
    <x v="7"/>
    <n v="43959"/>
    <n v="0"/>
    <n v="43959"/>
    <x v="0"/>
    <x v="1"/>
    <n v="4159"/>
    <x v="10"/>
    <s v="IMPORTADORA Y COMERCIALIZADORA GORILA LIMITADA"/>
  </r>
  <r>
    <m/>
    <s v="EGRESO"/>
    <d v="2022-11-23T00:00:00"/>
    <n v="11"/>
    <x v="0"/>
    <x v="0"/>
    <x v="7"/>
    <n v="0"/>
    <n v="43959"/>
    <n v="-43959"/>
    <x v="0"/>
    <x v="1"/>
    <n v="4159"/>
    <x v="10"/>
    <s v="IMPORTADORA Y COMERCIALIZADORA GORILA LIMITADA"/>
  </r>
  <r>
    <m/>
    <s v="EGRESO"/>
    <d v="2022-11-23T00:00:00"/>
    <n v="11"/>
    <x v="1"/>
    <x v="12"/>
    <x v="7"/>
    <n v="27906"/>
    <n v="0"/>
    <n v="27906"/>
    <x v="0"/>
    <x v="1"/>
    <n v="713217"/>
    <x v="5"/>
    <s v="Comercial Mundo Transfer Ltda"/>
  </r>
  <r>
    <m/>
    <s v="EGRESO"/>
    <d v="2022-11-23T00:00:00"/>
    <n v="11"/>
    <x v="0"/>
    <x v="0"/>
    <x v="7"/>
    <n v="0"/>
    <n v="27906"/>
    <n v="-27906"/>
    <x v="0"/>
    <x v="1"/>
    <n v="713217"/>
    <x v="5"/>
    <s v="Comercial Mundo Transfer Ltda"/>
  </r>
  <r>
    <m/>
    <s v="EGRESO"/>
    <d v="2022-11-24T00:00:00"/>
    <n v="11"/>
    <x v="1"/>
    <x v="12"/>
    <x v="7"/>
    <n v="304759"/>
    <n v="0"/>
    <n v="304759"/>
    <x v="0"/>
    <x v="1"/>
    <n v="713446"/>
    <x v="5"/>
    <s v="Comercial Mundo Transfer Ltda"/>
  </r>
  <r>
    <m/>
    <s v="EGRESO"/>
    <d v="2022-11-24T00:00:00"/>
    <n v="11"/>
    <x v="0"/>
    <x v="0"/>
    <x v="7"/>
    <n v="0"/>
    <n v="304759"/>
    <n v="-304759"/>
    <x v="0"/>
    <x v="1"/>
    <n v="713446"/>
    <x v="5"/>
    <s v="Comercial Mundo Transfer Ltda"/>
  </r>
  <r>
    <m/>
    <s v="EGRESO"/>
    <d v="2022-11-24T00:00:00"/>
    <n v="11"/>
    <x v="1"/>
    <x v="12"/>
    <x v="7"/>
    <n v="69020"/>
    <n v="0"/>
    <n v="69020"/>
    <x v="0"/>
    <x v="1"/>
    <n v="409669"/>
    <x v="6"/>
    <s v="Texora S.A"/>
  </r>
  <r>
    <m/>
    <s v="EGRESO"/>
    <d v="2022-11-24T00:00:00"/>
    <n v="11"/>
    <x v="0"/>
    <x v="0"/>
    <x v="7"/>
    <n v="0"/>
    <n v="69020"/>
    <n v="-69020"/>
    <x v="0"/>
    <x v="1"/>
    <n v="409669"/>
    <x v="6"/>
    <s v="Texora S.A"/>
  </r>
  <r>
    <m/>
    <s v="EGRESO"/>
    <d v="2022-11-24T00:00:00"/>
    <n v="11"/>
    <x v="1"/>
    <x v="12"/>
    <x v="7"/>
    <n v="42245"/>
    <n v="0"/>
    <n v="42245"/>
    <x v="0"/>
    <x v="1"/>
    <n v="409689"/>
    <x v="6"/>
    <s v="Texora S.A"/>
  </r>
  <r>
    <m/>
    <s v="EGRESO"/>
    <d v="2022-11-24T00:00:00"/>
    <n v="11"/>
    <x v="0"/>
    <x v="0"/>
    <x v="7"/>
    <n v="0"/>
    <n v="42245"/>
    <n v="-42245"/>
    <x v="0"/>
    <x v="1"/>
    <n v="409689"/>
    <x v="6"/>
    <s v="Texora S.A"/>
  </r>
  <r>
    <m/>
    <s v="EGRESO"/>
    <d v="2022-11-24T00:00:00"/>
    <n v="11"/>
    <x v="1"/>
    <x v="12"/>
    <x v="7"/>
    <n v="10282"/>
    <n v="0"/>
    <n v="10282"/>
    <x v="0"/>
    <x v="1"/>
    <n v="409726"/>
    <x v="6"/>
    <s v="Texora S.A"/>
  </r>
  <r>
    <m/>
    <s v="EGRESO"/>
    <d v="2022-11-24T00:00:00"/>
    <n v="11"/>
    <x v="0"/>
    <x v="0"/>
    <x v="7"/>
    <n v="0"/>
    <n v="10282"/>
    <n v="-10282"/>
    <x v="0"/>
    <x v="1"/>
    <n v="409726"/>
    <x v="6"/>
    <s v="Texora S.A"/>
  </r>
  <r>
    <m/>
    <s v="EGRESO"/>
    <d v="2022-11-25T00:00:00"/>
    <n v="11"/>
    <x v="1"/>
    <x v="12"/>
    <x v="7"/>
    <n v="38270"/>
    <n v="0"/>
    <n v="38270"/>
    <x v="0"/>
    <x v="1"/>
    <n v="410036"/>
    <x v="6"/>
    <s v="Texora S.A"/>
  </r>
  <r>
    <m/>
    <s v="EGRESO"/>
    <d v="2022-11-25T00:00:00"/>
    <n v="11"/>
    <x v="0"/>
    <x v="0"/>
    <x v="7"/>
    <n v="0"/>
    <n v="38270"/>
    <n v="-38270"/>
    <x v="0"/>
    <x v="1"/>
    <n v="410036"/>
    <x v="6"/>
    <s v="Texora S.A"/>
  </r>
  <r>
    <m/>
    <s v="EGRESO"/>
    <d v="2022-11-26T00:00:00"/>
    <n v="11"/>
    <x v="1"/>
    <x v="12"/>
    <x v="7"/>
    <n v="194922"/>
    <n v="0"/>
    <n v="194922"/>
    <x v="0"/>
    <x v="1"/>
    <n v="2008"/>
    <x v="19"/>
    <s v="TEXTIL HAPI LIMITADA"/>
  </r>
  <r>
    <m/>
    <s v="EGRESO"/>
    <d v="2022-11-26T00:00:00"/>
    <n v="11"/>
    <x v="0"/>
    <x v="0"/>
    <x v="7"/>
    <n v="0"/>
    <n v="194922"/>
    <n v="-194922"/>
    <x v="0"/>
    <x v="1"/>
    <n v="2008"/>
    <x v="19"/>
    <s v="TEXTIL HAPI LIMITADA"/>
  </r>
  <r>
    <m/>
    <s v="EGRESO"/>
    <d v="2022-11-27T00:00:00"/>
    <n v="11"/>
    <x v="1"/>
    <x v="12"/>
    <x v="7"/>
    <n v="116773"/>
    <n v="0"/>
    <n v="116773"/>
    <x v="0"/>
    <x v="1"/>
    <n v="17732836"/>
    <x v="39"/>
    <s v="CENCOSUD RETAIL S.A."/>
  </r>
  <r>
    <m/>
    <s v="EGRESO"/>
    <d v="2022-11-27T00:00:00"/>
    <n v="11"/>
    <x v="0"/>
    <x v="0"/>
    <x v="7"/>
    <n v="0"/>
    <n v="116773"/>
    <n v="-116773"/>
    <x v="0"/>
    <x v="1"/>
    <n v="17732836"/>
    <x v="39"/>
    <s v="CENCOSUD RETAIL S.A."/>
  </r>
  <r>
    <m/>
    <s v="EGRESO"/>
    <d v="2022-11-28T00:00:00"/>
    <n v="11"/>
    <x v="1"/>
    <x v="12"/>
    <x v="7"/>
    <n v="12990"/>
    <n v="0"/>
    <n v="12990"/>
    <x v="0"/>
    <x v="1"/>
    <n v="40011"/>
    <x v="21"/>
    <s v="SOCIEDAD TEXORA WORKWEAR STORE CHILE SPA"/>
  </r>
  <r>
    <m/>
    <s v="EGRESO"/>
    <d v="2022-11-28T00:00:00"/>
    <n v="11"/>
    <x v="0"/>
    <x v="0"/>
    <x v="7"/>
    <n v="0"/>
    <n v="12990"/>
    <n v="-12990"/>
    <x v="0"/>
    <x v="1"/>
    <n v="40011"/>
    <x v="21"/>
    <s v="SOCIEDAD TEXORA WORKWEAR STORE CHILE SPA"/>
  </r>
  <r>
    <m/>
    <s v="EGRESO"/>
    <d v="2022-11-28T00:00:00"/>
    <n v="11"/>
    <x v="1"/>
    <x v="12"/>
    <x v="7"/>
    <n v="67973"/>
    <n v="0"/>
    <n v="67973"/>
    <x v="0"/>
    <x v="1"/>
    <n v="410282"/>
    <x v="6"/>
    <s v="Texora S.A"/>
  </r>
  <r>
    <m/>
    <s v="EGRESO"/>
    <d v="2022-11-28T00:00:00"/>
    <n v="11"/>
    <x v="0"/>
    <x v="0"/>
    <x v="7"/>
    <n v="0"/>
    <n v="67973"/>
    <n v="-67973"/>
    <x v="0"/>
    <x v="1"/>
    <n v="410282"/>
    <x v="6"/>
    <s v="Texora S.A"/>
  </r>
  <r>
    <m/>
    <s v="EGRESO"/>
    <d v="2022-11-30T00:00:00"/>
    <n v="11"/>
    <x v="1"/>
    <x v="12"/>
    <x v="7"/>
    <n v="329749"/>
    <n v="0"/>
    <n v="329749"/>
    <x v="0"/>
    <x v="1"/>
    <n v="18545"/>
    <x v="33"/>
    <s v="IMPORTADORA ANDESLAND LIMITADA"/>
  </r>
  <r>
    <m/>
    <s v="EGRESO"/>
    <d v="2022-11-30T00:00:00"/>
    <n v="11"/>
    <x v="0"/>
    <x v="0"/>
    <x v="7"/>
    <n v="0"/>
    <n v="329749"/>
    <n v="-329749"/>
    <x v="0"/>
    <x v="1"/>
    <n v="18545"/>
    <x v="33"/>
    <s v="IMPORTADORA ANDESLAND LIMITADA"/>
  </r>
  <r>
    <m/>
    <s v="EGRESO"/>
    <d v="2022-10-25T00:00:00"/>
    <n v="11"/>
    <x v="1"/>
    <x v="12"/>
    <x v="7"/>
    <n v="119903"/>
    <n v="0"/>
    <n v="119903"/>
    <x v="0"/>
    <x v="3"/>
    <n v="129"/>
    <x v="16"/>
    <s v="SIMPLE TAX SPA"/>
  </r>
  <r>
    <m/>
    <s v="EGRESO"/>
    <d v="2022-10-25T00:00:00"/>
    <n v="11"/>
    <x v="0"/>
    <x v="0"/>
    <x v="7"/>
    <n v="0"/>
    <n v="119903"/>
    <n v="-119903"/>
    <x v="0"/>
    <x v="3"/>
    <n v="129"/>
    <x v="16"/>
    <s v="SIMPLE TAX SPA"/>
  </r>
  <r>
    <m/>
    <s v="EGRESO"/>
    <d v="2022-12-02T00:00:00"/>
    <n v="12"/>
    <x v="1"/>
    <x v="12"/>
    <x v="7"/>
    <n v="260179"/>
    <n v="0"/>
    <n v="260179"/>
    <x v="0"/>
    <x v="1"/>
    <n v="276490"/>
    <x v="36"/>
    <s v="PROMO IMPORT CHILE SPA"/>
  </r>
  <r>
    <m/>
    <s v="EGRESO"/>
    <d v="2022-12-02T00:00:00"/>
    <n v="12"/>
    <x v="0"/>
    <x v="0"/>
    <x v="7"/>
    <n v="0"/>
    <n v="260179"/>
    <n v="-260179"/>
    <x v="0"/>
    <x v="1"/>
    <n v="276490"/>
    <x v="36"/>
    <s v="PROMO IMPORT CHILE SPA"/>
  </r>
  <r>
    <m/>
    <s v="EGRESO"/>
    <d v="2022-12-02T00:00:00"/>
    <n v="12"/>
    <x v="1"/>
    <x v="12"/>
    <x v="7"/>
    <n v="106400"/>
    <n v="0"/>
    <n v="106400"/>
    <x v="0"/>
    <x v="1"/>
    <n v="18531"/>
    <x v="40"/>
    <s v="INVERSIONES BTP SPA"/>
  </r>
  <r>
    <m/>
    <s v="EGRESO"/>
    <d v="2022-12-02T00:00:00"/>
    <n v="12"/>
    <x v="0"/>
    <x v="0"/>
    <x v="7"/>
    <n v="0"/>
    <n v="106400"/>
    <n v="-106400"/>
    <x v="0"/>
    <x v="1"/>
    <n v="18531"/>
    <x v="40"/>
    <s v="INVERSIONES BTP SPA"/>
  </r>
  <r>
    <m/>
    <s v="EGRESO"/>
    <d v="2022-12-05T00:00:00"/>
    <n v="12"/>
    <x v="1"/>
    <x v="12"/>
    <x v="7"/>
    <n v="86846"/>
    <n v="0"/>
    <n v="86846"/>
    <x v="0"/>
    <x v="1"/>
    <n v="411576"/>
    <x v="6"/>
    <s v="Texora S.A"/>
  </r>
  <r>
    <m/>
    <s v="EGRESO"/>
    <d v="2022-12-05T00:00:00"/>
    <n v="12"/>
    <x v="0"/>
    <x v="0"/>
    <x v="7"/>
    <n v="0"/>
    <n v="86846"/>
    <n v="-86846"/>
    <x v="0"/>
    <x v="1"/>
    <n v="411576"/>
    <x v="6"/>
    <s v="Texora S.A"/>
  </r>
  <r>
    <m/>
    <s v="EGRESO"/>
    <d v="2022-12-05T00:00:00"/>
    <n v="12"/>
    <x v="1"/>
    <x v="12"/>
    <x v="7"/>
    <n v="91559"/>
    <n v="0"/>
    <n v="91559"/>
    <x v="0"/>
    <x v="1"/>
    <n v="411615"/>
    <x v="6"/>
    <s v="Texora S.A"/>
  </r>
  <r>
    <m/>
    <s v="EGRESO"/>
    <d v="2022-12-05T00:00:00"/>
    <n v="12"/>
    <x v="0"/>
    <x v="0"/>
    <x v="7"/>
    <n v="0"/>
    <n v="91559"/>
    <n v="-91559"/>
    <x v="0"/>
    <x v="1"/>
    <n v="411615"/>
    <x v="6"/>
    <s v="Texora S.A"/>
  </r>
  <r>
    <m/>
    <s v="EGRESO"/>
    <d v="2022-12-08T00:00:00"/>
    <n v="12"/>
    <x v="1"/>
    <x v="12"/>
    <x v="7"/>
    <n v="9800"/>
    <n v="0"/>
    <n v="9800"/>
    <x v="0"/>
    <x v="1"/>
    <n v="82"/>
    <x v="26"/>
    <s v="TODO EMPAQUE SPA"/>
  </r>
  <r>
    <m/>
    <s v="EGRESO"/>
    <d v="2022-12-08T00:00:00"/>
    <n v="12"/>
    <x v="0"/>
    <x v="0"/>
    <x v="7"/>
    <n v="0"/>
    <n v="9800"/>
    <n v="-9800"/>
    <x v="0"/>
    <x v="1"/>
    <n v="82"/>
    <x v="26"/>
    <s v="TODO EMPAQUE SPA"/>
  </r>
  <r>
    <m/>
    <s v="EGRESO"/>
    <d v="2022-12-13T00:00:00"/>
    <n v="12"/>
    <x v="1"/>
    <x v="12"/>
    <x v="7"/>
    <n v="685702"/>
    <n v="0"/>
    <n v="685702"/>
    <x v="0"/>
    <x v="1"/>
    <n v="718798"/>
    <x v="5"/>
    <s v="Comercial Mundo Transfer Ltda"/>
  </r>
  <r>
    <m/>
    <s v="EGRESO"/>
    <d v="2022-12-13T00:00:00"/>
    <n v="12"/>
    <x v="0"/>
    <x v="0"/>
    <x v="7"/>
    <n v="0"/>
    <n v="685702"/>
    <n v="-685702"/>
    <x v="0"/>
    <x v="1"/>
    <n v="718798"/>
    <x v="5"/>
    <s v="Comercial Mundo Transfer Ltda"/>
  </r>
  <r>
    <m/>
    <s v="EGRESO"/>
    <d v="2022-12-14T00:00:00"/>
    <n v="12"/>
    <x v="1"/>
    <x v="12"/>
    <x v="7"/>
    <n v="88893"/>
    <n v="0"/>
    <n v="88893"/>
    <x v="0"/>
    <x v="1"/>
    <n v="412972"/>
    <x v="6"/>
    <s v="Texora S.A"/>
  </r>
  <r>
    <m/>
    <s v="EGRESO"/>
    <d v="2022-12-14T00:00:00"/>
    <n v="12"/>
    <x v="0"/>
    <x v="0"/>
    <x v="7"/>
    <n v="0"/>
    <n v="88893"/>
    <n v="-88893"/>
    <x v="0"/>
    <x v="1"/>
    <n v="412972"/>
    <x v="6"/>
    <s v="Texora S.A"/>
  </r>
  <r>
    <m/>
    <s v="EGRESO"/>
    <d v="2022-12-15T00:00:00"/>
    <n v="12"/>
    <x v="1"/>
    <x v="12"/>
    <x v="7"/>
    <n v="186675"/>
    <n v="0"/>
    <n v="186675"/>
    <x v="0"/>
    <x v="1"/>
    <n v="413098"/>
    <x v="6"/>
    <s v="Texora S.A"/>
  </r>
  <r>
    <m/>
    <s v="EGRESO"/>
    <d v="2022-12-15T00:00:00"/>
    <n v="12"/>
    <x v="0"/>
    <x v="0"/>
    <x v="7"/>
    <n v="0"/>
    <n v="186675"/>
    <n v="-186675"/>
    <x v="0"/>
    <x v="1"/>
    <n v="413098"/>
    <x v="6"/>
    <s v="Texora S.A"/>
  </r>
  <r>
    <m/>
    <s v="EGRESO"/>
    <d v="2022-12-15T00:00:00"/>
    <n v="12"/>
    <x v="1"/>
    <x v="12"/>
    <x v="7"/>
    <n v="182923"/>
    <n v="0"/>
    <n v="182923"/>
    <x v="0"/>
    <x v="1"/>
    <n v="16223"/>
    <x v="11"/>
    <s v="COMERCIALIZADORA COTTONEXT LIMITADA"/>
  </r>
  <r>
    <m/>
    <s v="EGRESO"/>
    <d v="2022-12-15T00:00:00"/>
    <n v="12"/>
    <x v="0"/>
    <x v="0"/>
    <x v="7"/>
    <n v="0"/>
    <n v="182923"/>
    <n v="-182923"/>
    <x v="0"/>
    <x v="1"/>
    <n v="16223"/>
    <x v="11"/>
    <s v="COMERCIALIZADORA COTTONEXT LIMITADA"/>
  </r>
  <r>
    <m/>
    <s v="EGRESO"/>
    <d v="2022-12-15T00:00:00"/>
    <n v="12"/>
    <x v="1"/>
    <x v="12"/>
    <x v="7"/>
    <n v="13341"/>
    <n v="0"/>
    <n v="13341"/>
    <x v="0"/>
    <x v="1"/>
    <n v="371740"/>
    <x v="23"/>
    <s v="Sociedad Importadora Maritex Spa"/>
  </r>
  <r>
    <m/>
    <s v="EGRESO"/>
    <d v="2022-12-15T00:00:00"/>
    <n v="12"/>
    <x v="0"/>
    <x v="0"/>
    <x v="7"/>
    <n v="0"/>
    <n v="13341"/>
    <n v="-13341"/>
    <x v="0"/>
    <x v="1"/>
    <n v="371740"/>
    <x v="23"/>
    <s v="Sociedad Importadora Maritex Spa"/>
  </r>
  <r>
    <m/>
    <s v="EGRESO"/>
    <d v="2022-12-16T00:00:00"/>
    <n v="12"/>
    <x v="1"/>
    <x v="12"/>
    <x v="7"/>
    <n v="4000"/>
    <n v="0"/>
    <n v="4000"/>
    <x v="0"/>
    <x v="1"/>
    <n v="95"/>
    <x v="26"/>
    <s v="TODO EMPAQUE SPA"/>
  </r>
  <r>
    <m/>
    <s v="EGRESO"/>
    <d v="2022-12-16T00:00:00"/>
    <n v="12"/>
    <x v="0"/>
    <x v="0"/>
    <x v="7"/>
    <n v="0"/>
    <n v="4000"/>
    <n v="-4000"/>
    <x v="0"/>
    <x v="1"/>
    <n v="95"/>
    <x v="26"/>
    <s v="TODO EMPAQUE SPA"/>
  </r>
  <r>
    <m/>
    <s v="EGRESO"/>
    <d v="2022-12-16T00:00:00"/>
    <n v="12"/>
    <x v="1"/>
    <x v="12"/>
    <x v="7"/>
    <n v="166400"/>
    <n v="0"/>
    <n v="166400"/>
    <x v="0"/>
    <x v="1"/>
    <n v="18933"/>
    <x v="40"/>
    <s v="INVERSIONES BTP SPA"/>
  </r>
  <r>
    <m/>
    <s v="EGRESO"/>
    <d v="2022-12-16T00:00:00"/>
    <n v="12"/>
    <x v="0"/>
    <x v="0"/>
    <x v="7"/>
    <n v="0"/>
    <n v="166400"/>
    <n v="-166400"/>
    <x v="0"/>
    <x v="1"/>
    <n v="18933"/>
    <x v="40"/>
    <s v="INVERSIONES BTP SPA"/>
  </r>
  <r>
    <m/>
    <s v="EGRESO"/>
    <d v="2022-12-19T00:00:00"/>
    <n v="12"/>
    <x v="1"/>
    <x v="12"/>
    <x v="7"/>
    <n v="24681"/>
    <n v="0"/>
    <n v="24681"/>
    <x v="0"/>
    <x v="1"/>
    <n v="413568"/>
    <x v="6"/>
    <s v="Texora S.A"/>
  </r>
  <r>
    <m/>
    <s v="EGRESO"/>
    <d v="2022-12-19T00:00:00"/>
    <n v="12"/>
    <x v="0"/>
    <x v="0"/>
    <x v="7"/>
    <n v="0"/>
    <n v="24681"/>
    <n v="-24681"/>
    <x v="0"/>
    <x v="1"/>
    <n v="413568"/>
    <x v="6"/>
    <s v="Texora S.A"/>
  </r>
  <r>
    <m/>
    <s v="EGRESO"/>
    <d v="2022-12-20T00:00:00"/>
    <n v="12"/>
    <x v="1"/>
    <x v="12"/>
    <x v="7"/>
    <n v="13580"/>
    <n v="0"/>
    <n v="13580"/>
    <x v="0"/>
    <x v="1"/>
    <n v="41074"/>
    <x v="21"/>
    <s v="SOCIEDAD TEXORA WORKWEAR STORE CHILE SPA"/>
  </r>
  <r>
    <m/>
    <s v="EGRESO"/>
    <d v="2022-12-20T00:00:00"/>
    <n v="12"/>
    <x v="0"/>
    <x v="0"/>
    <x v="7"/>
    <n v="0"/>
    <n v="13580"/>
    <n v="-13580"/>
    <x v="0"/>
    <x v="1"/>
    <n v="41074"/>
    <x v="21"/>
    <s v="SOCIEDAD TEXORA WORKWEAR STORE CHILE SPA"/>
  </r>
  <r>
    <m/>
    <s v="EGRESO"/>
    <d v="2022-12-20T00:00:00"/>
    <n v="12"/>
    <x v="1"/>
    <x v="12"/>
    <x v="7"/>
    <n v="18336"/>
    <n v="0"/>
    <n v="18336"/>
    <x v="0"/>
    <x v="1"/>
    <n v="372228"/>
    <x v="23"/>
    <s v="Sociedad Importadora Maritex Spa"/>
  </r>
  <r>
    <m/>
    <s v="EGRESO"/>
    <d v="2022-12-20T00:00:00"/>
    <n v="12"/>
    <x v="0"/>
    <x v="0"/>
    <x v="7"/>
    <n v="0"/>
    <n v="18336"/>
    <n v="-18336"/>
    <x v="0"/>
    <x v="1"/>
    <n v="372228"/>
    <x v="23"/>
    <s v="Sociedad Importadora Maritex Spa"/>
  </r>
  <r>
    <m/>
    <s v="EGRESO"/>
    <d v="2022-12-20T00:00:00"/>
    <n v="12"/>
    <x v="1"/>
    <x v="12"/>
    <x v="7"/>
    <n v="53294"/>
    <n v="0"/>
    <n v="53294"/>
    <x v="0"/>
    <x v="1"/>
    <n v="720998"/>
    <x v="5"/>
    <s v="Comercial Mundo Transfer Ltda"/>
  </r>
  <r>
    <m/>
    <s v="EGRESO"/>
    <d v="2022-12-20T00:00:00"/>
    <n v="12"/>
    <x v="0"/>
    <x v="0"/>
    <x v="7"/>
    <n v="0"/>
    <n v="53294"/>
    <n v="-53294"/>
    <x v="0"/>
    <x v="1"/>
    <n v="720998"/>
    <x v="5"/>
    <s v="Comercial Mundo Transfer Ltda"/>
  </r>
  <r>
    <m/>
    <s v="EGRESO"/>
    <d v="2022-12-16T00:00:00"/>
    <n v="12"/>
    <x v="1"/>
    <x v="12"/>
    <x v="7"/>
    <n v="42960"/>
    <n v="0"/>
    <n v="42960"/>
    <x v="0"/>
    <x v="1"/>
    <n v="11161003"/>
    <x v="9"/>
    <s v="WOM S.A."/>
  </r>
  <r>
    <m/>
    <s v="EGRESO"/>
    <d v="2022-12-16T00:00:00"/>
    <n v="12"/>
    <x v="0"/>
    <x v="0"/>
    <x v="7"/>
    <n v="0"/>
    <n v="42960"/>
    <n v="-42960"/>
    <x v="0"/>
    <x v="1"/>
    <n v="11161003"/>
    <x v="9"/>
    <s v="WOM S.A."/>
  </r>
  <r>
    <m/>
    <s v="EGRESO"/>
    <d v="2022-12-21T00:00:00"/>
    <n v="12"/>
    <x v="1"/>
    <x v="12"/>
    <x v="7"/>
    <n v="50266"/>
    <n v="0"/>
    <n v="50266"/>
    <x v="0"/>
    <x v="1"/>
    <n v="414101"/>
    <x v="6"/>
    <s v="Texora S.A"/>
  </r>
  <r>
    <m/>
    <s v="EGRESO"/>
    <d v="2022-12-21T00:00:00"/>
    <n v="12"/>
    <x v="0"/>
    <x v="0"/>
    <x v="7"/>
    <n v="0"/>
    <n v="50266"/>
    <n v="-50266"/>
    <x v="0"/>
    <x v="1"/>
    <n v="414101"/>
    <x v="6"/>
    <s v="Texora S.A"/>
  </r>
  <r>
    <m/>
    <s v="EGRESO"/>
    <d v="2022-12-22T00:00:00"/>
    <n v="12"/>
    <x v="1"/>
    <x v="12"/>
    <x v="7"/>
    <n v="14453"/>
    <n v="0"/>
    <n v="14453"/>
    <x v="0"/>
    <x v="1"/>
    <n v="721598"/>
    <x v="5"/>
    <s v="Comercial Mundo Transfer Ltda"/>
  </r>
  <r>
    <m/>
    <s v="EGRESO"/>
    <d v="2022-12-22T00:00:00"/>
    <n v="12"/>
    <x v="0"/>
    <x v="0"/>
    <x v="7"/>
    <n v="0"/>
    <n v="14453"/>
    <n v="-14453"/>
    <x v="0"/>
    <x v="1"/>
    <n v="721598"/>
    <x v="5"/>
    <s v="Comercial Mundo Transfer Ltda"/>
  </r>
  <r>
    <m/>
    <s v="EGRESO"/>
    <d v="2022-12-23T00:00:00"/>
    <n v="12"/>
    <x v="1"/>
    <x v="12"/>
    <x v="7"/>
    <n v="10800"/>
    <n v="0"/>
    <n v="10800"/>
    <x v="0"/>
    <x v="1"/>
    <n v="13043"/>
    <x v="31"/>
    <s v="COMERCIAL AHN Y PAEK LTDA"/>
  </r>
  <r>
    <m/>
    <s v="EGRESO"/>
    <d v="2022-12-23T00:00:00"/>
    <n v="12"/>
    <x v="0"/>
    <x v="0"/>
    <x v="7"/>
    <n v="0"/>
    <n v="10800"/>
    <n v="-10800"/>
    <x v="0"/>
    <x v="1"/>
    <n v="13043"/>
    <x v="31"/>
    <s v="COMERCIAL AHN Y PAEK LTDA"/>
  </r>
  <r>
    <m/>
    <s v="EGRESO"/>
    <d v="2022-12-23T00:00:00"/>
    <n v="12"/>
    <x v="1"/>
    <x v="12"/>
    <x v="7"/>
    <n v="17400"/>
    <n v="0"/>
    <n v="17400"/>
    <x v="0"/>
    <x v="1"/>
    <n v="171191"/>
    <x v="3"/>
    <s v="TEXTIL SUMEY LTDA"/>
  </r>
  <r>
    <m/>
    <s v="EGRESO"/>
    <d v="2022-12-23T00:00:00"/>
    <n v="12"/>
    <x v="0"/>
    <x v="0"/>
    <x v="7"/>
    <n v="0"/>
    <n v="17400"/>
    <n v="-17400"/>
    <x v="0"/>
    <x v="1"/>
    <n v="171191"/>
    <x v="3"/>
    <s v="TEXTIL SUMEY LTDA"/>
  </r>
  <r>
    <m/>
    <s v="EGRESO"/>
    <d v="2022-12-27T00:00:00"/>
    <n v="12"/>
    <x v="1"/>
    <x v="12"/>
    <x v="7"/>
    <n v="99460"/>
    <n v="0"/>
    <n v="99460"/>
    <x v="0"/>
    <x v="1"/>
    <n v="414387"/>
    <x v="6"/>
    <s v="Texora S.A"/>
  </r>
  <r>
    <m/>
    <s v="EGRESO"/>
    <d v="2022-12-27T00:00:00"/>
    <n v="12"/>
    <x v="0"/>
    <x v="0"/>
    <x v="7"/>
    <n v="0"/>
    <n v="99460"/>
    <n v="-99460"/>
    <x v="0"/>
    <x v="1"/>
    <n v="414387"/>
    <x v="6"/>
    <s v="Texora S.A"/>
  </r>
  <r>
    <m/>
    <s v="EGRESO"/>
    <d v="2022-12-27T00:00:00"/>
    <n v="12"/>
    <x v="1"/>
    <x v="12"/>
    <x v="7"/>
    <n v="49932"/>
    <n v="0"/>
    <n v="49932"/>
    <x v="0"/>
    <x v="1"/>
    <n v="414388"/>
    <x v="6"/>
    <s v="Texora S.A"/>
  </r>
  <r>
    <m/>
    <s v="EGRESO"/>
    <d v="2022-12-27T00:00:00"/>
    <n v="12"/>
    <x v="0"/>
    <x v="0"/>
    <x v="7"/>
    <n v="0"/>
    <n v="49932"/>
    <n v="-49932"/>
    <x v="0"/>
    <x v="1"/>
    <n v="414388"/>
    <x v="6"/>
    <s v="Texora S.A"/>
  </r>
  <r>
    <m/>
    <s v="EGRESO"/>
    <d v="2022-12-27T00:00:00"/>
    <n v="12"/>
    <x v="1"/>
    <x v="12"/>
    <x v="7"/>
    <n v="78254"/>
    <n v="0"/>
    <n v="78254"/>
    <x v="0"/>
    <x v="1"/>
    <n v="414390"/>
    <x v="6"/>
    <s v="Texora S.A"/>
  </r>
  <r>
    <m/>
    <s v="EGRESO"/>
    <d v="2022-12-27T00:00:00"/>
    <n v="12"/>
    <x v="0"/>
    <x v="0"/>
    <x v="7"/>
    <n v="0"/>
    <n v="78254"/>
    <n v="-78254"/>
    <x v="0"/>
    <x v="1"/>
    <n v="414390"/>
    <x v="6"/>
    <s v="Texora S.A"/>
  </r>
  <r>
    <m/>
    <s v="EGRESO"/>
    <d v="2022-12-28T00:00:00"/>
    <n v="12"/>
    <x v="1"/>
    <x v="12"/>
    <x v="7"/>
    <n v="9800"/>
    <n v="0"/>
    <n v="9800"/>
    <x v="0"/>
    <x v="1"/>
    <n v="106"/>
    <x v="26"/>
    <s v="TODO EMPAQUE SPA"/>
  </r>
  <r>
    <m/>
    <s v="EGRESO"/>
    <d v="2022-12-28T00:00:00"/>
    <n v="12"/>
    <x v="0"/>
    <x v="0"/>
    <x v="7"/>
    <n v="0"/>
    <n v="9800"/>
    <n v="-9800"/>
    <x v="0"/>
    <x v="1"/>
    <n v="106"/>
    <x v="26"/>
    <s v="TODO EMPAQUE SPA"/>
  </r>
  <r>
    <m/>
    <s v="EGRESO"/>
    <d v="2022-12-28T00:00:00"/>
    <n v="12"/>
    <x v="1"/>
    <x v="12"/>
    <x v="7"/>
    <n v="218210"/>
    <n v="0"/>
    <n v="218210"/>
    <x v="0"/>
    <x v="1"/>
    <n v="30672"/>
    <x v="41"/>
    <s v="COMERCIAL SCRUCIAL WORLD  CO LIMITADA"/>
  </r>
  <r>
    <m/>
    <s v="EGRESO"/>
    <d v="2022-12-28T00:00:00"/>
    <n v="12"/>
    <x v="0"/>
    <x v="0"/>
    <x v="7"/>
    <n v="0"/>
    <n v="218210"/>
    <n v="-218210"/>
    <x v="0"/>
    <x v="1"/>
    <n v="30672"/>
    <x v="41"/>
    <s v="COMERCIAL SCRUCIAL WORLD  CO LIMITADA"/>
  </r>
  <r>
    <m/>
    <s v="EGRESO"/>
    <d v="2022-12-29T00:00:00"/>
    <n v="12"/>
    <x v="1"/>
    <x v="12"/>
    <x v="7"/>
    <n v="233050"/>
    <n v="0"/>
    <n v="233050"/>
    <x v="0"/>
    <x v="1"/>
    <n v="414853"/>
    <x v="6"/>
    <s v="Texora S.A"/>
  </r>
  <r>
    <m/>
    <s v="EGRESO"/>
    <d v="2022-12-29T00:00:00"/>
    <n v="12"/>
    <x v="0"/>
    <x v="0"/>
    <x v="7"/>
    <n v="0"/>
    <n v="233050"/>
    <n v="-233050"/>
    <x v="0"/>
    <x v="1"/>
    <n v="414853"/>
    <x v="6"/>
    <s v="Texora S.A"/>
  </r>
  <r>
    <m/>
    <s v="EGRESO"/>
    <d v="2022-12-29T00:00:00"/>
    <n v="12"/>
    <x v="1"/>
    <x v="12"/>
    <x v="7"/>
    <n v="43233"/>
    <n v="0"/>
    <n v="43233"/>
    <x v="0"/>
    <x v="1"/>
    <n v="414992"/>
    <x v="6"/>
    <s v="Texora S.A"/>
  </r>
  <r>
    <m/>
    <s v="EGRESO"/>
    <d v="2022-12-29T00:00:00"/>
    <n v="12"/>
    <x v="0"/>
    <x v="0"/>
    <x v="7"/>
    <n v="0"/>
    <n v="43233"/>
    <n v="-43233"/>
    <x v="0"/>
    <x v="1"/>
    <n v="414992"/>
    <x v="6"/>
    <s v="Texora S.A"/>
  </r>
  <r>
    <m/>
    <s v="EGRESO"/>
    <d v="2022-12-30T00:00:00"/>
    <n v="12"/>
    <x v="1"/>
    <x v="12"/>
    <x v="7"/>
    <n v="108874"/>
    <n v="0"/>
    <n v="108874"/>
    <x v="0"/>
    <x v="1"/>
    <n v="17958884"/>
    <x v="39"/>
    <s v="CENCOSUD RETAIL S.A."/>
  </r>
  <r>
    <m/>
    <s v="EGRESO"/>
    <d v="2022-12-30T00:00:00"/>
    <n v="12"/>
    <x v="0"/>
    <x v="0"/>
    <x v="7"/>
    <n v="0"/>
    <n v="108874"/>
    <n v="-108874"/>
    <x v="0"/>
    <x v="1"/>
    <n v="17958884"/>
    <x v="39"/>
    <s v="CENCOSUD RETAIL S.A."/>
  </r>
  <r>
    <m/>
    <s v="EGRESO"/>
    <d v="2022-11-22T00:00:00"/>
    <n v="12"/>
    <x v="1"/>
    <x v="12"/>
    <x v="7"/>
    <n v="121100"/>
    <n v="0"/>
    <n v="121100"/>
    <x v="0"/>
    <x v="3"/>
    <n v="135"/>
    <x v="16"/>
    <s v="SIMPLE TAX SPA"/>
  </r>
  <r>
    <m/>
    <s v="EGRESO"/>
    <d v="2022-11-22T00:00:00"/>
    <n v="12"/>
    <x v="0"/>
    <x v="0"/>
    <x v="7"/>
    <n v="0"/>
    <n v="121100"/>
    <n v="-121100"/>
    <x v="0"/>
    <x v="3"/>
    <n v="135"/>
    <x v="16"/>
    <s v="SIMPLE TAX SPA"/>
  </r>
  <r>
    <m/>
    <s v="EGRESO"/>
    <d v="2022-12-21T00:00:00"/>
    <n v="12"/>
    <x v="1"/>
    <x v="12"/>
    <x v="7"/>
    <n v="121839"/>
    <n v="0"/>
    <n v="121839"/>
    <x v="0"/>
    <x v="3"/>
    <n v="155"/>
    <x v="16"/>
    <s v="SIMPLE TAX SPA"/>
  </r>
  <r>
    <m/>
    <s v="EGRESO"/>
    <d v="2022-12-21T00:00:00"/>
    <n v="12"/>
    <x v="0"/>
    <x v="0"/>
    <x v="7"/>
    <n v="0"/>
    <n v="121839"/>
    <n v="-121839"/>
    <x v="0"/>
    <x v="3"/>
    <n v="155"/>
    <x v="16"/>
    <s v="SIMPLE TAX SPA"/>
  </r>
  <r>
    <m/>
    <s v="TRASPASO"/>
    <d v="2022-01-03T00:00:00"/>
    <n v="1"/>
    <x v="0"/>
    <x v="13"/>
    <x v="8"/>
    <n v="464171"/>
    <n v="0"/>
    <n v="464171"/>
    <x v="0"/>
    <x v="1"/>
    <n v="441"/>
    <x v="42"/>
    <s v="IDIX CHILE SPA"/>
  </r>
  <r>
    <m/>
    <s v="TRASPASO"/>
    <d v="2022-01-03T00:00:00"/>
    <n v="1"/>
    <x v="1"/>
    <x v="14"/>
    <x v="8"/>
    <n v="0"/>
    <n v="74111"/>
    <n v="-74111"/>
    <x v="0"/>
    <x v="1"/>
    <n v="441"/>
    <x v="42"/>
    <s v="IDIX CHILE SPA"/>
  </r>
  <r>
    <m/>
    <s v="TRASPASO"/>
    <d v="2022-01-03T00:00:00"/>
    <n v="1"/>
    <x v="4"/>
    <x v="15"/>
    <x v="8"/>
    <n v="0"/>
    <n v="390060"/>
    <n v="-390060"/>
    <x v="0"/>
    <x v="1"/>
    <n v="441"/>
    <x v="42"/>
    <s v="IDIX CHILE SPA"/>
  </r>
  <r>
    <m/>
    <s v="TRASPASO"/>
    <d v="2022-01-03T00:00:00"/>
    <n v="1"/>
    <x v="0"/>
    <x v="13"/>
    <x v="8"/>
    <n v="170658"/>
    <n v="0"/>
    <n v="170658"/>
    <x v="0"/>
    <x v="1"/>
    <n v="442"/>
    <x v="43"/>
    <s v="COMUNIDAD EDIFICIO GRAN AVENIDA 6001"/>
  </r>
  <r>
    <m/>
    <s v="TRASPASO"/>
    <d v="2022-01-03T00:00:00"/>
    <n v="1"/>
    <x v="1"/>
    <x v="14"/>
    <x v="8"/>
    <n v="0"/>
    <n v="27248"/>
    <n v="-27248"/>
    <x v="0"/>
    <x v="1"/>
    <n v="442"/>
    <x v="43"/>
    <s v="COMUNIDAD EDIFICIO GRAN AVENIDA 6001"/>
  </r>
  <r>
    <m/>
    <s v="TRASPASO"/>
    <d v="2022-01-03T00:00:00"/>
    <n v="1"/>
    <x v="4"/>
    <x v="15"/>
    <x v="8"/>
    <n v="0"/>
    <n v="143410"/>
    <n v="-143410"/>
    <x v="0"/>
    <x v="1"/>
    <n v="442"/>
    <x v="43"/>
    <s v="COMUNIDAD EDIFICIO GRAN AVENIDA 6001"/>
  </r>
  <r>
    <m/>
    <s v="TRASPASO"/>
    <d v="2022-01-03T00:00:00"/>
    <n v="1"/>
    <x v="0"/>
    <x v="13"/>
    <x v="8"/>
    <n v="395830"/>
    <n v="0"/>
    <n v="395830"/>
    <x v="0"/>
    <x v="1"/>
    <n v="443"/>
    <x v="44"/>
    <s v="GASTRONOMICA TRES CABEZAS SPA"/>
  </r>
  <r>
    <m/>
    <s v="TRASPASO"/>
    <d v="2022-01-03T00:00:00"/>
    <n v="1"/>
    <x v="1"/>
    <x v="14"/>
    <x v="8"/>
    <n v="0"/>
    <n v="63200"/>
    <n v="-63200"/>
    <x v="0"/>
    <x v="1"/>
    <n v="443"/>
    <x v="44"/>
    <s v="GASTRONOMICA TRES CABEZAS SPA"/>
  </r>
  <r>
    <m/>
    <s v="TRASPASO"/>
    <d v="2022-01-03T00:00:00"/>
    <n v="1"/>
    <x v="4"/>
    <x v="15"/>
    <x v="8"/>
    <n v="0"/>
    <n v="332630"/>
    <n v="-332630"/>
    <x v="0"/>
    <x v="1"/>
    <n v="443"/>
    <x v="44"/>
    <s v="GASTRONOMICA TRES CABEZAS SPA"/>
  </r>
  <r>
    <m/>
    <s v="TRASPASO"/>
    <d v="2022-01-03T00:00:00"/>
    <n v="1"/>
    <x v="0"/>
    <x v="13"/>
    <x v="8"/>
    <n v="338793"/>
    <n v="0"/>
    <n v="338793"/>
    <x v="0"/>
    <x v="1"/>
    <n v="445"/>
    <x v="45"/>
    <s v="META-GROUP SUMINISTROS DE PERSONAL Y MARKETING SPA"/>
  </r>
  <r>
    <m/>
    <s v="TRASPASO"/>
    <d v="2022-01-03T00:00:00"/>
    <n v="1"/>
    <x v="1"/>
    <x v="14"/>
    <x v="8"/>
    <n v="0"/>
    <n v="54093"/>
    <n v="-54093"/>
    <x v="0"/>
    <x v="1"/>
    <n v="445"/>
    <x v="45"/>
    <s v="META-GROUP SUMINISTROS DE PERSONAL Y MARKETING SPA"/>
  </r>
  <r>
    <m/>
    <s v="TRASPASO"/>
    <d v="2022-01-03T00:00:00"/>
    <n v="1"/>
    <x v="4"/>
    <x v="15"/>
    <x v="8"/>
    <n v="0"/>
    <n v="284700"/>
    <n v="-284700"/>
    <x v="0"/>
    <x v="1"/>
    <n v="445"/>
    <x v="45"/>
    <s v="META-GROUP SUMINISTROS DE PERSONAL Y MARKETING SPA"/>
  </r>
  <r>
    <m/>
    <s v="TRASPASO"/>
    <d v="2022-01-10T00:00:00"/>
    <n v="1"/>
    <x v="0"/>
    <x v="13"/>
    <x v="8"/>
    <n v="35700"/>
    <n v="0"/>
    <n v="35700"/>
    <x v="0"/>
    <x v="1"/>
    <n v="446"/>
    <x v="46"/>
    <s v="PROTEPP SPA"/>
  </r>
  <r>
    <m/>
    <s v="TRASPASO"/>
    <d v="2022-01-10T00:00:00"/>
    <n v="1"/>
    <x v="1"/>
    <x v="14"/>
    <x v="8"/>
    <n v="0"/>
    <n v="5700"/>
    <n v="-5700"/>
    <x v="0"/>
    <x v="1"/>
    <n v="446"/>
    <x v="46"/>
    <s v="PROTEPP SPA"/>
  </r>
  <r>
    <m/>
    <s v="TRASPASO"/>
    <d v="2022-01-10T00:00:00"/>
    <n v="1"/>
    <x v="4"/>
    <x v="15"/>
    <x v="8"/>
    <n v="0"/>
    <n v="30000"/>
    <n v="-30000"/>
    <x v="0"/>
    <x v="1"/>
    <n v="446"/>
    <x v="46"/>
    <s v="PROTEPP SPA"/>
  </r>
  <r>
    <m/>
    <s v="TRASPASO"/>
    <d v="2022-01-14T00:00:00"/>
    <n v="1"/>
    <x v="0"/>
    <x v="13"/>
    <x v="8"/>
    <n v="104720"/>
    <n v="0"/>
    <n v="104720"/>
    <x v="0"/>
    <x v="1"/>
    <n v="451"/>
    <x v="47"/>
    <s v="TRAIL SPA"/>
  </r>
  <r>
    <m/>
    <s v="TRASPASO"/>
    <d v="2022-01-14T00:00:00"/>
    <n v="1"/>
    <x v="1"/>
    <x v="14"/>
    <x v="8"/>
    <n v="0"/>
    <n v="16720"/>
    <n v="-16720"/>
    <x v="0"/>
    <x v="1"/>
    <n v="451"/>
    <x v="47"/>
    <s v="TRAIL SPA"/>
  </r>
  <r>
    <m/>
    <s v="TRASPASO"/>
    <d v="2022-01-14T00:00:00"/>
    <n v="1"/>
    <x v="4"/>
    <x v="15"/>
    <x v="8"/>
    <n v="0"/>
    <n v="88000"/>
    <n v="-88000"/>
    <x v="0"/>
    <x v="1"/>
    <n v="451"/>
    <x v="47"/>
    <s v="TRAIL SPA"/>
  </r>
  <r>
    <m/>
    <s v="TRASPASO"/>
    <d v="2022-01-14T00:00:00"/>
    <n v="1"/>
    <x v="0"/>
    <x v="13"/>
    <x v="8"/>
    <n v="224910"/>
    <n v="0"/>
    <n v="224910"/>
    <x v="0"/>
    <x v="1"/>
    <n v="452"/>
    <x v="47"/>
    <s v="TRAIL SPA"/>
  </r>
  <r>
    <m/>
    <s v="TRASPASO"/>
    <d v="2022-01-14T00:00:00"/>
    <n v="1"/>
    <x v="1"/>
    <x v="14"/>
    <x v="8"/>
    <n v="0"/>
    <n v="35910"/>
    <n v="-35910"/>
    <x v="0"/>
    <x v="1"/>
    <n v="452"/>
    <x v="47"/>
    <s v="TRAIL SPA"/>
  </r>
  <r>
    <m/>
    <s v="TRASPASO"/>
    <d v="2022-01-14T00:00:00"/>
    <n v="1"/>
    <x v="4"/>
    <x v="15"/>
    <x v="8"/>
    <n v="0"/>
    <n v="189000"/>
    <n v="-189000"/>
    <x v="0"/>
    <x v="1"/>
    <n v="452"/>
    <x v="47"/>
    <s v="TRAIL SPA"/>
  </r>
  <r>
    <m/>
    <s v="TRASPASO"/>
    <d v="2022-01-17T00:00:00"/>
    <n v="1"/>
    <x v="0"/>
    <x v="13"/>
    <x v="8"/>
    <n v="3535728"/>
    <n v="0"/>
    <n v="3535728"/>
    <x v="0"/>
    <x v="1"/>
    <n v="453"/>
    <x v="48"/>
    <s v="BARRY CALLEBAUT CHILE SPA"/>
  </r>
  <r>
    <m/>
    <s v="TRASPASO"/>
    <d v="2022-01-17T00:00:00"/>
    <n v="1"/>
    <x v="1"/>
    <x v="14"/>
    <x v="8"/>
    <n v="0"/>
    <n v="564528"/>
    <n v="-564528"/>
    <x v="0"/>
    <x v="1"/>
    <n v="453"/>
    <x v="48"/>
    <s v="BARRY CALLEBAUT CHILE SPA"/>
  </r>
  <r>
    <m/>
    <s v="TRASPASO"/>
    <d v="2022-01-17T00:00:00"/>
    <n v="1"/>
    <x v="4"/>
    <x v="15"/>
    <x v="8"/>
    <n v="0"/>
    <n v="2971200"/>
    <n v="-2971200"/>
    <x v="0"/>
    <x v="1"/>
    <n v="453"/>
    <x v="48"/>
    <s v="BARRY CALLEBAUT CHILE SPA"/>
  </r>
  <r>
    <m/>
    <s v="TRASPASO"/>
    <d v="2022-01-17T00:00:00"/>
    <n v="1"/>
    <x v="0"/>
    <x v="13"/>
    <x v="8"/>
    <n v="940100"/>
    <n v="0"/>
    <n v="940100"/>
    <x v="0"/>
    <x v="1"/>
    <n v="454"/>
    <x v="48"/>
    <s v="BARRY CALLEBAUT CHILE SPA"/>
  </r>
  <r>
    <m/>
    <s v="TRASPASO"/>
    <d v="2022-01-17T00:00:00"/>
    <n v="1"/>
    <x v="1"/>
    <x v="14"/>
    <x v="8"/>
    <n v="0"/>
    <n v="150100"/>
    <n v="-150100"/>
    <x v="0"/>
    <x v="1"/>
    <n v="454"/>
    <x v="48"/>
    <s v="BARRY CALLEBAUT CHILE SPA"/>
  </r>
  <r>
    <m/>
    <s v="TRASPASO"/>
    <d v="2022-01-17T00:00:00"/>
    <n v="1"/>
    <x v="4"/>
    <x v="15"/>
    <x v="8"/>
    <n v="0"/>
    <n v="790000"/>
    <n v="-790000"/>
    <x v="0"/>
    <x v="1"/>
    <n v="454"/>
    <x v="48"/>
    <s v="BARRY CALLEBAUT CHILE SPA"/>
  </r>
  <r>
    <m/>
    <s v="TRASPASO"/>
    <d v="2022-01-24T00:00:00"/>
    <n v="1"/>
    <x v="0"/>
    <x v="13"/>
    <x v="8"/>
    <n v="385132"/>
    <n v="0"/>
    <n v="385132"/>
    <x v="0"/>
    <x v="1"/>
    <n v="455"/>
    <x v="49"/>
    <s v="TRANSPORTES LUCIANO ESPINOZA E.I.R.L."/>
  </r>
  <r>
    <m/>
    <s v="TRASPASO"/>
    <d v="2022-01-24T00:00:00"/>
    <n v="1"/>
    <x v="1"/>
    <x v="14"/>
    <x v="8"/>
    <n v="0"/>
    <n v="61492"/>
    <n v="-61492"/>
    <x v="0"/>
    <x v="1"/>
    <n v="455"/>
    <x v="49"/>
    <s v="TRANSPORTES LUCIANO ESPINOZA E.I.R.L."/>
  </r>
  <r>
    <m/>
    <s v="TRASPASO"/>
    <d v="2022-01-24T00:00:00"/>
    <n v="1"/>
    <x v="4"/>
    <x v="15"/>
    <x v="8"/>
    <n v="0"/>
    <n v="323640"/>
    <n v="-323640"/>
    <x v="0"/>
    <x v="1"/>
    <n v="455"/>
    <x v="49"/>
    <s v="TRANSPORTES LUCIANO ESPINOZA E.I.R.L."/>
  </r>
  <r>
    <m/>
    <s v="TRASPASO"/>
    <d v="2022-01-31T00:00:00"/>
    <n v="1"/>
    <x v="0"/>
    <x v="13"/>
    <x v="8"/>
    <n v="279293"/>
    <n v="0"/>
    <n v="279293"/>
    <x v="0"/>
    <x v="1"/>
    <n v="456"/>
    <x v="50"/>
    <s v="ROLANDO BURGOS E.I.R.L."/>
  </r>
  <r>
    <m/>
    <s v="TRASPASO"/>
    <d v="2022-01-31T00:00:00"/>
    <n v="1"/>
    <x v="1"/>
    <x v="14"/>
    <x v="8"/>
    <n v="0"/>
    <n v="44593"/>
    <n v="-44593"/>
    <x v="0"/>
    <x v="1"/>
    <n v="456"/>
    <x v="50"/>
    <s v="ROLANDO BURGOS E.I.R.L."/>
  </r>
  <r>
    <m/>
    <s v="TRASPASO"/>
    <d v="2022-01-31T00:00:00"/>
    <n v="1"/>
    <x v="4"/>
    <x v="15"/>
    <x v="8"/>
    <n v="0"/>
    <n v="234700"/>
    <n v="-234700"/>
    <x v="0"/>
    <x v="1"/>
    <n v="456"/>
    <x v="50"/>
    <s v="ROLANDO BURGOS E.I.R.L."/>
  </r>
  <r>
    <m/>
    <s v="TRASPASO"/>
    <d v="2022-01-03T00:00:00"/>
    <n v="1"/>
    <x v="0"/>
    <x v="13"/>
    <x v="8"/>
    <n v="0"/>
    <n v="464171"/>
    <n v="-464171"/>
    <x v="0"/>
    <x v="2"/>
    <n v="21"/>
    <x v="51"/>
    <s v="SERGIO MIGUEL ARAYA JORGE"/>
  </r>
  <r>
    <m/>
    <s v="TRASPASO"/>
    <d v="2022-01-03T00:00:00"/>
    <n v="1"/>
    <x v="1"/>
    <x v="14"/>
    <x v="8"/>
    <n v="74111"/>
    <n v="0"/>
    <n v="74111"/>
    <x v="0"/>
    <x v="2"/>
    <n v="21"/>
    <x v="51"/>
    <s v="SERGIO MIGUEL ARAYA JORGE"/>
  </r>
  <r>
    <m/>
    <s v="TRASPASO"/>
    <d v="2022-01-03T00:00:00"/>
    <n v="1"/>
    <x v="4"/>
    <x v="15"/>
    <x v="8"/>
    <n v="390060"/>
    <n v="0"/>
    <n v="390060"/>
    <x v="0"/>
    <x v="2"/>
    <n v="21"/>
    <x v="51"/>
    <s v="SERGIO MIGUEL ARAYA JORGE"/>
  </r>
  <r>
    <m/>
    <s v="TRASPASO"/>
    <d v="2022-02-04T00:00:00"/>
    <n v="2"/>
    <x v="0"/>
    <x v="13"/>
    <x v="8"/>
    <n v="291550"/>
    <n v="0"/>
    <n v="291550"/>
    <x v="0"/>
    <x v="1"/>
    <n v="457"/>
    <x v="52"/>
    <s v="GALILEA S A DE INGENIERIA Y CONSTRUCCION"/>
  </r>
  <r>
    <m/>
    <s v="TRASPASO"/>
    <d v="2022-02-04T00:00:00"/>
    <n v="2"/>
    <x v="1"/>
    <x v="14"/>
    <x v="8"/>
    <n v="0"/>
    <n v="46550"/>
    <n v="-46550"/>
    <x v="0"/>
    <x v="1"/>
    <n v="457"/>
    <x v="52"/>
    <s v="GALILEA S A DE INGENIERIA Y CONSTRUCCION"/>
  </r>
  <r>
    <m/>
    <s v="TRASPASO"/>
    <d v="2022-02-04T00:00:00"/>
    <n v="2"/>
    <x v="4"/>
    <x v="15"/>
    <x v="8"/>
    <n v="0"/>
    <n v="245000"/>
    <n v="-245000"/>
    <x v="0"/>
    <x v="1"/>
    <n v="457"/>
    <x v="52"/>
    <s v="GALILEA S A DE INGENIERIA Y CONSTRUCCION"/>
  </r>
  <r>
    <m/>
    <s v="TRASPASO"/>
    <d v="2022-02-04T00:00:00"/>
    <n v="2"/>
    <x v="0"/>
    <x v="13"/>
    <x v="8"/>
    <n v="291550"/>
    <n v="0"/>
    <n v="291550"/>
    <x v="0"/>
    <x v="1"/>
    <n v="458"/>
    <x v="52"/>
    <s v="GALILEA S A DE INGENIERIA Y CONSTRUCCION"/>
  </r>
  <r>
    <m/>
    <s v="TRASPASO"/>
    <d v="2022-02-04T00:00:00"/>
    <n v="2"/>
    <x v="1"/>
    <x v="14"/>
    <x v="8"/>
    <n v="0"/>
    <n v="46550"/>
    <n v="-46550"/>
    <x v="0"/>
    <x v="1"/>
    <n v="458"/>
    <x v="52"/>
    <s v="GALILEA S A DE INGENIERIA Y CONSTRUCCION"/>
  </r>
  <r>
    <m/>
    <s v="TRASPASO"/>
    <d v="2022-02-04T00:00:00"/>
    <n v="2"/>
    <x v="4"/>
    <x v="15"/>
    <x v="8"/>
    <n v="0"/>
    <n v="245000"/>
    <n v="-245000"/>
    <x v="0"/>
    <x v="1"/>
    <n v="458"/>
    <x v="52"/>
    <s v="GALILEA S A DE INGENIERIA Y CONSTRUCCION"/>
  </r>
  <r>
    <m/>
    <s v="TRASPASO"/>
    <d v="2022-02-04T00:00:00"/>
    <n v="2"/>
    <x v="0"/>
    <x v="13"/>
    <x v="8"/>
    <n v="338793"/>
    <n v="0"/>
    <n v="338793"/>
    <x v="0"/>
    <x v="1"/>
    <n v="459"/>
    <x v="45"/>
    <s v="META-GROUP SUMINISTROS DE PERSONAL Y MARKETING SPA"/>
  </r>
  <r>
    <m/>
    <s v="TRASPASO"/>
    <d v="2022-02-04T00:00:00"/>
    <n v="2"/>
    <x v="1"/>
    <x v="14"/>
    <x v="8"/>
    <n v="0"/>
    <n v="54093"/>
    <n v="-54093"/>
    <x v="0"/>
    <x v="1"/>
    <n v="459"/>
    <x v="45"/>
    <s v="META-GROUP SUMINISTROS DE PERSONAL Y MARKETING SPA"/>
  </r>
  <r>
    <m/>
    <s v="TRASPASO"/>
    <d v="2022-02-04T00:00:00"/>
    <n v="2"/>
    <x v="4"/>
    <x v="15"/>
    <x v="8"/>
    <n v="0"/>
    <n v="284700"/>
    <n v="-284700"/>
    <x v="0"/>
    <x v="1"/>
    <n v="459"/>
    <x v="45"/>
    <s v="META-GROUP SUMINISTROS DE PERSONAL Y MARKETING SPA"/>
  </r>
  <r>
    <m/>
    <s v="TRASPASO"/>
    <d v="2022-02-16T00:00:00"/>
    <n v="2"/>
    <x v="0"/>
    <x v="13"/>
    <x v="8"/>
    <n v="108290"/>
    <n v="0"/>
    <n v="108290"/>
    <x v="0"/>
    <x v="1"/>
    <n v="460"/>
    <x v="47"/>
    <s v="TRAIL SPA"/>
  </r>
  <r>
    <m/>
    <s v="TRASPASO"/>
    <d v="2022-02-16T00:00:00"/>
    <n v="2"/>
    <x v="1"/>
    <x v="14"/>
    <x v="8"/>
    <n v="0"/>
    <n v="17290"/>
    <n v="-17290"/>
    <x v="0"/>
    <x v="1"/>
    <n v="460"/>
    <x v="47"/>
    <s v="TRAIL SPA"/>
  </r>
  <r>
    <m/>
    <s v="TRASPASO"/>
    <d v="2022-02-16T00:00:00"/>
    <n v="2"/>
    <x v="4"/>
    <x v="15"/>
    <x v="8"/>
    <n v="0"/>
    <n v="91000"/>
    <n v="-91000"/>
    <x v="0"/>
    <x v="1"/>
    <n v="460"/>
    <x v="47"/>
    <s v="TRAIL SPA"/>
  </r>
  <r>
    <m/>
    <s v="TRASPASO"/>
    <d v="2022-02-17T00:00:00"/>
    <n v="2"/>
    <x v="0"/>
    <x v="13"/>
    <x v="8"/>
    <n v="146810"/>
    <n v="0"/>
    <n v="146810"/>
    <x v="0"/>
    <x v="1"/>
    <n v="461"/>
    <x v="53"/>
    <s v="ISLA GOURMET SPA"/>
  </r>
  <r>
    <m/>
    <s v="TRASPASO"/>
    <d v="2022-02-17T00:00:00"/>
    <n v="2"/>
    <x v="1"/>
    <x v="14"/>
    <x v="8"/>
    <n v="0"/>
    <n v="23440"/>
    <n v="-23440"/>
    <x v="0"/>
    <x v="1"/>
    <n v="461"/>
    <x v="53"/>
    <s v="ISLA GOURMET SPA"/>
  </r>
  <r>
    <m/>
    <s v="TRASPASO"/>
    <d v="2022-02-17T00:00:00"/>
    <n v="2"/>
    <x v="4"/>
    <x v="15"/>
    <x v="8"/>
    <n v="0"/>
    <n v="123370"/>
    <n v="-123370"/>
    <x v="0"/>
    <x v="1"/>
    <n v="461"/>
    <x v="53"/>
    <s v="ISLA GOURMET SPA"/>
  </r>
  <r>
    <m/>
    <s v="TRASPASO"/>
    <d v="2022-02-17T00:00:00"/>
    <n v="2"/>
    <x v="0"/>
    <x v="13"/>
    <x v="8"/>
    <n v="45172"/>
    <n v="0"/>
    <n v="45172"/>
    <x v="0"/>
    <x v="1"/>
    <n v="462"/>
    <x v="54"/>
    <s v="IMPORTACIONES Y SERVICIOS ADVANCED COMPUTING TECHNOLOGIES S.A."/>
  </r>
  <r>
    <m/>
    <s v="TRASPASO"/>
    <d v="2022-02-17T00:00:00"/>
    <n v="2"/>
    <x v="1"/>
    <x v="14"/>
    <x v="8"/>
    <n v="0"/>
    <n v="7212"/>
    <n v="-7212"/>
    <x v="0"/>
    <x v="1"/>
    <n v="462"/>
    <x v="54"/>
    <s v="IMPORTACIONES Y SERVICIOS ADVANCED COMPUTING TECHNOLOGIES S.A."/>
  </r>
  <r>
    <m/>
    <s v="TRASPASO"/>
    <d v="2022-02-17T00:00:00"/>
    <n v="2"/>
    <x v="4"/>
    <x v="15"/>
    <x v="8"/>
    <n v="0"/>
    <n v="37960"/>
    <n v="-37960"/>
    <x v="0"/>
    <x v="1"/>
    <n v="462"/>
    <x v="54"/>
    <s v="IMPORTACIONES Y SERVICIOS ADVANCED COMPUTING TECHNOLOGIES S.A."/>
  </r>
  <r>
    <m/>
    <s v="TRASPASO"/>
    <d v="2022-02-25T00:00:00"/>
    <n v="2"/>
    <x v="0"/>
    <x v="13"/>
    <x v="8"/>
    <n v="2705893"/>
    <n v="0"/>
    <n v="2705893"/>
    <x v="0"/>
    <x v="1"/>
    <n v="463"/>
    <x v="55"/>
    <s v="GVA TRADING SPA"/>
  </r>
  <r>
    <m/>
    <s v="TRASPASO"/>
    <d v="2022-02-25T00:00:00"/>
    <n v="2"/>
    <x v="1"/>
    <x v="14"/>
    <x v="8"/>
    <n v="0"/>
    <n v="432033"/>
    <n v="-432033"/>
    <x v="0"/>
    <x v="1"/>
    <n v="463"/>
    <x v="55"/>
    <s v="GVA TRADING SPA"/>
  </r>
  <r>
    <m/>
    <s v="TRASPASO"/>
    <d v="2022-02-25T00:00:00"/>
    <n v="2"/>
    <x v="4"/>
    <x v="15"/>
    <x v="8"/>
    <n v="0"/>
    <n v="2273860"/>
    <n v="-2273860"/>
    <x v="0"/>
    <x v="1"/>
    <n v="463"/>
    <x v="55"/>
    <s v="GVA TRADING SPA"/>
  </r>
  <r>
    <m/>
    <s v="TRASPASO"/>
    <d v="2022-02-28T00:00:00"/>
    <n v="2"/>
    <x v="0"/>
    <x v="13"/>
    <x v="8"/>
    <n v="135517"/>
    <n v="0"/>
    <n v="135517"/>
    <x v="0"/>
    <x v="1"/>
    <n v="464"/>
    <x v="54"/>
    <s v="IMPORTACIONES Y SERVICIOS ADVANCED COMPUTING TECHNOLOGIES S.A."/>
  </r>
  <r>
    <m/>
    <s v="TRASPASO"/>
    <d v="2022-02-28T00:00:00"/>
    <n v="2"/>
    <x v="1"/>
    <x v="14"/>
    <x v="8"/>
    <n v="0"/>
    <n v="21637"/>
    <n v="-21637"/>
    <x v="0"/>
    <x v="1"/>
    <n v="464"/>
    <x v="54"/>
    <s v="IMPORTACIONES Y SERVICIOS ADVANCED COMPUTING TECHNOLOGIES S.A."/>
  </r>
  <r>
    <m/>
    <s v="TRASPASO"/>
    <d v="2022-02-28T00:00:00"/>
    <n v="2"/>
    <x v="4"/>
    <x v="15"/>
    <x v="8"/>
    <n v="0"/>
    <n v="113880"/>
    <n v="-113880"/>
    <x v="0"/>
    <x v="1"/>
    <n v="464"/>
    <x v="54"/>
    <s v="IMPORTACIONES Y SERVICIOS ADVANCED COMPUTING TECHNOLOGIES S.A."/>
  </r>
  <r>
    <m/>
    <s v="TRASPASO"/>
    <d v="2022-02-28T00:00:00"/>
    <n v="2"/>
    <x v="0"/>
    <x v="13"/>
    <x v="8"/>
    <n v="192566"/>
    <n v="0"/>
    <n v="192566"/>
    <x v="0"/>
    <x v="1"/>
    <n v="465"/>
    <x v="56"/>
    <s v="BODEGAS TAGUA TAGUA SPA"/>
  </r>
  <r>
    <m/>
    <s v="TRASPASO"/>
    <d v="2022-02-28T00:00:00"/>
    <n v="2"/>
    <x v="1"/>
    <x v="14"/>
    <x v="8"/>
    <n v="0"/>
    <n v="30746"/>
    <n v="-30746"/>
    <x v="0"/>
    <x v="1"/>
    <n v="465"/>
    <x v="56"/>
    <s v="BODEGAS TAGUA TAGUA SPA"/>
  </r>
  <r>
    <m/>
    <s v="TRASPASO"/>
    <d v="2022-02-28T00:00:00"/>
    <n v="2"/>
    <x v="4"/>
    <x v="15"/>
    <x v="8"/>
    <n v="0"/>
    <n v="161820"/>
    <n v="-161820"/>
    <x v="0"/>
    <x v="1"/>
    <n v="465"/>
    <x v="56"/>
    <s v="BODEGAS TAGUA TAGUA SPA"/>
  </r>
  <r>
    <m/>
    <s v="TRASPASO"/>
    <d v="2022-03-04T00:00:00"/>
    <n v="3"/>
    <x v="0"/>
    <x v="13"/>
    <x v="8"/>
    <n v="141467"/>
    <n v="0"/>
    <n v="141467"/>
    <x v="0"/>
    <x v="1"/>
    <n v="466"/>
    <x v="57"/>
    <s v="AUTOMATIZATE SPA"/>
  </r>
  <r>
    <m/>
    <s v="TRASPASO"/>
    <d v="2022-03-04T00:00:00"/>
    <n v="3"/>
    <x v="1"/>
    <x v="14"/>
    <x v="8"/>
    <n v="0"/>
    <n v="22587"/>
    <n v="-22587"/>
    <x v="0"/>
    <x v="1"/>
    <n v="466"/>
    <x v="57"/>
    <s v="AUTOMATIZATE SPA"/>
  </r>
  <r>
    <m/>
    <s v="TRASPASO"/>
    <d v="2022-03-04T00:00:00"/>
    <n v="3"/>
    <x v="4"/>
    <x v="15"/>
    <x v="8"/>
    <n v="0"/>
    <n v="118880"/>
    <n v="-118880"/>
    <x v="0"/>
    <x v="1"/>
    <n v="466"/>
    <x v="57"/>
    <s v="AUTOMATIZATE SPA"/>
  </r>
  <r>
    <m/>
    <s v="TRASPASO"/>
    <d v="2022-03-07T00:00:00"/>
    <n v="3"/>
    <x v="0"/>
    <x v="13"/>
    <x v="8"/>
    <n v="176715"/>
    <n v="0"/>
    <n v="176715"/>
    <x v="0"/>
    <x v="1"/>
    <n v="467"/>
    <x v="58"/>
    <s v="AXEI MARKETING DIGITAL CHILE SPA"/>
  </r>
  <r>
    <m/>
    <s v="TRASPASO"/>
    <d v="2022-03-07T00:00:00"/>
    <n v="3"/>
    <x v="1"/>
    <x v="14"/>
    <x v="8"/>
    <n v="0"/>
    <n v="28215"/>
    <n v="-28215"/>
    <x v="0"/>
    <x v="1"/>
    <n v="467"/>
    <x v="58"/>
    <s v="AXEI MARKETING DIGITAL CHILE SPA"/>
  </r>
  <r>
    <m/>
    <s v="TRASPASO"/>
    <d v="2022-03-07T00:00:00"/>
    <n v="3"/>
    <x v="4"/>
    <x v="15"/>
    <x v="8"/>
    <n v="0"/>
    <n v="148500"/>
    <n v="-148500"/>
    <x v="0"/>
    <x v="1"/>
    <n v="467"/>
    <x v="58"/>
    <s v="AXEI MARKETING DIGITAL CHILE SPA"/>
  </r>
  <r>
    <m/>
    <s v="TRASPASO"/>
    <d v="2022-03-15T00:00:00"/>
    <n v="3"/>
    <x v="0"/>
    <x v="13"/>
    <x v="8"/>
    <n v="64117"/>
    <n v="0"/>
    <n v="64117"/>
    <x v="0"/>
    <x v="1"/>
    <n v="468"/>
    <x v="59"/>
    <s v="SOCIEDAD E INVERSIONES SPIRALWAY SPA"/>
  </r>
  <r>
    <m/>
    <s v="TRASPASO"/>
    <d v="2022-03-15T00:00:00"/>
    <n v="3"/>
    <x v="1"/>
    <x v="14"/>
    <x v="8"/>
    <n v="0"/>
    <n v="10237"/>
    <n v="-10237"/>
    <x v="0"/>
    <x v="1"/>
    <n v="468"/>
    <x v="59"/>
    <s v="SOCIEDAD E INVERSIONES SPIRALWAY SPA"/>
  </r>
  <r>
    <m/>
    <s v="TRASPASO"/>
    <d v="2022-03-15T00:00:00"/>
    <n v="3"/>
    <x v="4"/>
    <x v="15"/>
    <x v="8"/>
    <n v="0"/>
    <n v="53880"/>
    <n v="-53880"/>
    <x v="0"/>
    <x v="1"/>
    <n v="468"/>
    <x v="59"/>
    <s v="SOCIEDAD E INVERSIONES SPIRALWAY SPA"/>
  </r>
  <r>
    <m/>
    <s v="TRASPASO"/>
    <d v="2022-03-15T00:00:00"/>
    <n v="3"/>
    <x v="0"/>
    <x v="13"/>
    <x v="8"/>
    <n v="94962"/>
    <n v="0"/>
    <n v="94962"/>
    <x v="0"/>
    <x v="1"/>
    <n v="469"/>
    <x v="50"/>
    <s v="ROLANDO BURGOS E.I.R.L."/>
  </r>
  <r>
    <m/>
    <s v="TRASPASO"/>
    <d v="2022-03-15T00:00:00"/>
    <n v="3"/>
    <x v="1"/>
    <x v="14"/>
    <x v="8"/>
    <n v="0"/>
    <n v="15162"/>
    <n v="-15162"/>
    <x v="0"/>
    <x v="1"/>
    <n v="469"/>
    <x v="50"/>
    <s v="ROLANDO BURGOS E.I.R.L."/>
  </r>
  <r>
    <m/>
    <s v="TRASPASO"/>
    <d v="2022-03-15T00:00:00"/>
    <n v="3"/>
    <x v="4"/>
    <x v="15"/>
    <x v="8"/>
    <n v="0"/>
    <n v="79800"/>
    <n v="-79800"/>
    <x v="0"/>
    <x v="1"/>
    <n v="469"/>
    <x v="50"/>
    <s v="ROLANDO BURGOS E.I.R.L."/>
  </r>
  <r>
    <m/>
    <s v="TRASPASO"/>
    <d v="2022-03-17T00:00:00"/>
    <n v="3"/>
    <x v="0"/>
    <x v="13"/>
    <x v="8"/>
    <n v="102935"/>
    <n v="0"/>
    <n v="102935"/>
    <x v="0"/>
    <x v="1"/>
    <n v="470"/>
    <x v="60"/>
    <s v="MUEBLES MARCO ANTONIO REYES VALDES E.I.R.L."/>
  </r>
  <r>
    <m/>
    <s v="TRASPASO"/>
    <d v="2022-03-17T00:00:00"/>
    <n v="3"/>
    <x v="1"/>
    <x v="14"/>
    <x v="8"/>
    <n v="0"/>
    <n v="16435"/>
    <n v="-16435"/>
    <x v="0"/>
    <x v="1"/>
    <n v="470"/>
    <x v="60"/>
    <s v="MUEBLES MARCO ANTONIO REYES VALDES E.I.R.L."/>
  </r>
  <r>
    <m/>
    <s v="TRASPASO"/>
    <d v="2022-03-17T00:00:00"/>
    <n v="3"/>
    <x v="4"/>
    <x v="15"/>
    <x v="8"/>
    <n v="0"/>
    <n v="86500"/>
    <n v="-86500"/>
    <x v="0"/>
    <x v="1"/>
    <n v="470"/>
    <x v="60"/>
    <s v="MUEBLES MARCO ANTONIO REYES VALDES E.I.R.L."/>
  </r>
  <r>
    <m/>
    <s v="TRASPASO"/>
    <d v="2022-03-18T00:00:00"/>
    <n v="3"/>
    <x v="0"/>
    <x v="13"/>
    <x v="8"/>
    <n v="212058"/>
    <n v="0"/>
    <n v="212058"/>
    <x v="0"/>
    <x v="1"/>
    <n v="471"/>
    <x v="61"/>
    <s v="SERVICIO AEROFOTOGRAMETRICO DEL GENERAL JUAN SOLER MANFREDINI"/>
  </r>
  <r>
    <m/>
    <s v="TRASPASO"/>
    <d v="2022-03-18T00:00:00"/>
    <n v="3"/>
    <x v="1"/>
    <x v="14"/>
    <x v="8"/>
    <n v="0"/>
    <n v="33858"/>
    <n v="-33858"/>
    <x v="0"/>
    <x v="1"/>
    <n v="471"/>
    <x v="61"/>
    <s v="SERVICIO AEROFOTOGRAMETRICO DEL GENERAL JUAN SOLER MANFREDINI"/>
  </r>
  <r>
    <m/>
    <s v="TRASPASO"/>
    <d v="2022-03-18T00:00:00"/>
    <n v="3"/>
    <x v="4"/>
    <x v="15"/>
    <x v="8"/>
    <n v="0"/>
    <n v="178200"/>
    <n v="-178200"/>
    <x v="0"/>
    <x v="1"/>
    <n v="471"/>
    <x v="61"/>
    <s v="SERVICIO AEROFOTOGRAMETRICO DEL GENERAL JUAN SOLER MANFREDINI"/>
  </r>
  <r>
    <m/>
    <s v="TRASPASO"/>
    <d v="2022-03-22T00:00:00"/>
    <n v="3"/>
    <x v="0"/>
    <x v="13"/>
    <x v="8"/>
    <n v="203490"/>
    <n v="0"/>
    <n v="203490"/>
    <x v="0"/>
    <x v="1"/>
    <n v="472"/>
    <x v="62"/>
    <s v="JIMENEZ Y GALVEZ, TRANSPORTES Y SERVICIOS LIMITADA"/>
  </r>
  <r>
    <m/>
    <s v="TRASPASO"/>
    <d v="2022-03-22T00:00:00"/>
    <n v="3"/>
    <x v="1"/>
    <x v="14"/>
    <x v="8"/>
    <n v="0"/>
    <n v="32490"/>
    <n v="-32490"/>
    <x v="0"/>
    <x v="1"/>
    <n v="472"/>
    <x v="62"/>
    <s v="JIMENEZ Y GALVEZ, TRANSPORTES Y SERVICIOS LIMITADA"/>
  </r>
  <r>
    <m/>
    <s v="TRASPASO"/>
    <d v="2022-03-22T00:00:00"/>
    <n v="3"/>
    <x v="4"/>
    <x v="15"/>
    <x v="8"/>
    <n v="0"/>
    <n v="171000"/>
    <n v="-171000"/>
    <x v="0"/>
    <x v="1"/>
    <n v="472"/>
    <x v="62"/>
    <s v="JIMENEZ Y GALVEZ, TRANSPORTES Y SERVICIOS LIMITADA"/>
  </r>
  <r>
    <m/>
    <s v="TRASPASO"/>
    <d v="2022-03-25T00:00:00"/>
    <n v="3"/>
    <x v="0"/>
    <x v="13"/>
    <x v="8"/>
    <n v="200848"/>
    <n v="0"/>
    <n v="200848"/>
    <x v="0"/>
    <x v="1"/>
    <n v="474"/>
    <x v="63"/>
    <s v="JF COLLECTION SPA"/>
  </r>
  <r>
    <m/>
    <s v="TRASPASO"/>
    <d v="2022-03-25T00:00:00"/>
    <n v="3"/>
    <x v="1"/>
    <x v="14"/>
    <x v="8"/>
    <n v="0"/>
    <n v="32068"/>
    <n v="-32068"/>
    <x v="0"/>
    <x v="1"/>
    <n v="474"/>
    <x v="63"/>
    <s v="JF COLLECTION SPA"/>
  </r>
  <r>
    <m/>
    <s v="TRASPASO"/>
    <d v="2022-03-25T00:00:00"/>
    <n v="3"/>
    <x v="4"/>
    <x v="15"/>
    <x v="8"/>
    <n v="0"/>
    <n v="168780"/>
    <n v="-168780"/>
    <x v="0"/>
    <x v="1"/>
    <n v="474"/>
    <x v="63"/>
    <s v="JF COLLECTION SPA"/>
  </r>
  <r>
    <m/>
    <s v="TRASPASO"/>
    <d v="2022-03-25T00:00:00"/>
    <n v="3"/>
    <x v="0"/>
    <x v="13"/>
    <x v="8"/>
    <n v="188496"/>
    <n v="0"/>
    <n v="188496"/>
    <x v="0"/>
    <x v="1"/>
    <n v="475"/>
    <x v="54"/>
    <s v="IMPORTACIONES Y SERVICIOS ADVANCED COMPUTING TECHNOLOGIES S.A."/>
  </r>
  <r>
    <m/>
    <s v="TRASPASO"/>
    <d v="2022-03-25T00:00:00"/>
    <n v="3"/>
    <x v="1"/>
    <x v="14"/>
    <x v="8"/>
    <n v="0"/>
    <n v="30096"/>
    <n v="-30096"/>
    <x v="0"/>
    <x v="1"/>
    <n v="475"/>
    <x v="54"/>
    <s v="IMPORTACIONES Y SERVICIOS ADVANCED COMPUTING TECHNOLOGIES S.A."/>
  </r>
  <r>
    <m/>
    <s v="TRASPASO"/>
    <d v="2022-03-25T00:00:00"/>
    <n v="3"/>
    <x v="4"/>
    <x v="15"/>
    <x v="8"/>
    <n v="0"/>
    <n v="158400"/>
    <n v="-158400"/>
    <x v="0"/>
    <x v="1"/>
    <n v="475"/>
    <x v="54"/>
    <s v="IMPORTACIONES Y SERVICIOS ADVANCED COMPUTING TECHNOLOGIES S.A."/>
  </r>
  <r>
    <m/>
    <s v="TRASPASO"/>
    <d v="2022-03-25T00:00:00"/>
    <n v="3"/>
    <x v="0"/>
    <x v="13"/>
    <x v="8"/>
    <n v="164934"/>
    <n v="0"/>
    <n v="164934"/>
    <x v="0"/>
    <x v="1"/>
    <n v="476"/>
    <x v="54"/>
    <s v="IMPORTACIONES Y SERVICIOS ADVANCED COMPUTING TECHNOLOGIES S.A."/>
  </r>
  <r>
    <m/>
    <s v="TRASPASO"/>
    <d v="2022-03-25T00:00:00"/>
    <n v="3"/>
    <x v="1"/>
    <x v="14"/>
    <x v="8"/>
    <n v="0"/>
    <n v="26334"/>
    <n v="-26334"/>
    <x v="0"/>
    <x v="1"/>
    <n v="476"/>
    <x v="54"/>
    <s v="IMPORTACIONES Y SERVICIOS ADVANCED COMPUTING TECHNOLOGIES S.A."/>
  </r>
  <r>
    <m/>
    <s v="TRASPASO"/>
    <d v="2022-03-25T00:00:00"/>
    <n v="3"/>
    <x v="4"/>
    <x v="15"/>
    <x v="8"/>
    <n v="0"/>
    <n v="138600"/>
    <n v="-138600"/>
    <x v="0"/>
    <x v="1"/>
    <n v="476"/>
    <x v="54"/>
    <s v="IMPORTACIONES Y SERVICIOS ADVANCED COMPUTING TECHNOLOGIES S.A."/>
  </r>
  <r>
    <m/>
    <s v="TRASPASO"/>
    <d v="2022-03-25T00:00:00"/>
    <n v="3"/>
    <x v="0"/>
    <x v="13"/>
    <x v="8"/>
    <n v="47124"/>
    <n v="0"/>
    <n v="47124"/>
    <x v="0"/>
    <x v="1"/>
    <n v="477"/>
    <x v="54"/>
    <s v="IMPORTACIONES Y SERVICIOS ADVANCED COMPUTING TECHNOLOGIES S.A."/>
  </r>
  <r>
    <m/>
    <s v="TRASPASO"/>
    <d v="2022-03-25T00:00:00"/>
    <n v="3"/>
    <x v="1"/>
    <x v="14"/>
    <x v="8"/>
    <n v="0"/>
    <n v="7524"/>
    <n v="-7524"/>
    <x v="0"/>
    <x v="1"/>
    <n v="477"/>
    <x v="54"/>
    <s v="IMPORTACIONES Y SERVICIOS ADVANCED COMPUTING TECHNOLOGIES S.A."/>
  </r>
  <r>
    <m/>
    <s v="TRASPASO"/>
    <d v="2022-03-25T00:00:00"/>
    <n v="3"/>
    <x v="4"/>
    <x v="15"/>
    <x v="8"/>
    <n v="0"/>
    <n v="39600"/>
    <n v="-39600"/>
    <x v="0"/>
    <x v="1"/>
    <n v="477"/>
    <x v="54"/>
    <s v="IMPORTACIONES Y SERVICIOS ADVANCED COMPUTING TECHNOLOGIES S.A."/>
  </r>
  <r>
    <m/>
    <s v="TRASPASO"/>
    <d v="2022-03-25T00:00:00"/>
    <n v="3"/>
    <x v="0"/>
    <x v="13"/>
    <x v="8"/>
    <n v="141372"/>
    <n v="0"/>
    <n v="141372"/>
    <x v="0"/>
    <x v="1"/>
    <n v="478"/>
    <x v="54"/>
    <s v="IMPORTACIONES Y SERVICIOS ADVANCED COMPUTING TECHNOLOGIES S.A."/>
  </r>
  <r>
    <m/>
    <s v="TRASPASO"/>
    <d v="2022-03-25T00:00:00"/>
    <n v="3"/>
    <x v="1"/>
    <x v="14"/>
    <x v="8"/>
    <n v="0"/>
    <n v="22572"/>
    <n v="-22572"/>
    <x v="0"/>
    <x v="1"/>
    <n v="478"/>
    <x v="54"/>
    <s v="IMPORTACIONES Y SERVICIOS ADVANCED COMPUTING TECHNOLOGIES S.A."/>
  </r>
  <r>
    <m/>
    <s v="TRASPASO"/>
    <d v="2022-03-25T00:00:00"/>
    <n v="3"/>
    <x v="4"/>
    <x v="15"/>
    <x v="8"/>
    <n v="0"/>
    <n v="118800"/>
    <n v="-118800"/>
    <x v="0"/>
    <x v="1"/>
    <n v="478"/>
    <x v="54"/>
    <s v="IMPORTACIONES Y SERVICIOS ADVANCED COMPUTING TECHNOLOGIES S.A."/>
  </r>
  <r>
    <m/>
    <s v="TRASPASO"/>
    <d v="2022-03-25T00:00:00"/>
    <n v="3"/>
    <x v="0"/>
    <x v="13"/>
    <x v="8"/>
    <n v="70686"/>
    <n v="0"/>
    <n v="70686"/>
    <x v="0"/>
    <x v="1"/>
    <n v="479"/>
    <x v="54"/>
    <s v="IMPORTACIONES Y SERVICIOS ADVANCED COMPUTING TECHNOLOGIES S.A."/>
  </r>
  <r>
    <m/>
    <s v="TRASPASO"/>
    <d v="2022-03-25T00:00:00"/>
    <n v="3"/>
    <x v="1"/>
    <x v="14"/>
    <x v="8"/>
    <n v="0"/>
    <n v="11286"/>
    <n v="-11286"/>
    <x v="0"/>
    <x v="1"/>
    <n v="479"/>
    <x v="54"/>
    <s v="IMPORTACIONES Y SERVICIOS ADVANCED COMPUTING TECHNOLOGIES S.A."/>
  </r>
  <r>
    <m/>
    <s v="TRASPASO"/>
    <d v="2022-03-25T00:00:00"/>
    <n v="3"/>
    <x v="4"/>
    <x v="15"/>
    <x v="8"/>
    <n v="0"/>
    <n v="59400"/>
    <n v="-59400"/>
    <x v="0"/>
    <x v="1"/>
    <n v="479"/>
    <x v="54"/>
    <s v="IMPORTACIONES Y SERVICIOS ADVANCED COMPUTING TECHNOLOGIES S.A."/>
  </r>
  <r>
    <m/>
    <s v="TRASPASO"/>
    <d v="2022-03-28T00:00:00"/>
    <n v="3"/>
    <x v="0"/>
    <x v="13"/>
    <x v="8"/>
    <n v="169397"/>
    <n v="0"/>
    <n v="169397"/>
    <x v="0"/>
    <x v="1"/>
    <n v="480"/>
    <x v="64"/>
    <s v="MIXX MARKETING Y PUBLICIDAD LIMITADA"/>
  </r>
  <r>
    <m/>
    <s v="TRASPASO"/>
    <d v="2022-03-28T00:00:00"/>
    <n v="3"/>
    <x v="1"/>
    <x v="14"/>
    <x v="8"/>
    <n v="0"/>
    <n v="27047"/>
    <n v="-27047"/>
    <x v="0"/>
    <x v="1"/>
    <n v="480"/>
    <x v="64"/>
    <s v="MIXX MARKETING Y PUBLICIDAD LIMITADA"/>
  </r>
  <r>
    <m/>
    <s v="TRASPASO"/>
    <d v="2022-03-28T00:00:00"/>
    <n v="3"/>
    <x v="4"/>
    <x v="15"/>
    <x v="8"/>
    <n v="0"/>
    <n v="142350"/>
    <n v="-142350"/>
    <x v="0"/>
    <x v="1"/>
    <n v="480"/>
    <x v="64"/>
    <s v="MIXX MARKETING Y PUBLICIDAD LIMITADA"/>
  </r>
  <r>
    <m/>
    <s v="TRASPASO"/>
    <d v="2022-03-28T00:00:00"/>
    <n v="3"/>
    <x v="0"/>
    <x v="13"/>
    <x v="8"/>
    <n v="118881"/>
    <n v="0"/>
    <n v="118881"/>
    <x v="0"/>
    <x v="1"/>
    <n v="482"/>
    <x v="56"/>
    <s v="BODEGAS TAGUA TAGUA SPA"/>
  </r>
  <r>
    <m/>
    <s v="TRASPASO"/>
    <d v="2022-03-28T00:00:00"/>
    <n v="3"/>
    <x v="1"/>
    <x v="14"/>
    <x v="8"/>
    <n v="0"/>
    <n v="18981"/>
    <n v="-18981"/>
    <x v="0"/>
    <x v="1"/>
    <n v="482"/>
    <x v="56"/>
    <s v="BODEGAS TAGUA TAGUA SPA"/>
  </r>
  <r>
    <m/>
    <s v="TRASPASO"/>
    <d v="2022-03-28T00:00:00"/>
    <n v="3"/>
    <x v="4"/>
    <x v="15"/>
    <x v="8"/>
    <n v="0"/>
    <n v="99900"/>
    <n v="-99900"/>
    <x v="0"/>
    <x v="1"/>
    <n v="482"/>
    <x v="56"/>
    <s v="BODEGAS TAGUA TAGUA SPA"/>
  </r>
  <r>
    <m/>
    <s v="TRASPASO"/>
    <d v="2022-03-29T00:00:00"/>
    <n v="3"/>
    <x v="0"/>
    <x v="13"/>
    <x v="8"/>
    <n v="2874564"/>
    <n v="0"/>
    <n v="2874564"/>
    <x v="0"/>
    <x v="1"/>
    <n v="483"/>
    <x v="65"/>
    <s v="CORP DE CAPACITACION Y EMPLEO DE SOC DE FOMENTO FABRIL"/>
  </r>
  <r>
    <m/>
    <s v="TRASPASO"/>
    <d v="2022-03-29T00:00:00"/>
    <n v="3"/>
    <x v="1"/>
    <x v="14"/>
    <x v="8"/>
    <n v="0"/>
    <n v="458964"/>
    <n v="-458964"/>
    <x v="0"/>
    <x v="1"/>
    <n v="483"/>
    <x v="65"/>
    <s v="CORP DE CAPACITACION Y EMPLEO DE SOC DE FOMENTO FABRIL"/>
  </r>
  <r>
    <m/>
    <s v="TRASPASO"/>
    <d v="2022-03-29T00:00:00"/>
    <n v="3"/>
    <x v="4"/>
    <x v="15"/>
    <x v="8"/>
    <n v="0"/>
    <n v="2415600"/>
    <n v="-2415600"/>
    <x v="0"/>
    <x v="1"/>
    <n v="483"/>
    <x v="65"/>
    <s v="CORP DE CAPACITACION Y EMPLEO DE SOC DE FOMENTO FABRIL"/>
  </r>
  <r>
    <m/>
    <s v="TRASPASO"/>
    <d v="2022-04-06T00:00:00"/>
    <n v="4"/>
    <x v="0"/>
    <x v="13"/>
    <x v="8"/>
    <n v="162673"/>
    <n v="0"/>
    <n v="162673"/>
    <x v="0"/>
    <x v="1"/>
    <n v="484"/>
    <x v="66"/>
    <s v="PRODUCCIONES PUNTO CREATIVO LIMITADA"/>
  </r>
  <r>
    <m/>
    <s v="TRASPASO"/>
    <d v="2022-04-06T00:00:00"/>
    <n v="4"/>
    <x v="1"/>
    <x v="14"/>
    <x v="8"/>
    <n v="0"/>
    <n v="25973"/>
    <n v="-25973"/>
    <x v="0"/>
    <x v="1"/>
    <n v="484"/>
    <x v="66"/>
    <s v="PRODUCCIONES PUNTO CREATIVO LIMITADA"/>
  </r>
  <r>
    <m/>
    <s v="TRASPASO"/>
    <d v="2022-04-06T00:00:00"/>
    <n v="4"/>
    <x v="4"/>
    <x v="15"/>
    <x v="8"/>
    <n v="0"/>
    <n v="136700"/>
    <n v="-136700"/>
    <x v="0"/>
    <x v="1"/>
    <n v="484"/>
    <x v="66"/>
    <s v="PRODUCCIONES PUNTO CREATIVO LIMITADA"/>
  </r>
  <r>
    <m/>
    <s v="TRASPASO"/>
    <d v="2022-04-06T00:00:00"/>
    <n v="4"/>
    <x v="0"/>
    <x v="13"/>
    <x v="8"/>
    <n v="132804"/>
    <n v="0"/>
    <n v="132804"/>
    <x v="0"/>
    <x v="1"/>
    <n v="485"/>
    <x v="67"/>
    <s v="CLINICA SAN LORENZO LIMITADA"/>
  </r>
  <r>
    <m/>
    <s v="TRASPASO"/>
    <d v="2022-04-06T00:00:00"/>
    <n v="4"/>
    <x v="1"/>
    <x v="14"/>
    <x v="8"/>
    <n v="0"/>
    <n v="21204"/>
    <n v="-21204"/>
    <x v="0"/>
    <x v="1"/>
    <n v="485"/>
    <x v="67"/>
    <s v="CLINICA SAN LORENZO LIMITADA"/>
  </r>
  <r>
    <m/>
    <s v="TRASPASO"/>
    <d v="2022-04-06T00:00:00"/>
    <n v="4"/>
    <x v="4"/>
    <x v="15"/>
    <x v="8"/>
    <n v="0"/>
    <n v="111600"/>
    <n v="-111600"/>
    <x v="0"/>
    <x v="1"/>
    <n v="485"/>
    <x v="67"/>
    <s v="CLINICA SAN LORENZO LIMITADA"/>
  </r>
  <r>
    <m/>
    <s v="TRASPASO"/>
    <d v="2022-04-11T00:00:00"/>
    <n v="4"/>
    <x v="0"/>
    <x v="13"/>
    <x v="8"/>
    <n v="79611"/>
    <n v="0"/>
    <n v="79611"/>
    <x v="0"/>
    <x v="1"/>
    <n v="486"/>
    <x v="61"/>
    <s v="SERVICIO AEROFOTOGRAMETRICO DEL GENERAL JUAN SOLER MANFREDINI"/>
  </r>
  <r>
    <m/>
    <s v="TRASPASO"/>
    <d v="2022-04-11T00:00:00"/>
    <n v="4"/>
    <x v="1"/>
    <x v="14"/>
    <x v="8"/>
    <n v="0"/>
    <n v="12711"/>
    <n v="-12711"/>
    <x v="0"/>
    <x v="1"/>
    <n v="486"/>
    <x v="61"/>
    <s v="SERVICIO AEROFOTOGRAMETRICO DEL GENERAL JUAN SOLER MANFREDINI"/>
  </r>
  <r>
    <m/>
    <s v="TRASPASO"/>
    <d v="2022-04-11T00:00:00"/>
    <n v="4"/>
    <x v="4"/>
    <x v="15"/>
    <x v="8"/>
    <n v="0"/>
    <n v="66900"/>
    <n v="-66900"/>
    <x v="0"/>
    <x v="1"/>
    <n v="486"/>
    <x v="61"/>
    <s v="SERVICIO AEROFOTOGRAMETRICO DEL GENERAL JUAN SOLER MANFREDINI"/>
  </r>
  <r>
    <m/>
    <s v="TRASPASO"/>
    <d v="2022-04-14T00:00:00"/>
    <n v="4"/>
    <x v="0"/>
    <x v="13"/>
    <x v="8"/>
    <n v="425544"/>
    <n v="0"/>
    <n v="425544"/>
    <x v="0"/>
    <x v="1"/>
    <n v="488"/>
    <x v="68"/>
    <s v="ROLF KONRAD MOLLER-HOLTKAMP JAEDERLUND"/>
  </r>
  <r>
    <m/>
    <s v="TRASPASO"/>
    <d v="2022-04-14T00:00:00"/>
    <n v="4"/>
    <x v="1"/>
    <x v="14"/>
    <x v="8"/>
    <n v="0"/>
    <n v="67944"/>
    <n v="-67944"/>
    <x v="0"/>
    <x v="1"/>
    <n v="488"/>
    <x v="68"/>
    <s v="ROLF KONRAD MOLLER-HOLTKAMP JAEDERLUND"/>
  </r>
  <r>
    <m/>
    <s v="TRASPASO"/>
    <d v="2022-04-14T00:00:00"/>
    <n v="4"/>
    <x v="4"/>
    <x v="15"/>
    <x v="8"/>
    <n v="0"/>
    <n v="357600"/>
    <n v="-357600"/>
    <x v="0"/>
    <x v="1"/>
    <n v="488"/>
    <x v="68"/>
    <s v="ROLF KONRAD MOLLER-HOLTKAMP JAEDERLUND"/>
  </r>
  <r>
    <m/>
    <s v="TRASPASO"/>
    <d v="2022-04-19T00:00:00"/>
    <n v="4"/>
    <x v="0"/>
    <x v="13"/>
    <x v="8"/>
    <n v="1309000"/>
    <n v="0"/>
    <n v="1309000"/>
    <x v="0"/>
    <x v="1"/>
    <n v="489"/>
    <x v="69"/>
    <s v="MERCADO KENNEDY SPA"/>
  </r>
  <r>
    <m/>
    <s v="TRASPASO"/>
    <d v="2022-04-19T00:00:00"/>
    <n v="4"/>
    <x v="1"/>
    <x v="14"/>
    <x v="8"/>
    <n v="0"/>
    <n v="209000"/>
    <n v="-209000"/>
    <x v="0"/>
    <x v="1"/>
    <n v="489"/>
    <x v="69"/>
    <s v="MERCADO KENNEDY SPA"/>
  </r>
  <r>
    <m/>
    <s v="TRASPASO"/>
    <d v="2022-04-19T00:00:00"/>
    <n v="4"/>
    <x v="4"/>
    <x v="15"/>
    <x v="8"/>
    <n v="0"/>
    <n v="1100000"/>
    <n v="-1100000"/>
    <x v="0"/>
    <x v="1"/>
    <n v="489"/>
    <x v="69"/>
    <s v="MERCADO KENNEDY SPA"/>
  </r>
  <r>
    <m/>
    <s v="TRASPASO"/>
    <d v="2022-04-20T00:00:00"/>
    <n v="4"/>
    <x v="0"/>
    <x v="13"/>
    <x v="8"/>
    <n v="187247"/>
    <n v="0"/>
    <n v="187247"/>
    <x v="0"/>
    <x v="1"/>
    <n v="490"/>
    <x v="70"/>
    <s v="CORPORACION EDUCACIONAL EL REDENTOR"/>
  </r>
  <r>
    <m/>
    <s v="TRASPASO"/>
    <d v="2022-04-20T00:00:00"/>
    <n v="4"/>
    <x v="1"/>
    <x v="14"/>
    <x v="8"/>
    <n v="0"/>
    <n v="29897"/>
    <n v="-29897"/>
    <x v="0"/>
    <x v="1"/>
    <n v="490"/>
    <x v="70"/>
    <s v="CORPORACION EDUCACIONAL EL REDENTOR"/>
  </r>
  <r>
    <m/>
    <s v="TRASPASO"/>
    <d v="2022-04-20T00:00:00"/>
    <n v="4"/>
    <x v="4"/>
    <x v="15"/>
    <x v="8"/>
    <n v="0"/>
    <n v="157350"/>
    <n v="-157350"/>
    <x v="0"/>
    <x v="1"/>
    <n v="490"/>
    <x v="70"/>
    <s v="CORPORACION EDUCACIONAL EL REDENTOR"/>
  </r>
  <r>
    <m/>
    <s v="TRASPASO"/>
    <d v="2022-04-20T00:00:00"/>
    <n v="4"/>
    <x v="0"/>
    <x v="13"/>
    <x v="8"/>
    <n v="53550"/>
    <n v="0"/>
    <n v="53550"/>
    <x v="0"/>
    <x v="1"/>
    <n v="491"/>
    <x v="48"/>
    <s v="BARRY CALLEBAUT CHILE SPA"/>
  </r>
  <r>
    <m/>
    <s v="TRASPASO"/>
    <d v="2022-04-20T00:00:00"/>
    <n v="4"/>
    <x v="1"/>
    <x v="14"/>
    <x v="8"/>
    <n v="0"/>
    <n v="8550"/>
    <n v="-8550"/>
    <x v="0"/>
    <x v="1"/>
    <n v="491"/>
    <x v="48"/>
    <s v="BARRY CALLEBAUT CHILE SPA"/>
  </r>
  <r>
    <m/>
    <s v="TRASPASO"/>
    <d v="2022-04-20T00:00:00"/>
    <n v="4"/>
    <x v="4"/>
    <x v="15"/>
    <x v="8"/>
    <n v="0"/>
    <n v="45000"/>
    <n v="-45000"/>
    <x v="0"/>
    <x v="1"/>
    <n v="491"/>
    <x v="48"/>
    <s v="BARRY CALLEBAUT CHILE SPA"/>
  </r>
  <r>
    <m/>
    <s v="TRASPASO"/>
    <d v="2022-04-20T00:00:00"/>
    <n v="4"/>
    <x v="0"/>
    <x v="13"/>
    <x v="8"/>
    <n v="99365"/>
    <n v="0"/>
    <n v="99365"/>
    <x v="0"/>
    <x v="1"/>
    <n v="492"/>
    <x v="48"/>
    <s v="BARRY CALLEBAUT CHILE SPA"/>
  </r>
  <r>
    <m/>
    <s v="TRASPASO"/>
    <d v="2022-04-20T00:00:00"/>
    <n v="4"/>
    <x v="1"/>
    <x v="14"/>
    <x v="8"/>
    <n v="0"/>
    <n v="15865"/>
    <n v="-15865"/>
    <x v="0"/>
    <x v="1"/>
    <n v="492"/>
    <x v="48"/>
    <s v="BARRY CALLEBAUT CHILE SPA"/>
  </r>
  <r>
    <m/>
    <s v="TRASPASO"/>
    <d v="2022-04-20T00:00:00"/>
    <n v="4"/>
    <x v="4"/>
    <x v="15"/>
    <x v="8"/>
    <n v="0"/>
    <n v="83500"/>
    <n v="-83500"/>
    <x v="0"/>
    <x v="1"/>
    <n v="492"/>
    <x v="48"/>
    <s v="BARRY CALLEBAUT CHILE SPA"/>
  </r>
  <r>
    <m/>
    <s v="TRASPASO"/>
    <d v="2022-04-20T00:00:00"/>
    <n v="4"/>
    <x v="0"/>
    <x v="13"/>
    <x v="8"/>
    <n v="92999"/>
    <n v="0"/>
    <n v="92999"/>
    <x v="0"/>
    <x v="1"/>
    <n v="493"/>
    <x v="71"/>
    <s v="EVH CONSULTORES SPA"/>
  </r>
  <r>
    <m/>
    <s v="TRASPASO"/>
    <d v="2022-04-20T00:00:00"/>
    <n v="4"/>
    <x v="1"/>
    <x v="14"/>
    <x v="8"/>
    <n v="0"/>
    <n v="14849"/>
    <n v="-14849"/>
    <x v="0"/>
    <x v="1"/>
    <n v="493"/>
    <x v="71"/>
    <s v="EVH CONSULTORES SPA"/>
  </r>
  <r>
    <m/>
    <s v="TRASPASO"/>
    <d v="2022-04-20T00:00:00"/>
    <n v="4"/>
    <x v="4"/>
    <x v="15"/>
    <x v="8"/>
    <n v="0"/>
    <n v="78150"/>
    <n v="-78150"/>
    <x v="0"/>
    <x v="1"/>
    <n v="493"/>
    <x v="71"/>
    <s v="EVH CONSULTORES SPA"/>
  </r>
  <r>
    <m/>
    <s v="TRASPASO"/>
    <d v="2022-04-22T00:00:00"/>
    <n v="4"/>
    <x v="0"/>
    <x v="13"/>
    <x v="8"/>
    <n v="129710"/>
    <n v="0"/>
    <n v="129710"/>
    <x v="0"/>
    <x v="1"/>
    <n v="494"/>
    <x v="72"/>
    <s v="SANFRESH SPA"/>
  </r>
  <r>
    <m/>
    <s v="TRASPASO"/>
    <d v="2022-04-22T00:00:00"/>
    <n v="4"/>
    <x v="1"/>
    <x v="14"/>
    <x v="8"/>
    <n v="0"/>
    <n v="20710"/>
    <n v="-20710"/>
    <x v="0"/>
    <x v="1"/>
    <n v="494"/>
    <x v="72"/>
    <s v="SANFRESH SPA"/>
  </r>
  <r>
    <m/>
    <s v="TRASPASO"/>
    <d v="2022-04-22T00:00:00"/>
    <n v="4"/>
    <x v="4"/>
    <x v="15"/>
    <x v="8"/>
    <n v="0"/>
    <n v="109000"/>
    <n v="-109000"/>
    <x v="0"/>
    <x v="1"/>
    <n v="494"/>
    <x v="72"/>
    <s v="SANFRESH SPA"/>
  </r>
  <r>
    <m/>
    <s v="TRASPASO"/>
    <d v="2022-04-22T00:00:00"/>
    <n v="4"/>
    <x v="0"/>
    <x v="13"/>
    <x v="8"/>
    <n v="171170"/>
    <n v="0"/>
    <n v="171170"/>
    <x v="0"/>
    <x v="1"/>
    <n v="495"/>
    <x v="56"/>
    <s v="BODEGAS TAGUA TAGUA SPA"/>
  </r>
  <r>
    <m/>
    <s v="TRASPASO"/>
    <d v="2022-04-22T00:00:00"/>
    <n v="4"/>
    <x v="1"/>
    <x v="14"/>
    <x v="8"/>
    <n v="0"/>
    <n v="27330"/>
    <n v="-27330"/>
    <x v="0"/>
    <x v="1"/>
    <n v="495"/>
    <x v="56"/>
    <s v="BODEGAS TAGUA TAGUA SPA"/>
  </r>
  <r>
    <m/>
    <s v="TRASPASO"/>
    <d v="2022-04-22T00:00:00"/>
    <n v="4"/>
    <x v="4"/>
    <x v="15"/>
    <x v="8"/>
    <n v="0"/>
    <n v="143840"/>
    <n v="-143840"/>
    <x v="0"/>
    <x v="1"/>
    <n v="495"/>
    <x v="56"/>
    <s v="BODEGAS TAGUA TAGUA SPA"/>
  </r>
  <r>
    <m/>
    <s v="TRASPASO"/>
    <d v="2022-04-22T00:00:00"/>
    <n v="4"/>
    <x v="0"/>
    <x v="13"/>
    <x v="8"/>
    <n v="763028"/>
    <n v="0"/>
    <n v="763028"/>
    <x v="0"/>
    <x v="1"/>
    <n v="496"/>
    <x v="73"/>
    <s v="NORTH MEDICAL SERVICE SPA"/>
  </r>
  <r>
    <m/>
    <s v="TRASPASO"/>
    <d v="2022-04-22T00:00:00"/>
    <n v="4"/>
    <x v="1"/>
    <x v="14"/>
    <x v="8"/>
    <n v="0"/>
    <n v="121828"/>
    <n v="-121828"/>
    <x v="0"/>
    <x v="1"/>
    <n v="496"/>
    <x v="73"/>
    <s v="NORTH MEDICAL SERVICE SPA"/>
  </r>
  <r>
    <m/>
    <s v="TRASPASO"/>
    <d v="2022-04-22T00:00:00"/>
    <n v="4"/>
    <x v="4"/>
    <x v="15"/>
    <x v="8"/>
    <n v="0"/>
    <n v="641200"/>
    <n v="-641200"/>
    <x v="0"/>
    <x v="1"/>
    <n v="496"/>
    <x v="73"/>
    <s v="NORTH MEDICAL SERVICE SPA"/>
  </r>
  <r>
    <m/>
    <s v="TRASPASO"/>
    <d v="2022-04-25T00:00:00"/>
    <n v="4"/>
    <x v="0"/>
    <x v="13"/>
    <x v="8"/>
    <n v="1148778"/>
    <n v="0"/>
    <n v="1148778"/>
    <x v="0"/>
    <x v="1"/>
    <n v="497"/>
    <x v="54"/>
    <s v="IMPORTACIONES Y SERVICIOS ADVANCED COMPUTING TECHNOLOGIES S.A."/>
  </r>
  <r>
    <m/>
    <s v="TRASPASO"/>
    <d v="2022-04-25T00:00:00"/>
    <n v="4"/>
    <x v="1"/>
    <x v="14"/>
    <x v="8"/>
    <n v="0"/>
    <n v="183418"/>
    <n v="-183418"/>
    <x v="0"/>
    <x v="1"/>
    <n v="497"/>
    <x v="54"/>
    <s v="IMPORTACIONES Y SERVICIOS ADVANCED COMPUTING TECHNOLOGIES S.A."/>
  </r>
  <r>
    <m/>
    <s v="TRASPASO"/>
    <d v="2022-04-25T00:00:00"/>
    <n v="4"/>
    <x v="4"/>
    <x v="15"/>
    <x v="8"/>
    <n v="0"/>
    <n v="965360"/>
    <n v="-965360"/>
    <x v="0"/>
    <x v="1"/>
    <n v="497"/>
    <x v="54"/>
    <s v="IMPORTACIONES Y SERVICIOS ADVANCED COMPUTING TECHNOLOGIES S.A."/>
  </r>
  <r>
    <m/>
    <s v="TRASPASO"/>
    <d v="2022-04-26T00:00:00"/>
    <n v="4"/>
    <x v="0"/>
    <x v="13"/>
    <x v="8"/>
    <n v="849660"/>
    <n v="0"/>
    <n v="849660"/>
    <x v="0"/>
    <x v="1"/>
    <n v="498"/>
    <x v="74"/>
    <s v="CUMPLO CHILE S.A"/>
  </r>
  <r>
    <m/>
    <s v="TRASPASO"/>
    <d v="2022-04-26T00:00:00"/>
    <n v="4"/>
    <x v="1"/>
    <x v="14"/>
    <x v="8"/>
    <n v="0"/>
    <n v="135660"/>
    <n v="-135660"/>
    <x v="0"/>
    <x v="1"/>
    <n v="498"/>
    <x v="74"/>
    <s v="CUMPLO CHILE S.A"/>
  </r>
  <r>
    <m/>
    <s v="TRASPASO"/>
    <d v="2022-04-26T00:00:00"/>
    <n v="4"/>
    <x v="4"/>
    <x v="15"/>
    <x v="8"/>
    <n v="0"/>
    <n v="714000"/>
    <n v="-714000"/>
    <x v="0"/>
    <x v="1"/>
    <n v="498"/>
    <x v="74"/>
    <s v="CUMPLO CHILE S.A"/>
  </r>
  <r>
    <m/>
    <s v="TRASPASO"/>
    <d v="2022-04-26T00:00:00"/>
    <n v="4"/>
    <x v="0"/>
    <x v="13"/>
    <x v="8"/>
    <n v="2816730"/>
    <n v="0"/>
    <n v="2816730"/>
    <x v="0"/>
    <x v="1"/>
    <n v="499"/>
    <x v="75"/>
    <s v="DOREL JUVENILE CHILE S.A."/>
  </r>
  <r>
    <m/>
    <s v="TRASPASO"/>
    <d v="2022-04-26T00:00:00"/>
    <n v="4"/>
    <x v="1"/>
    <x v="14"/>
    <x v="8"/>
    <n v="0"/>
    <n v="449730"/>
    <n v="-449730"/>
    <x v="0"/>
    <x v="1"/>
    <n v="499"/>
    <x v="75"/>
    <s v="DOREL JUVENILE CHILE S.A."/>
  </r>
  <r>
    <m/>
    <s v="TRASPASO"/>
    <d v="2022-04-26T00:00:00"/>
    <n v="4"/>
    <x v="4"/>
    <x v="15"/>
    <x v="8"/>
    <n v="0"/>
    <n v="2367000"/>
    <n v="-2367000"/>
    <x v="0"/>
    <x v="1"/>
    <n v="499"/>
    <x v="75"/>
    <s v="DOREL JUVENILE CHILE S.A."/>
  </r>
  <r>
    <m/>
    <s v="TRASPASO"/>
    <d v="2022-04-29T00:00:00"/>
    <n v="4"/>
    <x v="0"/>
    <x v="13"/>
    <x v="8"/>
    <n v="118881"/>
    <n v="0"/>
    <n v="118881"/>
    <x v="0"/>
    <x v="1"/>
    <n v="500"/>
    <x v="76"/>
    <s v="OSCAR EDUARDO ACEVEDO ARMIJO"/>
  </r>
  <r>
    <m/>
    <s v="TRASPASO"/>
    <d v="2022-04-29T00:00:00"/>
    <n v="4"/>
    <x v="1"/>
    <x v="14"/>
    <x v="8"/>
    <n v="0"/>
    <n v="18981"/>
    <n v="-18981"/>
    <x v="0"/>
    <x v="1"/>
    <n v="500"/>
    <x v="76"/>
    <s v="OSCAR EDUARDO ACEVEDO ARMIJO"/>
  </r>
  <r>
    <m/>
    <s v="TRASPASO"/>
    <d v="2022-04-29T00:00:00"/>
    <n v="4"/>
    <x v="4"/>
    <x v="15"/>
    <x v="8"/>
    <n v="0"/>
    <n v="99900"/>
    <n v="-99900"/>
    <x v="0"/>
    <x v="1"/>
    <n v="500"/>
    <x v="76"/>
    <s v="OSCAR EDUARDO ACEVEDO ARMIJO"/>
  </r>
  <r>
    <m/>
    <s v="TRASPASO"/>
    <d v="2022-04-29T00:00:00"/>
    <n v="4"/>
    <x v="0"/>
    <x v="13"/>
    <x v="8"/>
    <n v="646848"/>
    <n v="0"/>
    <n v="646848"/>
    <x v="0"/>
    <x v="1"/>
    <n v="501"/>
    <x v="77"/>
    <s v="PISCINAS JOSE ANTONIO CABELLO NAVARRO E.I.R.L."/>
  </r>
  <r>
    <m/>
    <s v="TRASPASO"/>
    <d v="2022-04-29T00:00:00"/>
    <n v="4"/>
    <x v="1"/>
    <x v="14"/>
    <x v="8"/>
    <n v="0"/>
    <n v="103278"/>
    <n v="-103278"/>
    <x v="0"/>
    <x v="1"/>
    <n v="501"/>
    <x v="77"/>
    <s v="PISCINAS JOSE ANTONIO CABELLO NAVARRO E.I.R.L."/>
  </r>
  <r>
    <m/>
    <s v="TRASPASO"/>
    <d v="2022-04-29T00:00:00"/>
    <n v="4"/>
    <x v="4"/>
    <x v="15"/>
    <x v="8"/>
    <n v="0"/>
    <n v="543570"/>
    <n v="-543570"/>
    <x v="0"/>
    <x v="1"/>
    <n v="501"/>
    <x v="77"/>
    <s v="PISCINAS JOSE ANTONIO CABELLO NAVARRO E.I.R.L."/>
  </r>
  <r>
    <m/>
    <s v="TRASPASO"/>
    <d v="2022-05-11T00:00:00"/>
    <n v="5"/>
    <x v="0"/>
    <x v="13"/>
    <x v="8"/>
    <n v="374553"/>
    <n v="0"/>
    <n v="374553"/>
    <x v="0"/>
    <x v="1"/>
    <n v="502"/>
    <x v="58"/>
    <s v="AXEI MARKETING DIGITAL CHILE SPA"/>
  </r>
  <r>
    <m/>
    <s v="TRASPASO"/>
    <d v="2022-05-11T00:00:00"/>
    <n v="5"/>
    <x v="1"/>
    <x v="14"/>
    <x v="8"/>
    <n v="0"/>
    <n v="59803"/>
    <n v="-59803"/>
    <x v="0"/>
    <x v="1"/>
    <n v="502"/>
    <x v="58"/>
    <s v="AXEI MARKETING DIGITAL CHILE SPA"/>
  </r>
  <r>
    <m/>
    <s v="TRASPASO"/>
    <d v="2022-05-11T00:00:00"/>
    <n v="5"/>
    <x v="4"/>
    <x v="15"/>
    <x v="8"/>
    <n v="0"/>
    <n v="314750"/>
    <n v="-314750"/>
    <x v="0"/>
    <x v="1"/>
    <n v="502"/>
    <x v="58"/>
    <s v="AXEI MARKETING DIGITAL CHILE SPA"/>
  </r>
  <r>
    <m/>
    <s v="TRASPASO"/>
    <d v="2022-05-11T00:00:00"/>
    <n v="5"/>
    <x v="0"/>
    <x v="13"/>
    <x v="8"/>
    <n v="184212"/>
    <n v="0"/>
    <n v="184212"/>
    <x v="0"/>
    <x v="1"/>
    <n v="503"/>
    <x v="78"/>
    <s v="CORP DE DESARROLLO SOCIAL DE PROVIDENCIA"/>
  </r>
  <r>
    <m/>
    <s v="TRASPASO"/>
    <d v="2022-05-11T00:00:00"/>
    <n v="5"/>
    <x v="1"/>
    <x v="14"/>
    <x v="8"/>
    <n v="0"/>
    <n v="29412"/>
    <n v="-29412"/>
    <x v="0"/>
    <x v="1"/>
    <n v="503"/>
    <x v="78"/>
    <s v="CORP DE DESARROLLO SOCIAL DE PROVIDENCIA"/>
  </r>
  <r>
    <m/>
    <s v="TRASPASO"/>
    <d v="2022-05-11T00:00:00"/>
    <n v="5"/>
    <x v="4"/>
    <x v="15"/>
    <x v="8"/>
    <n v="0"/>
    <n v="154800"/>
    <n v="-154800"/>
    <x v="0"/>
    <x v="1"/>
    <n v="503"/>
    <x v="78"/>
    <s v="CORP DE DESARROLLO SOCIAL DE PROVIDENCIA"/>
  </r>
  <r>
    <m/>
    <s v="TRASPASO"/>
    <d v="2022-05-11T00:00:00"/>
    <n v="5"/>
    <x v="0"/>
    <x v="13"/>
    <x v="8"/>
    <n v="530930"/>
    <n v="0"/>
    <n v="530930"/>
    <x v="0"/>
    <x v="1"/>
    <n v="504"/>
    <x v="44"/>
    <s v="GASTRONOMICA TRES CABEZAS SPA"/>
  </r>
  <r>
    <m/>
    <s v="TRASPASO"/>
    <d v="2022-05-11T00:00:00"/>
    <n v="5"/>
    <x v="1"/>
    <x v="14"/>
    <x v="8"/>
    <n v="0"/>
    <n v="84770"/>
    <n v="-84770"/>
    <x v="0"/>
    <x v="1"/>
    <n v="504"/>
    <x v="44"/>
    <s v="GASTRONOMICA TRES CABEZAS SPA"/>
  </r>
  <r>
    <m/>
    <s v="TRASPASO"/>
    <d v="2022-05-11T00:00:00"/>
    <n v="5"/>
    <x v="4"/>
    <x v="15"/>
    <x v="8"/>
    <n v="0"/>
    <n v="446160"/>
    <n v="-446160"/>
    <x v="0"/>
    <x v="1"/>
    <n v="504"/>
    <x v="44"/>
    <s v="GASTRONOMICA TRES CABEZAS SPA"/>
  </r>
  <r>
    <m/>
    <s v="TRASPASO"/>
    <d v="2022-05-12T00:00:00"/>
    <n v="5"/>
    <x v="0"/>
    <x v="13"/>
    <x v="8"/>
    <n v="223482"/>
    <n v="0"/>
    <n v="223482"/>
    <x v="0"/>
    <x v="1"/>
    <n v="505"/>
    <x v="79"/>
    <s v="CONDOMINIO PLAZA BUIN TRES"/>
  </r>
  <r>
    <m/>
    <s v="TRASPASO"/>
    <d v="2022-05-12T00:00:00"/>
    <n v="5"/>
    <x v="1"/>
    <x v="14"/>
    <x v="8"/>
    <n v="0"/>
    <n v="35682"/>
    <n v="-35682"/>
    <x v="0"/>
    <x v="1"/>
    <n v="505"/>
    <x v="79"/>
    <s v="CONDOMINIO PLAZA BUIN TRES"/>
  </r>
  <r>
    <m/>
    <s v="TRASPASO"/>
    <d v="2022-05-12T00:00:00"/>
    <n v="5"/>
    <x v="4"/>
    <x v="15"/>
    <x v="8"/>
    <n v="0"/>
    <n v="187800"/>
    <n v="-187800"/>
    <x v="0"/>
    <x v="1"/>
    <n v="505"/>
    <x v="79"/>
    <s v="CONDOMINIO PLAZA BUIN TRES"/>
  </r>
  <r>
    <m/>
    <s v="TRASPASO"/>
    <d v="2022-05-18T00:00:00"/>
    <n v="5"/>
    <x v="0"/>
    <x v="13"/>
    <x v="8"/>
    <n v="1210266"/>
    <n v="0"/>
    <n v="1210266"/>
    <x v="0"/>
    <x v="1"/>
    <n v="506"/>
    <x v="80"/>
    <s v="SOC MANUFACTURERA DE PLASTICOS LIMITADA"/>
  </r>
  <r>
    <m/>
    <s v="TRASPASO"/>
    <d v="2022-05-18T00:00:00"/>
    <n v="5"/>
    <x v="1"/>
    <x v="14"/>
    <x v="8"/>
    <n v="0"/>
    <n v="193236"/>
    <n v="-193236"/>
    <x v="0"/>
    <x v="1"/>
    <n v="506"/>
    <x v="80"/>
    <s v="SOC MANUFACTURERA DE PLASTICOS LIMITADA"/>
  </r>
  <r>
    <m/>
    <s v="TRASPASO"/>
    <d v="2022-05-18T00:00:00"/>
    <n v="5"/>
    <x v="4"/>
    <x v="15"/>
    <x v="8"/>
    <n v="0"/>
    <n v="1017030"/>
    <n v="-1017030"/>
    <x v="0"/>
    <x v="1"/>
    <n v="506"/>
    <x v="80"/>
    <s v="SOC MANUFACTURERA DE PLASTICOS LIMITADA"/>
  </r>
  <r>
    <m/>
    <s v="TRASPASO"/>
    <d v="2022-05-25T00:00:00"/>
    <n v="5"/>
    <x v="0"/>
    <x v="13"/>
    <x v="8"/>
    <n v="314160"/>
    <n v="0"/>
    <n v="314160"/>
    <x v="0"/>
    <x v="1"/>
    <n v="507"/>
    <x v="81"/>
    <s v="FUNDACION MUSEO DE LA MODA"/>
  </r>
  <r>
    <m/>
    <s v="TRASPASO"/>
    <d v="2022-05-25T00:00:00"/>
    <n v="5"/>
    <x v="1"/>
    <x v="14"/>
    <x v="8"/>
    <n v="0"/>
    <n v="50160"/>
    <n v="-50160"/>
    <x v="0"/>
    <x v="1"/>
    <n v="507"/>
    <x v="81"/>
    <s v="FUNDACION MUSEO DE LA MODA"/>
  </r>
  <r>
    <m/>
    <s v="TRASPASO"/>
    <d v="2022-05-25T00:00:00"/>
    <n v="5"/>
    <x v="4"/>
    <x v="15"/>
    <x v="8"/>
    <n v="0"/>
    <n v="264000"/>
    <n v="-264000"/>
    <x v="0"/>
    <x v="1"/>
    <n v="507"/>
    <x v="81"/>
    <s v="FUNDACION MUSEO DE LA MODA"/>
  </r>
  <r>
    <m/>
    <s v="TRASPASO"/>
    <d v="2022-05-27T00:00:00"/>
    <n v="5"/>
    <x v="0"/>
    <x v="13"/>
    <x v="8"/>
    <n v="1535100"/>
    <n v="0"/>
    <n v="1535100"/>
    <x v="0"/>
    <x v="1"/>
    <n v="508"/>
    <x v="48"/>
    <s v="BARRY CALLEBAUT CHILE SPA"/>
  </r>
  <r>
    <m/>
    <s v="TRASPASO"/>
    <d v="2022-05-27T00:00:00"/>
    <n v="5"/>
    <x v="1"/>
    <x v="14"/>
    <x v="8"/>
    <n v="0"/>
    <n v="245100"/>
    <n v="-245100"/>
    <x v="0"/>
    <x v="1"/>
    <n v="508"/>
    <x v="48"/>
    <s v="BARRY CALLEBAUT CHILE SPA"/>
  </r>
  <r>
    <m/>
    <s v="TRASPASO"/>
    <d v="2022-05-27T00:00:00"/>
    <n v="5"/>
    <x v="4"/>
    <x v="15"/>
    <x v="8"/>
    <n v="0"/>
    <n v="1290000"/>
    <n v="-1290000"/>
    <x v="0"/>
    <x v="1"/>
    <n v="508"/>
    <x v="48"/>
    <s v="BARRY CALLEBAUT CHILE SPA"/>
  </r>
  <r>
    <m/>
    <s v="TRASPASO"/>
    <d v="2022-05-27T00:00:00"/>
    <n v="5"/>
    <x v="0"/>
    <x v="13"/>
    <x v="8"/>
    <n v="92106"/>
    <n v="0"/>
    <n v="92106"/>
    <x v="0"/>
    <x v="1"/>
    <n v="509"/>
    <x v="48"/>
    <s v="BARRY CALLEBAUT CHILE SPA"/>
  </r>
  <r>
    <m/>
    <s v="TRASPASO"/>
    <d v="2022-05-27T00:00:00"/>
    <n v="5"/>
    <x v="1"/>
    <x v="14"/>
    <x v="8"/>
    <n v="0"/>
    <n v="14706"/>
    <n v="-14706"/>
    <x v="0"/>
    <x v="1"/>
    <n v="509"/>
    <x v="48"/>
    <s v="BARRY CALLEBAUT CHILE SPA"/>
  </r>
  <r>
    <m/>
    <s v="TRASPASO"/>
    <d v="2022-05-27T00:00:00"/>
    <n v="5"/>
    <x v="4"/>
    <x v="15"/>
    <x v="8"/>
    <n v="0"/>
    <n v="77400"/>
    <n v="-77400"/>
    <x v="0"/>
    <x v="1"/>
    <n v="509"/>
    <x v="48"/>
    <s v="BARRY CALLEBAUT CHILE SPA"/>
  </r>
  <r>
    <m/>
    <s v="TRASPASO"/>
    <d v="2022-06-01T00:00:00"/>
    <n v="6"/>
    <x v="0"/>
    <x v="13"/>
    <x v="8"/>
    <n v="71400"/>
    <n v="0"/>
    <n v="71400"/>
    <x v="0"/>
    <x v="1"/>
    <n v="510"/>
    <x v="81"/>
    <s v="FUNDACION MUSEO DE LA MODA"/>
  </r>
  <r>
    <m/>
    <s v="TRASPASO"/>
    <d v="2022-06-01T00:00:00"/>
    <n v="6"/>
    <x v="1"/>
    <x v="14"/>
    <x v="8"/>
    <n v="0"/>
    <n v="11400"/>
    <n v="-11400"/>
    <x v="0"/>
    <x v="1"/>
    <n v="510"/>
    <x v="81"/>
    <s v="FUNDACION MUSEO DE LA MODA"/>
  </r>
  <r>
    <m/>
    <s v="TRASPASO"/>
    <d v="2022-06-01T00:00:00"/>
    <n v="6"/>
    <x v="4"/>
    <x v="15"/>
    <x v="8"/>
    <n v="0"/>
    <n v="60000"/>
    <n v="-60000"/>
    <x v="0"/>
    <x v="1"/>
    <n v="510"/>
    <x v="81"/>
    <s v="FUNDACION MUSEO DE LA MODA"/>
  </r>
  <r>
    <m/>
    <s v="TRASPASO"/>
    <d v="2022-06-09T00:00:00"/>
    <n v="6"/>
    <x v="0"/>
    <x v="13"/>
    <x v="8"/>
    <n v="90357"/>
    <n v="0"/>
    <n v="90357"/>
    <x v="0"/>
    <x v="1"/>
    <n v="511"/>
    <x v="82"/>
    <s v="SILVEIRA REYES SPA"/>
  </r>
  <r>
    <m/>
    <s v="TRASPASO"/>
    <d v="2022-06-09T00:00:00"/>
    <n v="6"/>
    <x v="1"/>
    <x v="14"/>
    <x v="8"/>
    <n v="0"/>
    <n v="14427"/>
    <n v="-14427"/>
    <x v="0"/>
    <x v="1"/>
    <n v="511"/>
    <x v="82"/>
    <s v="SILVEIRA REYES SPA"/>
  </r>
  <r>
    <m/>
    <s v="TRASPASO"/>
    <d v="2022-06-09T00:00:00"/>
    <n v="6"/>
    <x v="4"/>
    <x v="15"/>
    <x v="8"/>
    <n v="0"/>
    <n v="75930"/>
    <n v="-75930"/>
    <x v="0"/>
    <x v="1"/>
    <n v="511"/>
    <x v="82"/>
    <s v="SILVEIRA REYES SPA"/>
  </r>
  <r>
    <m/>
    <s v="TRASPASO"/>
    <d v="2022-06-14T00:00:00"/>
    <n v="6"/>
    <x v="0"/>
    <x v="13"/>
    <x v="8"/>
    <n v="141610"/>
    <n v="0"/>
    <n v="141610"/>
    <x v="0"/>
    <x v="1"/>
    <n v="512"/>
    <x v="83"/>
    <s v="LIBRERIA GENIAL SPA"/>
  </r>
  <r>
    <m/>
    <s v="TRASPASO"/>
    <d v="2022-06-14T00:00:00"/>
    <n v="6"/>
    <x v="1"/>
    <x v="14"/>
    <x v="8"/>
    <n v="0"/>
    <n v="22610"/>
    <n v="-22610"/>
    <x v="0"/>
    <x v="1"/>
    <n v="512"/>
    <x v="83"/>
    <s v="LIBRERIA GENIAL SPA"/>
  </r>
  <r>
    <m/>
    <s v="TRASPASO"/>
    <d v="2022-06-14T00:00:00"/>
    <n v="6"/>
    <x v="4"/>
    <x v="15"/>
    <x v="8"/>
    <n v="0"/>
    <n v="119000"/>
    <n v="-119000"/>
    <x v="0"/>
    <x v="1"/>
    <n v="512"/>
    <x v="83"/>
    <s v="LIBRERIA GENIAL SPA"/>
  </r>
  <r>
    <m/>
    <s v="TRASPASO"/>
    <d v="2022-06-14T00:00:00"/>
    <n v="6"/>
    <x v="0"/>
    <x v="13"/>
    <x v="8"/>
    <n v="353168"/>
    <n v="0"/>
    <n v="353168"/>
    <x v="0"/>
    <x v="1"/>
    <n v="513"/>
    <x v="84"/>
    <s v="IDS SPA"/>
  </r>
  <r>
    <m/>
    <s v="TRASPASO"/>
    <d v="2022-06-14T00:00:00"/>
    <n v="6"/>
    <x v="1"/>
    <x v="14"/>
    <x v="8"/>
    <n v="0"/>
    <n v="56388"/>
    <n v="-56388"/>
    <x v="0"/>
    <x v="1"/>
    <n v="513"/>
    <x v="84"/>
    <s v="IDS SPA"/>
  </r>
  <r>
    <m/>
    <s v="TRASPASO"/>
    <d v="2022-06-14T00:00:00"/>
    <n v="6"/>
    <x v="4"/>
    <x v="15"/>
    <x v="8"/>
    <n v="0"/>
    <n v="296780"/>
    <n v="-296780"/>
    <x v="0"/>
    <x v="1"/>
    <n v="513"/>
    <x v="84"/>
    <s v="IDS SPA"/>
  </r>
  <r>
    <m/>
    <s v="TRASPASO"/>
    <d v="2022-06-17T00:00:00"/>
    <n v="6"/>
    <x v="0"/>
    <x v="13"/>
    <x v="8"/>
    <n v="686630"/>
    <n v="0"/>
    <n v="686630"/>
    <x v="0"/>
    <x v="1"/>
    <n v="514"/>
    <x v="85"/>
    <s v="ALDO BORIS UMANA ESTAY"/>
  </r>
  <r>
    <m/>
    <s v="TRASPASO"/>
    <d v="2022-06-17T00:00:00"/>
    <n v="6"/>
    <x v="1"/>
    <x v="14"/>
    <x v="8"/>
    <n v="0"/>
    <n v="109630"/>
    <n v="-109630"/>
    <x v="0"/>
    <x v="1"/>
    <n v="514"/>
    <x v="85"/>
    <s v="ALDO BORIS UMANA ESTAY"/>
  </r>
  <r>
    <m/>
    <s v="TRASPASO"/>
    <d v="2022-06-17T00:00:00"/>
    <n v="6"/>
    <x v="4"/>
    <x v="15"/>
    <x v="8"/>
    <n v="0"/>
    <n v="577000"/>
    <n v="-577000"/>
    <x v="0"/>
    <x v="1"/>
    <n v="514"/>
    <x v="85"/>
    <s v="ALDO BORIS UMANA ESTAY"/>
  </r>
  <r>
    <m/>
    <s v="TRASPASO"/>
    <d v="2022-06-17T00:00:00"/>
    <n v="6"/>
    <x v="0"/>
    <x v="13"/>
    <x v="8"/>
    <n v="69972"/>
    <n v="0"/>
    <n v="69972"/>
    <x v="0"/>
    <x v="1"/>
    <n v="515"/>
    <x v="86"/>
    <s v="FAST WORLD SPA"/>
  </r>
  <r>
    <m/>
    <s v="TRASPASO"/>
    <d v="2022-06-17T00:00:00"/>
    <n v="6"/>
    <x v="1"/>
    <x v="14"/>
    <x v="8"/>
    <n v="0"/>
    <n v="11172"/>
    <n v="-11172"/>
    <x v="0"/>
    <x v="1"/>
    <n v="515"/>
    <x v="86"/>
    <s v="FAST WORLD SPA"/>
  </r>
  <r>
    <m/>
    <s v="TRASPASO"/>
    <d v="2022-06-17T00:00:00"/>
    <n v="6"/>
    <x v="4"/>
    <x v="15"/>
    <x v="8"/>
    <n v="0"/>
    <n v="58800"/>
    <n v="-58800"/>
    <x v="0"/>
    <x v="1"/>
    <n v="515"/>
    <x v="86"/>
    <s v="FAST WORLD SPA"/>
  </r>
  <r>
    <m/>
    <s v="TRASPASO"/>
    <d v="2022-06-22T00:00:00"/>
    <n v="6"/>
    <x v="0"/>
    <x v="13"/>
    <x v="8"/>
    <n v="54621"/>
    <n v="0"/>
    <n v="54621"/>
    <x v="0"/>
    <x v="1"/>
    <n v="516"/>
    <x v="82"/>
    <s v="SILVEIRA REYES SPA"/>
  </r>
  <r>
    <m/>
    <s v="TRASPASO"/>
    <d v="2022-06-22T00:00:00"/>
    <n v="6"/>
    <x v="1"/>
    <x v="14"/>
    <x v="8"/>
    <n v="0"/>
    <n v="8721"/>
    <n v="-8721"/>
    <x v="0"/>
    <x v="1"/>
    <n v="516"/>
    <x v="82"/>
    <s v="SILVEIRA REYES SPA"/>
  </r>
  <r>
    <m/>
    <s v="TRASPASO"/>
    <d v="2022-06-22T00:00:00"/>
    <n v="6"/>
    <x v="4"/>
    <x v="15"/>
    <x v="8"/>
    <n v="0"/>
    <n v="45900"/>
    <n v="-45900"/>
    <x v="0"/>
    <x v="1"/>
    <n v="516"/>
    <x v="82"/>
    <s v="SILVEIRA REYES SPA"/>
  </r>
  <r>
    <m/>
    <s v="TRASPASO"/>
    <d v="2022-06-23T00:00:00"/>
    <n v="6"/>
    <x v="0"/>
    <x v="13"/>
    <x v="8"/>
    <n v="319158"/>
    <n v="0"/>
    <n v="319158"/>
    <x v="0"/>
    <x v="1"/>
    <n v="517"/>
    <x v="87"/>
    <s v="CENTRO MEDICO Y ODONTOLOGICO ECO SALUD LIMITADA"/>
  </r>
  <r>
    <m/>
    <s v="TRASPASO"/>
    <d v="2022-06-23T00:00:00"/>
    <n v="6"/>
    <x v="1"/>
    <x v="14"/>
    <x v="8"/>
    <n v="0"/>
    <n v="50958"/>
    <n v="-50958"/>
    <x v="0"/>
    <x v="1"/>
    <n v="517"/>
    <x v="87"/>
    <s v="CENTRO MEDICO Y ODONTOLOGICO ECO SALUD LIMITADA"/>
  </r>
  <r>
    <m/>
    <s v="TRASPASO"/>
    <d v="2022-06-23T00:00:00"/>
    <n v="6"/>
    <x v="4"/>
    <x v="15"/>
    <x v="8"/>
    <n v="0"/>
    <n v="268200"/>
    <n v="-268200"/>
    <x v="0"/>
    <x v="1"/>
    <n v="517"/>
    <x v="87"/>
    <s v="CENTRO MEDICO Y ODONTOLOGICO ECO SALUD LIMITADA"/>
  </r>
  <r>
    <m/>
    <s v="TRASPASO"/>
    <d v="2022-06-23T00:00:00"/>
    <n v="6"/>
    <x v="0"/>
    <x v="13"/>
    <x v="8"/>
    <n v="120666"/>
    <n v="0"/>
    <n v="120666"/>
    <x v="0"/>
    <x v="1"/>
    <n v="518"/>
    <x v="88"/>
    <s v="BIN SERVICES SPA"/>
  </r>
  <r>
    <m/>
    <s v="TRASPASO"/>
    <d v="2022-06-23T00:00:00"/>
    <n v="6"/>
    <x v="1"/>
    <x v="14"/>
    <x v="8"/>
    <n v="0"/>
    <n v="19266"/>
    <n v="-19266"/>
    <x v="0"/>
    <x v="1"/>
    <n v="518"/>
    <x v="88"/>
    <s v="BIN SERVICES SPA"/>
  </r>
  <r>
    <m/>
    <s v="TRASPASO"/>
    <d v="2022-06-23T00:00:00"/>
    <n v="6"/>
    <x v="4"/>
    <x v="15"/>
    <x v="8"/>
    <n v="0"/>
    <n v="101400"/>
    <n v="-101400"/>
    <x v="0"/>
    <x v="1"/>
    <n v="518"/>
    <x v="88"/>
    <s v="BIN SERVICES SPA"/>
  </r>
  <r>
    <m/>
    <s v="TRASPASO"/>
    <d v="2022-06-29T00:00:00"/>
    <n v="6"/>
    <x v="0"/>
    <x v="13"/>
    <x v="8"/>
    <n v="341292"/>
    <n v="0"/>
    <n v="341292"/>
    <x v="0"/>
    <x v="1"/>
    <n v="519"/>
    <x v="73"/>
    <s v="NORTH MEDICAL SERVICE SPA"/>
  </r>
  <r>
    <m/>
    <s v="TRASPASO"/>
    <d v="2022-06-29T00:00:00"/>
    <n v="6"/>
    <x v="1"/>
    <x v="14"/>
    <x v="8"/>
    <n v="0"/>
    <n v="54492"/>
    <n v="-54492"/>
    <x v="0"/>
    <x v="1"/>
    <n v="519"/>
    <x v="73"/>
    <s v="NORTH MEDICAL SERVICE SPA"/>
  </r>
  <r>
    <m/>
    <s v="TRASPASO"/>
    <d v="2022-06-29T00:00:00"/>
    <n v="6"/>
    <x v="4"/>
    <x v="15"/>
    <x v="8"/>
    <n v="0"/>
    <n v="286800"/>
    <n v="-286800"/>
    <x v="0"/>
    <x v="1"/>
    <n v="519"/>
    <x v="73"/>
    <s v="NORTH MEDICAL SERVICE SPA"/>
  </r>
  <r>
    <m/>
    <s v="TRASPASO"/>
    <d v="2022-06-29T00:00:00"/>
    <n v="6"/>
    <x v="0"/>
    <x v="13"/>
    <x v="8"/>
    <n v="145775"/>
    <n v="0"/>
    <n v="145775"/>
    <x v="0"/>
    <x v="1"/>
    <n v="520"/>
    <x v="85"/>
    <s v="ALDO BORIS UMANA ESTAY"/>
  </r>
  <r>
    <m/>
    <s v="TRASPASO"/>
    <d v="2022-06-29T00:00:00"/>
    <n v="6"/>
    <x v="1"/>
    <x v="14"/>
    <x v="8"/>
    <n v="0"/>
    <n v="23275"/>
    <n v="-23275"/>
    <x v="0"/>
    <x v="1"/>
    <n v="520"/>
    <x v="85"/>
    <s v="ALDO BORIS UMANA ESTAY"/>
  </r>
  <r>
    <m/>
    <s v="TRASPASO"/>
    <d v="2022-06-29T00:00:00"/>
    <n v="6"/>
    <x v="4"/>
    <x v="15"/>
    <x v="8"/>
    <n v="0"/>
    <n v="122500"/>
    <n v="-122500"/>
    <x v="0"/>
    <x v="1"/>
    <n v="520"/>
    <x v="85"/>
    <s v="ALDO BORIS UMANA ESTAY"/>
  </r>
  <r>
    <m/>
    <s v="TRASPASO"/>
    <d v="2022-06-30T00:00:00"/>
    <n v="6"/>
    <x v="0"/>
    <x v="13"/>
    <x v="8"/>
    <n v="467075"/>
    <n v="0"/>
    <n v="467075"/>
    <x v="0"/>
    <x v="1"/>
    <n v="521"/>
    <x v="89"/>
    <s v="GLOBAL PLAST SPA"/>
  </r>
  <r>
    <m/>
    <s v="TRASPASO"/>
    <d v="2022-06-30T00:00:00"/>
    <n v="6"/>
    <x v="1"/>
    <x v="14"/>
    <x v="8"/>
    <n v="0"/>
    <n v="74575"/>
    <n v="-74575"/>
    <x v="0"/>
    <x v="1"/>
    <n v="521"/>
    <x v="89"/>
    <s v="GLOBAL PLAST SPA"/>
  </r>
  <r>
    <m/>
    <s v="TRASPASO"/>
    <d v="2022-06-30T00:00:00"/>
    <n v="6"/>
    <x v="4"/>
    <x v="15"/>
    <x v="8"/>
    <n v="0"/>
    <n v="392500"/>
    <n v="-392500"/>
    <x v="0"/>
    <x v="1"/>
    <n v="521"/>
    <x v="89"/>
    <s v="GLOBAL PLAST SPA"/>
  </r>
  <r>
    <m/>
    <s v="TRASPASO"/>
    <d v="2022-06-30T00:00:00"/>
    <n v="6"/>
    <x v="0"/>
    <x v="13"/>
    <x v="8"/>
    <n v="256754"/>
    <n v="0"/>
    <n v="256754"/>
    <x v="0"/>
    <x v="1"/>
    <n v="522"/>
    <x v="90"/>
    <s v="MINING AND INDUSTRIAL SERVICES SPA"/>
  </r>
  <r>
    <m/>
    <s v="TRASPASO"/>
    <d v="2022-06-30T00:00:00"/>
    <n v="6"/>
    <x v="1"/>
    <x v="14"/>
    <x v="8"/>
    <n v="0"/>
    <n v="40994"/>
    <n v="-40994"/>
    <x v="0"/>
    <x v="1"/>
    <n v="522"/>
    <x v="90"/>
    <s v="MINING AND INDUSTRIAL SERVICES SPA"/>
  </r>
  <r>
    <m/>
    <s v="TRASPASO"/>
    <d v="2022-06-30T00:00:00"/>
    <n v="6"/>
    <x v="4"/>
    <x v="15"/>
    <x v="8"/>
    <n v="0"/>
    <n v="215760"/>
    <n v="-215760"/>
    <x v="0"/>
    <x v="1"/>
    <n v="522"/>
    <x v="90"/>
    <s v="MINING AND INDUSTRIAL SERVICES SPA"/>
  </r>
  <r>
    <m/>
    <s v="TRASPASO"/>
    <d v="2022-06-30T00:00:00"/>
    <n v="6"/>
    <x v="0"/>
    <x v="13"/>
    <x v="8"/>
    <n v="425544"/>
    <n v="0"/>
    <n v="425544"/>
    <x v="0"/>
    <x v="1"/>
    <n v="523"/>
    <x v="91"/>
    <s v="SALUD DIGITAL SB S.A."/>
  </r>
  <r>
    <m/>
    <s v="TRASPASO"/>
    <d v="2022-06-30T00:00:00"/>
    <n v="6"/>
    <x v="1"/>
    <x v="14"/>
    <x v="8"/>
    <n v="0"/>
    <n v="67944"/>
    <n v="-67944"/>
    <x v="0"/>
    <x v="1"/>
    <n v="523"/>
    <x v="91"/>
    <s v="SALUD DIGITAL SB S.A."/>
  </r>
  <r>
    <m/>
    <s v="TRASPASO"/>
    <d v="2022-06-30T00:00:00"/>
    <n v="6"/>
    <x v="4"/>
    <x v="15"/>
    <x v="8"/>
    <n v="0"/>
    <n v="357600"/>
    <n v="-357600"/>
    <x v="0"/>
    <x v="1"/>
    <n v="523"/>
    <x v="91"/>
    <s v="SALUD DIGITAL SB S.A."/>
  </r>
  <r>
    <m/>
    <s v="TRASPASO"/>
    <d v="2022-07-05T00:00:00"/>
    <n v="7"/>
    <x v="0"/>
    <x v="13"/>
    <x v="8"/>
    <n v="278698"/>
    <n v="0"/>
    <n v="278698"/>
    <x v="0"/>
    <x v="1"/>
    <n v="524"/>
    <x v="47"/>
    <s v="TRAIL SPA"/>
  </r>
  <r>
    <m/>
    <s v="TRASPASO"/>
    <d v="2022-07-05T00:00:00"/>
    <n v="7"/>
    <x v="1"/>
    <x v="14"/>
    <x v="8"/>
    <n v="0"/>
    <n v="44498"/>
    <n v="-44498"/>
    <x v="0"/>
    <x v="1"/>
    <n v="524"/>
    <x v="47"/>
    <s v="TRAIL SPA"/>
  </r>
  <r>
    <m/>
    <s v="TRASPASO"/>
    <d v="2022-07-05T00:00:00"/>
    <n v="7"/>
    <x v="4"/>
    <x v="15"/>
    <x v="8"/>
    <n v="0"/>
    <n v="234200"/>
    <n v="-234200"/>
    <x v="0"/>
    <x v="1"/>
    <n v="524"/>
    <x v="47"/>
    <s v="TRAIL SPA"/>
  </r>
  <r>
    <m/>
    <s v="TRASPASO"/>
    <d v="2022-07-06T00:00:00"/>
    <n v="7"/>
    <x v="0"/>
    <x v="13"/>
    <x v="8"/>
    <n v="198849"/>
    <n v="0"/>
    <n v="198849"/>
    <x v="0"/>
    <x v="1"/>
    <n v="525"/>
    <x v="55"/>
    <s v="GVA TRADING SPA"/>
  </r>
  <r>
    <m/>
    <s v="TRASPASO"/>
    <d v="2022-07-06T00:00:00"/>
    <n v="7"/>
    <x v="1"/>
    <x v="14"/>
    <x v="8"/>
    <n v="0"/>
    <n v="31749"/>
    <n v="-31749"/>
    <x v="0"/>
    <x v="1"/>
    <n v="525"/>
    <x v="55"/>
    <s v="GVA TRADING SPA"/>
  </r>
  <r>
    <m/>
    <s v="TRASPASO"/>
    <d v="2022-07-06T00:00:00"/>
    <n v="7"/>
    <x v="4"/>
    <x v="15"/>
    <x v="8"/>
    <n v="0"/>
    <n v="167100"/>
    <n v="-167100"/>
    <x v="0"/>
    <x v="1"/>
    <n v="525"/>
    <x v="55"/>
    <s v="GVA TRADING SPA"/>
  </r>
  <r>
    <m/>
    <s v="TRASPASO"/>
    <d v="2022-07-12T00:00:00"/>
    <n v="7"/>
    <x v="0"/>
    <x v="13"/>
    <x v="8"/>
    <n v="619217"/>
    <n v="0"/>
    <n v="619217"/>
    <x v="0"/>
    <x v="1"/>
    <n v="526"/>
    <x v="85"/>
    <s v="ALDO BORIS UMANA ESTAY"/>
  </r>
  <r>
    <m/>
    <s v="TRASPASO"/>
    <d v="2022-07-12T00:00:00"/>
    <n v="7"/>
    <x v="1"/>
    <x v="14"/>
    <x v="8"/>
    <n v="0"/>
    <n v="98867"/>
    <n v="-98867"/>
    <x v="0"/>
    <x v="1"/>
    <n v="526"/>
    <x v="85"/>
    <s v="ALDO BORIS UMANA ESTAY"/>
  </r>
  <r>
    <m/>
    <s v="TRASPASO"/>
    <d v="2022-07-12T00:00:00"/>
    <n v="7"/>
    <x v="4"/>
    <x v="15"/>
    <x v="8"/>
    <n v="0"/>
    <n v="520350"/>
    <n v="-520350"/>
    <x v="0"/>
    <x v="1"/>
    <n v="526"/>
    <x v="85"/>
    <s v="ALDO BORIS UMANA ESTAY"/>
  </r>
  <r>
    <m/>
    <s v="TRASPASO"/>
    <d v="2022-07-13T00:00:00"/>
    <n v="7"/>
    <x v="0"/>
    <x v="13"/>
    <x v="8"/>
    <n v="685690"/>
    <n v="0"/>
    <n v="685690"/>
    <x v="0"/>
    <x v="1"/>
    <n v="527"/>
    <x v="85"/>
    <s v="ALDO BORIS UMANA ESTAY"/>
  </r>
  <r>
    <m/>
    <s v="TRASPASO"/>
    <d v="2022-07-13T00:00:00"/>
    <n v="7"/>
    <x v="1"/>
    <x v="14"/>
    <x v="8"/>
    <n v="0"/>
    <n v="109480"/>
    <n v="-109480"/>
    <x v="0"/>
    <x v="1"/>
    <n v="527"/>
    <x v="85"/>
    <s v="ALDO BORIS UMANA ESTAY"/>
  </r>
  <r>
    <m/>
    <s v="TRASPASO"/>
    <d v="2022-07-13T00:00:00"/>
    <n v="7"/>
    <x v="4"/>
    <x v="15"/>
    <x v="8"/>
    <n v="0"/>
    <n v="576210"/>
    <n v="-576210"/>
    <x v="0"/>
    <x v="1"/>
    <n v="527"/>
    <x v="85"/>
    <s v="ALDO BORIS UMANA ESTAY"/>
  </r>
  <r>
    <m/>
    <s v="TRASPASO"/>
    <d v="2022-07-27T00:00:00"/>
    <n v="7"/>
    <x v="0"/>
    <x v="13"/>
    <x v="8"/>
    <n v="994923"/>
    <n v="0"/>
    <n v="994923"/>
    <x v="0"/>
    <x v="1"/>
    <n v="528"/>
    <x v="92"/>
    <s v="HORTIFRUT CHILE S A"/>
  </r>
  <r>
    <m/>
    <s v="TRASPASO"/>
    <d v="2022-07-27T00:00:00"/>
    <n v="7"/>
    <x v="1"/>
    <x v="14"/>
    <x v="8"/>
    <n v="0"/>
    <n v="158853"/>
    <n v="-158853"/>
    <x v="0"/>
    <x v="1"/>
    <n v="528"/>
    <x v="92"/>
    <s v="HORTIFRUT CHILE S A"/>
  </r>
  <r>
    <m/>
    <s v="TRASPASO"/>
    <d v="2022-07-27T00:00:00"/>
    <n v="7"/>
    <x v="4"/>
    <x v="15"/>
    <x v="8"/>
    <n v="0"/>
    <n v="836070"/>
    <n v="-836070"/>
    <x v="0"/>
    <x v="1"/>
    <n v="528"/>
    <x v="92"/>
    <s v="HORTIFRUT CHILE S A"/>
  </r>
  <r>
    <m/>
    <s v="TRASPASO"/>
    <d v="2022-07-28T00:00:00"/>
    <n v="7"/>
    <x v="0"/>
    <x v="13"/>
    <x v="8"/>
    <n v="297738"/>
    <n v="0"/>
    <n v="297738"/>
    <x v="0"/>
    <x v="1"/>
    <n v="529"/>
    <x v="93"/>
    <s v="UNIVERSIDAD DEL DESARROLLO"/>
  </r>
  <r>
    <m/>
    <s v="TRASPASO"/>
    <d v="2022-07-28T00:00:00"/>
    <n v="7"/>
    <x v="1"/>
    <x v="14"/>
    <x v="8"/>
    <n v="0"/>
    <n v="47538"/>
    <n v="-47538"/>
    <x v="0"/>
    <x v="1"/>
    <n v="529"/>
    <x v="93"/>
    <s v="UNIVERSIDAD DEL DESARROLLO"/>
  </r>
  <r>
    <m/>
    <s v="TRASPASO"/>
    <d v="2022-07-28T00:00:00"/>
    <n v="7"/>
    <x v="4"/>
    <x v="15"/>
    <x v="8"/>
    <n v="0"/>
    <n v="250200"/>
    <n v="-250200"/>
    <x v="0"/>
    <x v="1"/>
    <n v="529"/>
    <x v="93"/>
    <s v="UNIVERSIDAD DEL DESARROLLO"/>
  </r>
  <r>
    <m/>
    <s v="TRASPASO"/>
    <d v="2022-07-28T00:00:00"/>
    <n v="7"/>
    <x v="0"/>
    <x v="13"/>
    <x v="8"/>
    <n v="199849"/>
    <n v="0"/>
    <n v="199849"/>
    <x v="0"/>
    <x v="1"/>
    <n v="530"/>
    <x v="94"/>
    <s v="MORRIS Y OPAZO SPA"/>
  </r>
  <r>
    <m/>
    <s v="TRASPASO"/>
    <d v="2022-07-28T00:00:00"/>
    <n v="7"/>
    <x v="1"/>
    <x v="14"/>
    <x v="8"/>
    <n v="0"/>
    <n v="31909"/>
    <n v="-31909"/>
    <x v="0"/>
    <x v="1"/>
    <n v="530"/>
    <x v="94"/>
    <s v="MORRIS Y OPAZO SPA"/>
  </r>
  <r>
    <m/>
    <s v="TRASPASO"/>
    <d v="2022-07-28T00:00:00"/>
    <n v="7"/>
    <x v="4"/>
    <x v="15"/>
    <x v="8"/>
    <n v="0"/>
    <n v="167940"/>
    <n v="-167940"/>
    <x v="0"/>
    <x v="1"/>
    <n v="530"/>
    <x v="94"/>
    <s v="MORRIS Y OPAZO SPA"/>
  </r>
  <r>
    <m/>
    <s v="TRASPASO"/>
    <d v="2022-07-29T00:00:00"/>
    <n v="7"/>
    <x v="0"/>
    <x v="13"/>
    <x v="8"/>
    <n v="3552150"/>
    <n v="0"/>
    <n v="3552150"/>
    <x v="0"/>
    <x v="1"/>
    <n v="532"/>
    <x v="95"/>
    <s v="MARKETING Y SERVICIOS PUBLICITARIOS 4 IMAGEN LIMITADA"/>
  </r>
  <r>
    <m/>
    <s v="TRASPASO"/>
    <d v="2022-07-29T00:00:00"/>
    <n v="7"/>
    <x v="1"/>
    <x v="14"/>
    <x v="8"/>
    <n v="0"/>
    <n v="567150"/>
    <n v="-567150"/>
    <x v="0"/>
    <x v="1"/>
    <n v="532"/>
    <x v="95"/>
    <s v="MARKETING Y SERVICIOS PUBLICITARIOS 4 IMAGEN LIMITADA"/>
  </r>
  <r>
    <m/>
    <s v="TRASPASO"/>
    <d v="2022-07-29T00:00:00"/>
    <n v="7"/>
    <x v="4"/>
    <x v="15"/>
    <x v="8"/>
    <n v="0"/>
    <n v="2985000"/>
    <n v="-2985000"/>
    <x v="0"/>
    <x v="1"/>
    <n v="532"/>
    <x v="95"/>
    <s v="MARKETING Y SERVICIOS PUBLICITARIOS 4 IMAGEN LIMITADA"/>
  </r>
  <r>
    <m/>
    <s v="TRASPASO"/>
    <d v="2022-07-13T00:00:00"/>
    <n v="7"/>
    <x v="0"/>
    <x v="13"/>
    <x v="8"/>
    <n v="0"/>
    <n v="619217"/>
    <n v="-619217"/>
    <x v="0"/>
    <x v="2"/>
    <n v="22"/>
    <x v="85"/>
    <s v="ALDO BORIS UMANA ESTAY"/>
  </r>
  <r>
    <m/>
    <s v="TRASPASO"/>
    <d v="2022-07-13T00:00:00"/>
    <n v="7"/>
    <x v="1"/>
    <x v="14"/>
    <x v="8"/>
    <n v="98867"/>
    <n v="0"/>
    <n v="98867"/>
    <x v="0"/>
    <x v="2"/>
    <n v="22"/>
    <x v="85"/>
    <s v="ALDO BORIS UMANA ESTAY"/>
  </r>
  <r>
    <m/>
    <s v="TRASPASO"/>
    <d v="2022-07-13T00:00:00"/>
    <n v="7"/>
    <x v="4"/>
    <x v="15"/>
    <x v="8"/>
    <n v="520350"/>
    <n v="0"/>
    <n v="520350"/>
    <x v="0"/>
    <x v="2"/>
    <n v="22"/>
    <x v="85"/>
    <s v="ALDO BORIS UMANA ESTAY"/>
  </r>
  <r>
    <m/>
    <s v="TRASPASO"/>
    <d v="2022-08-01T00:00:00"/>
    <n v="8"/>
    <x v="0"/>
    <x v="13"/>
    <x v="8"/>
    <n v="1130500"/>
    <n v="0"/>
    <n v="1130500"/>
    <x v="0"/>
    <x v="1"/>
    <n v="533"/>
    <x v="48"/>
    <s v="BARRY CALLEBAUT CHILE SPA"/>
  </r>
  <r>
    <m/>
    <s v="TRASPASO"/>
    <d v="2022-08-01T00:00:00"/>
    <n v="8"/>
    <x v="1"/>
    <x v="14"/>
    <x v="8"/>
    <n v="0"/>
    <n v="180500"/>
    <n v="-180500"/>
    <x v="0"/>
    <x v="1"/>
    <n v="533"/>
    <x v="48"/>
    <s v="BARRY CALLEBAUT CHILE SPA"/>
  </r>
  <r>
    <m/>
    <s v="TRASPASO"/>
    <d v="2022-08-01T00:00:00"/>
    <n v="8"/>
    <x v="4"/>
    <x v="15"/>
    <x v="8"/>
    <n v="0"/>
    <n v="950000"/>
    <n v="-950000"/>
    <x v="0"/>
    <x v="1"/>
    <n v="533"/>
    <x v="48"/>
    <s v="BARRY CALLEBAUT CHILE SPA"/>
  </r>
  <r>
    <m/>
    <s v="TRASPASO"/>
    <d v="2022-08-02T00:00:00"/>
    <n v="8"/>
    <x v="0"/>
    <x v="13"/>
    <x v="8"/>
    <n v="113050"/>
    <n v="0"/>
    <n v="113050"/>
    <x v="0"/>
    <x v="1"/>
    <n v="534"/>
    <x v="48"/>
    <s v="BARRY CALLEBAUT CHILE SPA"/>
  </r>
  <r>
    <m/>
    <s v="TRASPASO"/>
    <d v="2022-08-02T00:00:00"/>
    <n v="8"/>
    <x v="1"/>
    <x v="14"/>
    <x v="8"/>
    <n v="0"/>
    <n v="18050"/>
    <n v="-18050"/>
    <x v="0"/>
    <x v="1"/>
    <n v="534"/>
    <x v="48"/>
    <s v="BARRY CALLEBAUT CHILE SPA"/>
  </r>
  <r>
    <m/>
    <s v="TRASPASO"/>
    <d v="2022-08-02T00:00:00"/>
    <n v="8"/>
    <x v="4"/>
    <x v="15"/>
    <x v="8"/>
    <n v="0"/>
    <n v="95000"/>
    <n v="-95000"/>
    <x v="0"/>
    <x v="1"/>
    <n v="534"/>
    <x v="48"/>
    <s v="BARRY CALLEBAUT CHILE SPA"/>
  </r>
  <r>
    <m/>
    <s v="TRASPASO"/>
    <d v="2022-08-03T00:00:00"/>
    <n v="8"/>
    <x v="0"/>
    <x v="13"/>
    <x v="8"/>
    <n v="711144"/>
    <n v="0"/>
    <n v="711144"/>
    <x v="0"/>
    <x v="1"/>
    <n v="535"/>
    <x v="67"/>
    <s v="CLINICA SAN LORENZO LIMITADA"/>
  </r>
  <r>
    <m/>
    <s v="TRASPASO"/>
    <d v="2022-08-03T00:00:00"/>
    <n v="8"/>
    <x v="1"/>
    <x v="14"/>
    <x v="8"/>
    <n v="0"/>
    <n v="113544"/>
    <n v="-113544"/>
    <x v="0"/>
    <x v="1"/>
    <n v="535"/>
    <x v="67"/>
    <s v="CLINICA SAN LORENZO LIMITADA"/>
  </r>
  <r>
    <m/>
    <s v="TRASPASO"/>
    <d v="2022-08-03T00:00:00"/>
    <n v="8"/>
    <x v="4"/>
    <x v="15"/>
    <x v="8"/>
    <n v="0"/>
    <n v="597600"/>
    <n v="-597600"/>
    <x v="0"/>
    <x v="1"/>
    <n v="535"/>
    <x v="67"/>
    <s v="CLINICA SAN LORENZO LIMITADA"/>
  </r>
  <r>
    <m/>
    <s v="TRASPASO"/>
    <d v="2022-08-04T00:00:00"/>
    <n v="8"/>
    <x v="0"/>
    <x v="13"/>
    <x v="8"/>
    <n v="138516"/>
    <n v="0"/>
    <n v="138516"/>
    <x v="0"/>
    <x v="1"/>
    <n v="536"/>
    <x v="47"/>
    <s v="TRAIL SPA"/>
  </r>
  <r>
    <m/>
    <s v="TRASPASO"/>
    <d v="2022-08-04T00:00:00"/>
    <n v="8"/>
    <x v="1"/>
    <x v="14"/>
    <x v="8"/>
    <n v="0"/>
    <n v="22116"/>
    <n v="-22116"/>
    <x v="0"/>
    <x v="1"/>
    <n v="536"/>
    <x v="47"/>
    <s v="TRAIL SPA"/>
  </r>
  <r>
    <m/>
    <s v="TRASPASO"/>
    <d v="2022-08-04T00:00:00"/>
    <n v="8"/>
    <x v="4"/>
    <x v="15"/>
    <x v="8"/>
    <n v="0"/>
    <n v="116400"/>
    <n v="-116400"/>
    <x v="0"/>
    <x v="1"/>
    <n v="536"/>
    <x v="47"/>
    <s v="TRAIL SPA"/>
  </r>
  <r>
    <m/>
    <s v="TRASPASO"/>
    <d v="2022-08-05T00:00:00"/>
    <n v="8"/>
    <x v="0"/>
    <x v="13"/>
    <x v="8"/>
    <n v="133232"/>
    <n v="0"/>
    <n v="133232"/>
    <x v="0"/>
    <x v="1"/>
    <n v="538"/>
    <x v="94"/>
    <s v="MORRIS Y OPAZO SPA"/>
  </r>
  <r>
    <m/>
    <s v="TRASPASO"/>
    <d v="2022-08-05T00:00:00"/>
    <n v="8"/>
    <x v="1"/>
    <x v="14"/>
    <x v="8"/>
    <n v="0"/>
    <n v="21272"/>
    <n v="-21272"/>
    <x v="0"/>
    <x v="1"/>
    <n v="538"/>
    <x v="94"/>
    <s v="MORRIS Y OPAZO SPA"/>
  </r>
  <r>
    <m/>
    <s v="TRASPASO"/>
    <d v="2022-08-05T00:00:00"/>
    <n v="8"/>
    <x v="4"/>
    <x v="15"/>
    <x v="8"/>
    <n v="0"/>
    <n v="111960"/>
    <n v="-111960"/>
    <x v="0"/>
    <x v="1"/>
    <n v="538"/>
    <x v="94"/>
    <s v="MORRIS Y OPAZO SPA"/>
  </r>
  <r>
    <m/>
    <s v="TRASPASO"/>
    <d v="2022-08-05T00:00:00"/>
    <n v="8"/>
    <x v="0"/>
    <x v="13"/>
    <x v="8"/>
    <n v="84966"/>
    <n v="0"/>
    <n v="84966"/>
    <x v="0"/>
    <x v="1"/>
    <n v="539"/>
    <x v="90"/>
    <s v="MINING AND INDUSTRIAL SERVICES SPA"/>
  </r>
  <r>
    <m/>
    <s v="TRASPASO"/>
    <d v="2022-08-05T00:00:00"/>
    <n v="8"/>
    <x v="1"/>
    <x v="14"/>
    <x v="8"/>
    <n v="0"/>
    <n v="13566"/>
    <n v="-13566"/>
    <x v="0"/>
    <x v="1"/>
    <n v="539"/>
    <x v="90"/>
    <s v="MINING AND INDUSTRIAL SERVICES SPA"/>
  </r>
  <r>
    <m/>
    <s v="TRASPASO"/>
    <d v="2022-08-05T00:00:00"/>
    <n v="8"/>
    <x v="4"/>
    <x v="15"/>
    <x v="8"/>
    <n v="0"/>
    <n v="71400"/>
    <n v="-71400"/>
    <x v="0"/>
    <x v="1"/>
    <n v="539"/>
    <x v="90"/>
    <s v="MINING AND INDUSTRIAL SERVICES SPA"/>
  </r>
  <r>
    <m/>
    <s v="TRASPASO"/>
    <d v="2022-08-11T00:00:00"/>
    <n v="8"/>
    <x v="0"/>
    <x v="13"/>
    <x v="8"/>
    <n v="156366"/>
    <n v="0"/>
    <n v="156366"/>
    <x v="0"/>
    <x v="1"/>
    <n v="540"/>
    <x v="80"/>
    <s v="SOC MANUFACTURERA DE PLASTICOS LIMITADA"/>
  </r>
  <r>
    <m/>
    <s v="TRASPASO"/>
    <d v="2022-08-11T00:00:00"/>
    <n v="8"/>
    <x v="1"/>
    <x v="14"/>
    <x v="8"/>
    <n v="0"/>
    <n v="24966"/>
    <n v="-24966"/>
    <x v="0"/>
    <x v="1"/>
    <n v="540"/>
    <x v="80"/>
    <s v="SOC MANUFACTURERA DE PLASTICOS LIMITADA"/>
  </r>
  <r>
    <m/>
    <s v="TRASPASO"/>
    <d v="2022-08-11T00:00:00"/>
    <n v="8"/>
    <x v="4"/>
    <x v="15"/>
    <x v="8"/>
    <n v="0"/>
    <n v="131400"/>
    <n v="-131400"/>
    <x v="0"/>
    <x v="1"/>
    <n v="540"/>
    <x v="80"/>
    <s v="SOC MANUFACTURERA DE PLASTICOS LIMITADA"/>
  </r>
  <r>
    <m/>
    <s v="TRASPASO"/>
    <d v="2022-08-12T00:00:00"/>
    <n v="8"/>
    <x v="0"/>
    <x v="13"/>
    <x v="8"/>
    <n v="505548"/>
    <n v="0"/>
    <n v="505548"/>
    <x v="0"/>
    <x v="1"/>
    <n v="541"/>
    <x v="67"/>
    <s v="CLINICA SAN LORENZO LIMITADA"/>
  </r>
  <r>
    <m/>
    <s v="TRASPASO"/>
    <d v="2022-08-12T00:00:00"/>
    <n v="8"/>
    <x v="1"/>
    <x v="14"/>
    <x v="8"/>
    <n v="0"/>
    <n v="80718"/>
    <n v="-80718"/>
    <x v="0"/>
    <x v="1"/>
    <n v="541"/>
    <x v="67"/>
    <s v="CLINICA SAN LORENZO LIMITADA"/>
  </r>
  <r>
    <m/>
    <s v="TRASPASO"/>
    <d v="2022-08-12T00:00:00"/>
    <n v="8"/>
    <x v="4"/>
    <x v="15"/>
    <x v="8"/>
    <n v="0"/>
    <n v="424830"/>
    <n v="-424830"/>
    <x v="0"/>
    <x v="1"/>
    <n v="541"/>
    <x v="67"/>
    <s v="CLINICA SAN LORENZO LIMITADA"/>
  </r>
  <r>
    <m/>
    <s v="TRASPASO"/>
    <d v="2022-08-17T00:00:00"/>
    <n v="8"/>
    <x v="0"/>
    <x v="13"/>
    <x v="8"/>
    <n v="907970"/>
    <n v="0"/>
    <n v="907970"/>
    <x v="0"/>
    <x v="1"/>
    <n v="542"/>
    <x v="65"/>
    <s v="CORP DE CAPACITACION Y EMPLEO DE SOC DE FOMENTO FABRIL"/>
  </r>
  <r>
    <m/>
    <s v="TRASPASO"/>
    <d v="2022-08-17T00:00:00"/>
    <n v="8"/>
    <x v="1"/>
    <x v="14"/>
    <x v="8"/>
    <n v="0"/>
    <n v="144970"/>
    <n v="-144970"/>
    <x v="0"/>
    <x v="1"/>
    <n v="542"/>
    <x v="65"/>
    <s v="CORP DE CAPACITACION Y EMPLEO DE SOC DE FOMENTO FABRIL"/>
  </r>
  <r>
    <m/>
    <s v="TRASPASO"/>
    <d v="2022-08-17T00:00:00"/>
    <n v="8"/>
    <x v="4"/>
    <x v="15"/>
    <x v="8"/>
    <n v="0"/>
    <n v="763000"/>
    <n v="-763000"/>
    <x v="0"/>
    <x v="1"/>
    <n v="542"/>
    <x v="65"/>
    <s v="CORP DE CAPACITACION Y EMPLEO DE SOC DE FOMENTO FABRIL"/>
  </r>
  <r>
    <m/>
    <s v="TRASPASO"/>
    <d v="2022-08-23T00:00:00"/>
    <n v="8"/>
    <x v="0"/>
    <x v="13"/>
    <x v="8"/>
    <n v="166541"/>
    <n v="0"/>
    <n v="166541"/>
    <x v="0"/>
    <x v="1"/>
    <n v="543"/>
    <x v="94"/>
    <s v="MORRIS Y OPAZO SPA"/>
  </r>
  <r>
    <m/>
    <s v="TRASPASO"/>
    <d v="2022-08-23T00:00:00"/>
    <n v="8"/>
    <x v="1"/>
    <x v="14"/>
    <x v="8"/>
    <n v="0"/>
    <n v="26591"/>
    <n v="-26591"/>
    <x v="0"/>
    <x v="1"/>
    <n v="543"/>
    <x v="94"/>
    <s v="MORRIS Y OPAZO SPA"/>
  </r>
  <r>
    <m/>
    <s v="TRASPASO"/>
    <d v="2022-08-23T00:00:00"/>
    <n v="8"/>
    <x v="4"/>
    <x v="15"/>
    <x v="8"/>
    <n v="0"/>
    <n v="139950"/>
    <n v="-139950"/>
    <x v="0"/>
    <x v="1"/>
    <n v="543"/>
    <x v="94"/>
    <s v="MORRIS Y OPAZO SPA"/>
  </r>
  <r>
    <m/>
    <s v="TRASPASO"/>
    <d v="2022-08-25T00:00:00"/>
    <n v="8"/>
    <x v="0"/>
    <x v="13"/>
    <x v="8"/>
    <n v="147489"/>
    <n v="0"/>
    <n v="147489"/>
    <x v="0"/>
    <x v="1"/>
    <n v="544"/>
    <x v="96"/>
    <s v="EQUIPOS MÃ‰DICOS CHILE SPA"/>
  </r>
  <r>
    <m/>
    <s v="TRASPASO"/>
    <d v="2022-08-25T00:00:00"/>
    <n v="8"/>
    <x v="1"/>
    <x v="14"/>
    <x v="8"/>
    <n v="0"/>
    <n v="23549"/>
    <n v="-23549"/>
    <x v="0"/>
    <x v="1"/>
    <n v="544"/>
    <x v="96"/>
    <s v="EQUIPOS MÃ‰DICOS CHILE SPA"/>
  </r>
  <r>
    <m/>
    <s v="TRASPASO"/>
    <d v="2022-08-25T00:00:00"/>
    <n v="8"/>
    <x v="4"/>
    <x v="15"/>
    <x v="8"/>
    <n v="0"/>
    <n v="123940"/>
    <n v="-123940"/>
    <x v="0"/>
    <x v="1"/>
    <n v="544"/>
    <x v="96"/>
    <s v="EQUIPOS MÃ‰DICOS CHILE SPA"/>
  </r>
  <r>
    <m/>
    <s v="TRASPASO"/>
    <d v="2022-09-13T00:00:00"/>
    <n v="9"/>
    <x v="0"/>
    <x v="13"/>
    <x v="8"/>
    <n v="177310"/>
    <n v="0"/>
    <n v="177310"/>
    <x v="0"/>
    <x v="1"/>
    <n v="545"/>
    <x v="91"/>
    <s v="SALUD DIGITAL SB S.A."/>
  </r>
  <r>
    <m/>
    <s v="TRASPASO"/>
    <d v="2022-09-13T00:00:00"/>
    <n v="9"/>
    <x v="1"/>
    <x v="14"/>
    <x v="8"/>
    <n v="0"/>
    <n v="28310"/>
    <n v="-28310"/>
    <x v="0"/>
    <x v="1"/>
    <n v="545"/>
    <x v="91"/>
    <s v="SALUD DIGITAL SB S.A."/>
  </r>
  <r>
    <m/>
    <s v="TRASPASO"/>
    <d v="2022-09-13T00:00:00"/>
    <n v="9"/>
    <x v="4"/>
    <x v="15"/>
    <x v="8"/>
    <n v="0"/>
    <n v="149000"/>
    <n v="-149000"/>
    <x v="0"/>
    <x v="1"/>
    <n v="545"/>
    <x v="91"/>
    <s v="SALUD DIGITAL SB S.A."/>
  </r>
  <r>
    <m/>
    <s v="TRASPASO"/>
    <d v="2022-09-13T00:00:00"/>
    <n v="9"/>
    <x v="0"/>
    <x v="13"/>
    <x v="8"/>
    <n v="604044"/>
    <n v="0"/>
    <n v="604044"/>
    <x v="0"/>
    <x v="1"/>
    <n v="546"/>
    <x v="67"/>
    <s v="CLINICA SAN LORENZO LIMITADA"/>
  </r>
  <r>
    <m/>
    <s v="TRASPASO"/>
    <d v="2022-09-13T00:00:00"/>
    <n v="9"/>
    <x v="1"/>
    <x v="14"/>
    <x v="8"/>
    <n v="0"/>
    <n v="96444"/>
    <n v="-96444"/>
    <x v="0"/>
    <x v="1"/>
    <n v="546"/>
    <x v="67"/>
    <s v="CLINICA SAN LORENZO LIMITADA"/>
  </r>
  <r>
    <m/>
    <s v="TRASPASO"/>
    <d v="2022-09-13T00:00:00"/>
    <n v="9"/>
    <x v="4"/>
    <x v="15"/>
    <x v="8"/>
    <n v="0"/>
    <n v="507600"/>
    <n v="-507600"/>
    <x v="0"/>
    <x v="1"/>
    <n v="546"/>
    <x v="67"/>
    <s v="CLINICA SAN LORENZO LIMITADA"/>
  </r>
  <r>
    <m/>
    <s v="TRASPASO"/>
    <d v="2022-09-14T00:00:00"/>
    <n v="9"/>
    <x v="0"/>
    <x v="13"/>
    <x v="8"/>
    <n v="47005"/>
    <n v="0"/>
    <n v="47005"/>
    <x v="0"/>
    <x v="1"/>
    <n v="547"/>
    <x v="71"/>
    <s v="EVH CONSULTORES SPA"/>
  </r>
  <r>
    <m/>
    <s v="TRASPASO"/>
    <d v="2022-09-14T00:00:00"/>
    <n v="9"/>
    <x v="1"/>
    <x v="14"/>
    <x v="8"/>
    <n v="0"/>
    <n v="7505"/>
    <n v="-7505"/>
    <x v="0"/>
    <x v="1"/>
    <n v="547"/>
    <x v="71"/>
    <s v="EVH CONSULTORES SPA"/>
  </r>
  <r>
    <m/>
    <s v="TRASPASO"/>
    <d v="2022-09-14T00:00:00"/>
    <n v="9"/>
    <x v="4"/>
    <x v="15"/>
    <x v="8"/>
    <n v="0"/>
    <n v="39500"/>
    <n v="-39500"/>
    <x v="0"/>
    <x v="1"/>
    <n v="547"/>
    <x v="71"/>
    <s v="EVH CONSULTORES SPA"/>
  </r>
  <r>
    <m/>
    <s v="TRASPASO"/>
    <d v="2022-09-20T00:00:00"/>
    <n v="9"/>
    <x v="0"/>
    <x v="13"/>
    <x v="8"/>
    <n v="326893"/>
    <n v="0"/>
    <n v="326893"/>
    <x v="0"/>
    <x v="1"/>
    <n v="548"/>
    <x v="97"/>
    <s v="VIVEROS CHINIGUE S.A"/>
  </r>
  <r>
    <m/>
    <s v="TRASPASO"/>
    <d v="2022-09-20T00:00:00"/>
    <n v="9"/>
    <x v="1"/>
    <x v="14"/>
    <x v="8"/>
    <n v="0"/>
    <n v="52193"/>
    <n v="-52193"/>
    <x v="0"/>
    <x v="1"/>
    <n v="548"/>
    <x v="97"/>
    <s v="VIVEROS CHINIGUE S.A"/>
  </r>
  <r>
    <m/>
    <s v="TRASPASO"/>
    <d v="2022-09-20T00:00:00"/>
    <n v="9"/>
    <x v="4"/>
    <x v="15"/>
    <x v="8"/>
    <n v="0"/>
    <n v="274700"/>
    <n v="-274700"/>
    <x v="0"/>
    <x v="1"/>
    <n v="548"/>
    <x v="97"/>
    <s v="VIVEROS CHINIGUE S.A"/>
  </r>
  <r>
    <m/>
    <s v="TRASPASO"/>
    <d v="2022-09-22T00:00:00"/>
    <n v="9"/>
    <x v="0"/>
    <x v="13"/>
    <x v="8"/>
    <n v="166600"/>
    <n v="0"/>
    <n v="166600"/>
    <x v="0"/>
    <x v="1"/>
    <n v="549"/>
    <x v="98"/>
    <s v="DCJL INVERSIONES SPA"/>
  </r>
  <r>
    <m/>
    <s v="TRASPASO"/>
    <d v="2022-09-22T00:00:00"/>
    <n v="9"/>
    <x v="1"/>
    <x v="14"/>
    <x v="8"/>
    <n v="0"/>
    <n v="26600"/>
    <n v="-26600"/>
    <x v="0"/>
    <x v="1"/>
    <n v="549"/>
    <x v="98"/>
    <s v="DCJL INVERSIONES SPA"/>
  </r>
  <r>
    <m/>
    <s v="TRASPASO"/>
    <d v="2022-09-22T00:00:00"/>
    <n v="9"/>
    <x v="4"/>
    <x v="15"/>
    <x v="8"/>
    <n v="0"/>
    <n v="140000"/>
    <n v="-140000"/>
    <x v="0"/>
    <x v="1"/>
    <n v="549"/>
    <x v="98"/>
    <s v="DCJL INVERSIONES SPA"/>
  </r>
  <r>
    <m/>
    <s v="TRASPASO"/>
    <d v="2022-09-22T00:00:00"/>
    <n v="9"/>
    <x v="0"/>
    <x v="13"/>
    <x v="8"/>
    <n v="832524"/>
    <n v="0"/>
    <n v="832524"/>
    <x v="0"/>
    <x v="1"/>
    <n v="550"/>
    <x v="99"/>
    <s v="COLEGIO SAGRADA FAMILIA DE PUERTO AISEN"/>
  </r>
  <r>
    <m/>
    <s v="TRASPASO"/>
    <d v="2022-09-22T00:00:00"/>
    <n v="9"/>
    <x v="1"/>
    <x v="14"/>
    <x v="8"/>
    <n v="0"/>
    <n v="132924"/>
    <n v="-132924"/>
    <x v="0"/>
    <x v="1"/>
    <n v="550"/>
    <x v="99"/>
    <s v="COLEGIO SAGRADA FAMILIA DE PUERTO AISEN"/>
  </r>
  <r>
    <m/>
    <s v="TRASPASO"/>
    <d v="2022-09-22T00:00:00"/>
    <n v="9"/>
    <x v="4"/>
    <x v="15"/>
    <x v="8"/>
    <n v="0"/>
    <n v="699600"/>
    <n v="-699600"/>
    <x v="0"/>
    <x v="1"/>
    <n v="550"/>
    <x v="99"/>
    <s v="COLEGIO SAGRADA FAMILIA DE PUERTO AISEN"/>
  </r>
  <r>
    <m/>
    <s v="TRASPASO"/>
    <d v="2022-09-22T00:00:00"/>
    <n v="9"/>
    <x v="0"/>
    <x v="13"/>
    <x v="8"/>
    <n v="1251999"/>
    <n v="0"/>
    <n v="1251999"/>
    <x v="0"/>
    <x v="1"/>
    <n v="552"/>
    <x v="100"/>
    <s v="CENTRO DE PADRES DEL COLEGIO INTERNACIONAL NIDO DE AGUILAS"/>
  </r>
  <r>
    <m/>
    <s v="TRASPASO"/>
    <d v="2022-09-22T00:00:00"/>
    <n v="9"/>
    <x v="1"/>
    <x v="14"/>
    <x v="8"/>
    <n v="0"/>
    <n v="199899"/>
    <n v="-199899"/>
    <x v="0"/>
    <x v="1"/>
    <n v="552"/>
    <x v="100"/>
    <s v="CENTRO DE PADRES DEL COLEGIO INTERNACIONAL NIDO DE AGUILAS"/>
  </r>
  <r>
    <m/>
    <s v="TRASPASO"/>
    <d v="2022-09-22T00:00:00"/>
    <n v="9"/>
    <x v="4"/>
    <x v="15"/>
    <x v="8"/>
    <n v="0"/>
    <n v="1052100"/>
    <n v="-1052100"/>
    <x v="0"/>
    <x v="1"/>
    <n v="552"/>
    <x v="100"/>
    <s v="CENTRO DE PADRES DEL COLEGIO INTERNACIONAL NIDO DE AGUILAS"/>
  </r>
  <r>
    <m/>
    <s v="TRASPASO"/>
    <d v="2022-09-26T00:00:00"/>
    <n v="9"/>
    <x v="0"/>
    <x v="13"/>
    <x v="8"/>
    <n v="437920"/>
    <n v="0"/>
    <n v="437920"/>
    <x v="0"/>
    <x v="1"/>
    <n v="553"/>
    <x v="101"/>
    <s v="CORP MUNICIPAL DE CONCHALI DE EDUCACION SALUD Y ATENCION DE MENORES"/>
  </r>
  <r>
    <m/>
    <s v="TRASPASO"/>
    <d v="2022-09-26T00:00:00"/>
    <n v="9"/>
    <x v="1"/>
    <x v="14"/>
    <x v="8"/>
    <n v="0"/>
    <n v="69920"/>
    <n v="-69920"/>
    <x v="0"/>
    <x v="1"/>
    <n v="553"/>
    <x v="101"/>
    <s v="CORP MUNICIPAL DE CONCHALI DE EDUCACION SALUD Y ATENCION DE MENORES"/>
  </r>
  <r>
    <m/>
    <s v="TRASPASO"/>
    <d v="2022-09-26T00:00:00"/>
    <n v="9"/>
    <x v="4"/>
    <x v="15"/>
    <x v="8"/>
    <n v="0"/>
    <n v="368000"/>
    <n v="-368000"/>
    <x v="0"/>
    <x v="1"/>
    <n v="553"/>
    <x v="101"/>
    <s v="CORP MUNICIPAL DE CONCHALI DE EDUCACION SALUD Y ATENCION DE MENORES"/>
  </r>
  <r>
    <m/>
    <s v="TRASPASO"/>
    <d v="2022-10-03T00:00:00"/>
    <n v="10"/>
    <x v="0"/>
    <x v="13"/>
    <x v="8"/>
    <n v="80825"/>
    <n v="0"/>
    <n v="80825"/>
    <x v="0"/>
    <x v="1"/>
    <n v="554"/>
    <x v="75"/>
    <s v="DOREL JUVENILE CHILE S.A."/>
  </r>
  <r>
    <m/>
    <s v="TRASPASO"/>
    <d v="2022-10-03T00:00:00"/>
    <n v="10"/>
    <x v="1"/>
    <x v="14"/>
    <x v="8"/>
    <n v="0"/>
    <n v="12905"/>
    <n v="-12905"/>
    <x v="0"/>
    <x v="1"/>
    <n v="554"/>
    <x v="75"/>
    <s v="DOREL JUVENILE CHILE S.A."/>
  </r>
  <r>
    <m/>
    <s v="TRASPASO"/>
    <d v="2022-10-03T00:00:00"/>
    <n v="10"/>
    <x v="4"/>
    <x v="15"/>
    <x v="8"/>
    <n v="0"/>
    <n v="67920"/>
    <n v="-67920"/>
    <x v="0"/>
    <x v="1"/>
    <n v="554"/>
    <x v="75"/>
    <s v="DOREL JUVENILE CHILE S.A."/>
  </r>
  <r>
    <m/>
    <s v="TRASPASO"/>
    <d v="2022-10-14T00:00:00"/>
    <n v="10"/>
    <x v="0"/>
    <x v="13"/>
    <x v="8"/>
    <n v="6664"/>
    <n v="0"/>
    <n v="6664"/>
    <x v="0"/>
    <x v="1"/>
    <n v="555"/>
    <x v="102"/>
    <s v="CORPORACION EDUCACIONAL SAN JOSE"/>
  </r>
  <r>
    <m/>
    <s v="TRASPASO"/>
    <d v="2022-10-14T00:00:00"/>
    <n v="10"/>
    <x v="1"/>
    <x v="14"/>
    <x v="8"/>
    <n v="0"/>
    <n v="1064"/>
    <n v="-1064"/>
    <x v="0"/>
    <x v="1"/>
    <n v="555"/>
    <x v="102"/>
    <s v="CORPORACION EDUCACIONAL SAN JOSE"/>
  </r>
  <r>
    <m/>
    <s v="TRASPASO"/>
    <d v="2022-10-14T00:00:00"/>
    <n v="10"/>
    <x v="4"/>
    <x v="15"/>
    <x v="8"/>
    <n v="0"/>
    <n v="5600"/>
    <n v="-5600"/>
    <x v="0"/>
    <x v="1"/>
    <n v="555"/>
    <x v="102"/>
    <s v="CORPORACION EDUCACIONAL SAN JOSE"/>
  </r>
  <r>
    <m/>
    <s v="TRASPASO"/>
    <d v="2022-10-14T00:00:00"/>
    <n v="10"/>
    <x v="0"/>
    <x v="13"/>
    <x v="8"/>
    <n v="297500"/>
    <n v="0"/>
    <n v="297500"/>
    <x v="0"/>
    <x v="1"/>
    <n v="556"/>
    <x v="92"/>
    <s v="HORTIFRUT CHILE S A"/>
  </r>
  <r>
    <m/>
    <s v="TRASPASO"/>
    <d v="2022-10-14T00:00:00"/>
    <n v="10"/>
    <x v="1"/>
    <x v="14"/>
    <x v="8"/>
    <n v="0"/>
    <n v="47500"/>
    <n v="-47500"/>
    <x v="0"/>
    <x v="1"/>
    <n v="556"/>
    <x v="92"/>
    <s v="HORTIFRUT CHILE S A"/>
  </r>
  <r>
    <m/>
    <s v="TRASPASO"/>
    <d v="2022-10-14T00:00:00"/>
    <n v="10"/>
    <x v="4"/>
    <x v="15"/>
    <x v="8"/>
    <n v="0"/>
    <n v="250000"/>
    <n v="-250000"/>
    <x v="0"/>
    <x v="1"/>
    <n v="556"/>
    <x v="92"/>
    <s v="HORTIFRUT CHILE S A"/>
  </r>
  <r>
    <m/>
    <s v="TRASPASO"/>
    <d v="2022-10-14T00:00:00"/>
    <n v="10"/>
    <x v="0"/>
    <x v="13"/>
    <x v="8"/>
    <n v="656880"/>
    <n v="0"/>
    <n v="656880"/>
    <x v="0"/>
    <x v="1"/>
    <n v="557"/>
    <x v="103"/>
    <s v="MOBIMO CHILE SPA"/>
  </r>
  <r>
    <m/>
    <s v="TRASPASO"/>
    <d v="2022-10-14T00:00:00"/>
    <n v="10"/>
    <x v="1"/>
    <x v="14"/>
    <x v="8"/>
    <n v="0"/>
    <n v="104880"/>
    <n v="-104880"/>
    <x v="0"/>
    <x v="1"/>
    <n v="557"/>
    <x v="103"/>
    <s v="MOBIMO CHILE SPA"/>
  </r>
  <r>
    <m/>
    <s v="TRASPASO"/>
    <d v="2022-10-14T00:00:00"/>
    <n v="10"/>
    <x v="4"/>
    <x v="15"/>
    <x v="8"/>
    <n v="0"/>
    <n v="552000"/>
    <n v="-552000"/>
    <x v="0"/>
    <x v="1"/>
    <n v="557"/>
    <x v="103"/>
    <s v="MOBIMO CHILE SPA"/>
  </r>
  <r>
    <m/>
    <s v="TRASPASO"/>
    <d v="2022-10-14T00:00:00"/>
    <n v="10"/>
    <x v="0"/>
    <x v="13"/>
    <x v="8"/>
    <n v="297500"/>
    <n v="0"/>
    <n v="297500"/>
    <x v="0"/>
    <x v="1"/>
    <n v="558"/>
    <x v="92"/>
    <s v="HORTIFRUT CHILE S A"/>
  </r>
  <r>
    <m/>
    <s v="TRASPASO"/>
    <d v="2022-10-14T00:00:00"/>
    <n v="10"/>
    <x v="1"/>
    <x v="14"/>
    <x v="8"/>
    <n v="0"/>
    <n v="47500"/>
    <n v="-47500"/>
    <x v="0"/>
    <x v="1"/>
    <n v="558"/>
    <x v="92"/>
    <s v="HORTIFRUT CHILE S A"/>
  </r>
  <r>
    <m/>
    <s v="TRASPASO"/>
    <d v="2022-10-14T00:00:00"/>
    <n v="10"/>
    <x v="4"/>
    <x v="15"/>
    <x v="8"/>
    <n v="0"/>
    <n v="250000"/>
    <n v="-250000"/>
    <x v="0"/>
    <x v="1"/>
    <n v="558"/>
    <x v="92"/>
    <s v="HORTIFRUT CHILE S A"/>
  </r>
  <r>
    <m/>
    <s v="TRASPASO"/>
    <d v="2022-10-14T00:00:00"/>
    <n v="10"/>
    <x v="0"/>
    <x v="13"/>
    <x v="8"/>
    <n v="1140960"/>
    <n v="0"/>
    <n v="1140960"/>
    <x v="0"/>
    <x v="1"/>
    <n v="559"/>
    <x v="80"/>
    <s v="SOC MANUFACTURERA DE PLASTICOS LIMITADA"/>
  </r>
  <r>
    <m/>
    <s v="TRASPASO"/>
    <d v="2022-10-14T00:00:00"/>
    <n v="10"/>
    <x v="1"/>
    <x v="14"/>
    <x v="8"/>
    <n v="0"/>
    <n v="182170"/>
    <n v="-182170"/>
    <x v="0"/>
    <x v="1"/>
    <n v="559"/>
    <x v="80"/>
    <s v="SOC MANUFACTURERA DE PLASTICOS LIMITADA"/>
  </r>
  <r>
    <m/>
    <s v="TRASPASO"/>
    <d v="2022-10-14T00:00:00"/>
    <n v="10"/>
    <x v="4"/>
    <x v="15"/>
    <x v="8"/>
    <n v="0"/>
    <n v="958790"/>
    <n v="-958790"/>
    <x v="0"/>
    <x v="1"/>
    <n v="559"/>
    <x v="80"/>
    <s v="SOC MANUFACTURERA DE PLASTICOS LIMITADA"/>
  </r>
  <r>
    <m/>
    <s v="TRASPASO"/>
    <d v="2022-10-14T00:00:00"/>
    <n v="10"/>
    <x v="0"/>
    <x v="13"/>
    <x v="8"/>
    <n v="456127"/>
    <n v="0"/>
    <n v="456127"/>
    <x v="0"/>
    <x v="1"/>
    <n v="560"/>
    <x v="85"/>
    <s v="ALDO BORIS UMANA ESTAY"/>
  </r>
  <r>
    <m/>
    <s v="TRASPASO"/>
    <d v="2022-10-14T00:00:00"/>
    <n v="10"/>
    <x v="1"/>
    <x v="14"/>
    <x v="8"/>
    <n v="0"/>
    <n v="72827"/>
    <n v="-72827"/>
    <x v="0"/>
    <x v="1"/>
    <n v="560"/>
    <x v="85"/>
    <s v="ALDO BORIS UMANA ESTAY"/>
  </r>
  <r>
    <m/>
    <s v="TRASPASO"/>
    <d v="2022-10-14T00:00:00"/>
    <n v="10"/>
    <x v="4"/>
    <x v="15"/>
    <x v="8"/>
    <n v="0"/>
    <n v="383300"/>
    <n v="-383300"/>
    <x v="0"/>
    <x v="1"/>
    <n v="560"/>
    <x v="85"/>
    <s v="ALDO BORIS UMANA ESTAY"/>
  </r>
  <r>
    <m/>
    <s v="TRASPASO"/>
    <d v="2022-10-14T00:00:00"/>
    <n v="10"/>
    <x v="0"/>
    <x v="13"/>
    <x v="8"/>
    <n v="99365"/>
    <n v="0"/>
    <n v="99365"/>
    <x v="0"/>
    <x v="1"/>
    <n v="561"/>
    <x v="100"/>
    <s v="CENTRO DE PADRES DEL COLEGIO INTERNACIONAL NIDO DE AGUILAS"/>
  </r>
  <r>
    <m/>
    <s v="TRASPASO"/>
    <d v="2022-10-14T00:00:00"/>
    <n v="10"/>
    <x v="1"/>
    <x v="14"/>
    <x v="8"/>
    <n v="0"/>
    <n v="15865"/>
    <n v="-15865"/>
    <x v="0"/>
    <x v="1"/>
    <n v="561"/>
    <x v="100"/>
    <s v="CENTRO DE PADRES DEL COLEGIO INTERNACIONAL NIDO DE AGUILAS"/>
  </r>
  <r>
    <m/>
    <s v="TRASPASO"/>
    <d v="2022-10-14T00:00:00"/>
    <n v="10"/>
    <x v="4"/>
    <x v="15"/>
    <x v="8"/>
    <n v="0"/>
    <n v="83500"/>
    <n v="-83500"/>
    <x v="0"/>
    <x v="1"/>
    <n v="561"/>
    <x v="100"/>
    <s v="CENTRO DE PADRES DEL COLEGIO INTERNACIONAL NIDO DE AGUILAS"/>
  </r>
  <r>
    <m/>
    <s v="TRASPASO"/>
    <d v="2022-10-14T00:00:00"/>
    <n v="10"/>
    <x v="0"/>
    <x v="13"/>
    <x v="8"/>
    <n v="47362"/>
    <n v="0"/>
    <n v="47362"/>
    <x v="0"/>
    <x v="1"/>
    <n v="562"/>
    <x v="55"/>
    <s v="GVA TRADING SPA"/>
  </r>
  <r>
    <m/>
    <s v="TRASPASO"/>
    <d v="2022-10-14T00:00:00"/>
    <n v="10"/>
    <x v="1"/>
    <x v="14"/>
    <x v="8"/>
    <n v="0"/>
    <n v="7562"/>
    <n v="-7562"/>
    <x v="0"/>
    <x v="1"/>
    <n v="562"/>
    <x v="55"/>
    <s v="GVA TRADING SPA"/>
  </r>
  <r>
    <m/>
    <s v="TRASPASO"/>
    <d v="2022-10-14T00:00:00"/>
    <n v="10"/>
    <x v="4"/>
    <x v="15"/>
    <x v="8"/>
    <n v="0"/>
    <n v="39800"/>
    <n v="-39800"/>
    <x v="0"/>
    <x v="1"/>
    <n v="562"/>
    <x v="55"/>
    <s v="GVA TRADING SPA"/>
  </r>
  <r>
    <m/>
    <s v="TRASPASO"/>
    <d v="2022-10-24T00:00:00"/>
    <n v="10"/>
    <x v="0"/>
    <x v="13"/>
    <x v="8"/>
    <n v="53431"/>
    <n v="0"/>
    <n v="53431"/>
    <x v="0"/>
    <x v="1"/>
    <n v="563"/>
    <x v="104"/>
    <s v="RAFAEL EDUARDO TRONCOSO ROZAS"/>
  </r>
  <r>
    <m/>
    <s v="TRASPASO"/>
    <d v="2022-10-24T00:00:00"/>
    <n v="10"/>
    <x v="1"/>
    <x v="14"/>
    <x v="8"/>
    <n v="0"/>
    <n v="8531"/>
    <n v="-8531"/>
    <x v="0"/>
    <x v="1"/>
    <n v="563"/>
    <x v="104"/>
    <s v="RAFAEL EDUARDO TRONCOSO ROZAS"/>
  </r>
  <r>
    <m/>
    <s v="TRASPASO"/>
    <d v="2022-10-24T00:00:00"/>
    <n v="10"/>
    <x v="4"/>
    <x v="15"/>
    <x v="8"/>
    <n v="0"/>
    <n v="44900"/>
    <n v="-44900"/>
    <x v="0"/>
    <x v="1"/>
    <n v="563"/>
    <x v="104"/>
    <s v="RAFAEL EDUARDO TRONCOSO ROZAS"/>
  </r>
  <r>
    <m/>
    <s v="TRASPASO"/>
    <d v="2022-10-24T00:00:00"/>
    <n v="10"/>
    <x v="0"/>
    <x v="13"/>
    <x v="8"/>
    <n v="92772"/>
    <n v="0"/>
    <n v="92772"/>
    <x v="0"/>
    <x v="1"/>
    <n v="565"/>
    <x v="105"/>
    <s v="IMPORTADORA DCIC SPA"/>
  </r>
  <r>
    <m/>
    <s v="TRASPASO"/>
    <d v="2022-10-24T00:00:00"/>
    <n v="10"/>
    <x v="1"/>
    <x v="14"/>
    <x v="8"/>
    <n v="0"/>
    <n v="14812"/>
    <n v="-14812"/>
    <x v="0"/>
    <x v="1"/>
    <n v="565"/>
    <x v="105"/>
    <s v="IMPORTADORA DCIC SPA"/>
  </r>
  <r>
    <m/>
    <s v="TRASPASO"/>
    <d v="2022-10-24T00:00:00"/>
    <n v="10"/>
    <x v="4"/>
    <x v="15"/>
    <x v="8"/>
    <n v="0"/>
    <n v="77960"/>
    <n v="-77960"/>
    <x v="0"/>
    <x v="1"/>
    <n v="565"/>
    <x v="105"/>
    <s v="IMPORTADORA DCIC SPA"/>
  </r>
  <r>
    <m/>
    <s v="TRASPASO"/>
    <d v="2022-10-25T00:00:00"/>
    <n v="10"/>
    <x v="0"/>
    <x v="13"/>
    <x v="8"/>
    <n v="394485"/>
    <n v="0"/>
    <n v="394485"/>
    <x v="0"/>
    <x v="1"/>
    <n v="566"/>
    <x v="102"/>
    <s v="CORPORACION EDUCACIONAL SAN JOSE"/>
  </r>
  <r>
    <m/>
    <s v="TRASPASO"/>
    <d v="2022-10-25T00:00:00"/>
    <n v="10"/>
    <x v="1"/>
    <x v="14"/>
    <x v="8"/>
    <n v="0"/>
    <n v="62985"/>
    <n v="-62985"/>
    <x v="0"/>
    <x v="1"/>
    <n v="566"/>
    <x v="102"/>
    <s v="CORPORACION EDUCACIONAL SAN JOSE"/>
  </r>
  <r>
    <m/>
    <s v="TRASPASO"/>
    <d v="2022-10-25T00:00:00"/>
    <n v="10"/>
    <x v="4"/>
    <x v="15"/>
    <x v="8"/>
    <n v="0"/>
    <n v="331500"/>
    <n v="-331500"/>
    <x v="0"/>
    <x v="1"/>
    <n v="566"/>
    <x v="102"/>
    <s v="CORPORACION EDUCACIONAL SAN JOSE"/>
  </r>
  <r>
    <m/>
    <s v="TRASPASO"/>
    <d v="2022-10-25T00:00:00"/>
    <n v="10"/>
    <x v="0"/>
    <x v="13"/>
    <x v="8"/>
    <n v="88060"/>
    <n v="0"/>
    <n v="88060"/>
    <x v="0"/>
    <x v="1"/>
    <n v="567"/>
    <x v="106"/>
    <s v="CORPORACION ARETE"/>
  </r>
  <r>
    <m/>
    <s v="TRASPASO"/>
    <d v="2022-10-25T00:00:00"/>
    <n v="10"/>
    <x v="1"/>
    <x v="14"/>
    <x v="8"/>
    <n v="0"/>
    <n v="14060"/>
    <n v="-14060"/>
    <x v="0"/>
    <x v="1"/>
    <n v="567"/>
    <x v="106"/>
    <s v="CORPORACION ARETE"/>
  </r>
  <r>
    <m/>
    <s v="TRASPASO"/>
    <d v="2022-10-25T00:00:00"/>
    <n v="10"/>
    <x v="4"/>
    <x v="15"/>
    <x v="8"/>
    <n v="0"/>
    <n v="74000"/>
    <n v="-74000"/>
    <x v="0"/>
    <x v="1"/>
    <n v="567"/>
    <x v="106"/>
    <s v="CORPORACION ARETE"/>
  </r>
  <r>
    <m/>
    <s v="TRASPASO"/>
    <d v="2022-10-25T00:00:00"/>
    <n v="10"/>
    <x v="0"/>
    <x v="13"/>
    <x v="8"/>
    <n v="117810"/>
    <n v="0"/>
    <n v="117810"/>
    <x v="0"/>
    <x v="1"/>
    <n v="568"/>
    <x v="107"/>
    <s v="INVERSIONES KEFFI SPA"/>
  </r>
  <r>
    <m/>
    <s v="TRASPASO"/>
    <d v="2022-10-25T00:00:00"/>
    <n v="10"/>
    <x v="1"/>
    <x v="14"/>
    <x v="8"/>
    <n v="0"/>
    <n v="18810"/>
    <n v="-18810"/>
    <x v="0"/>
    <x v="1"/>
    <n v="568"/>
    <x v="107"/>
    <s v="INVERSIONES KEFFI SPA"/>
  </r>
  <r>
    <m/>
    <s v="TRASPASO"/>
    <d v="2022-10-25T00:00:00"/>
    <n v="10"/>
    <x v="4"/>
    <x v="15"/>
    <x v="8"/>
    <n v="0"/>
    <n v="99000"/>
    <n v="-99000"/>
    <x v="0"/>
    <x v="1"/>
    <n v="568"/>
    <x v="107"/>
    <s v="INVERSIONES KEFFI SPA"/>
  </r>
  <r>
    <m/>
    <s v="TRASPASO"/>
    <d v="2022-10-25T00:00:00"/>
    <n v="10"/>
    <x v="0"/>
    <x v="13"/>
    <x v="8"/>
    <n v="1223272"/>
    <n v="0"/>
    <n v="1223272"/>
    <x v="0"/>
    <x v="1"/>
    <n v="569"/>
    <x v="108"/>
    <s v="FUNDACION BEST BUDDIES CHILE"/>
  </r>
  <r>
    <m/>
    <s v="TRASPASO"/>
    <d v="2022-10-25T00:00:00"/>
    <n v="10"/>
    <x v="1"/>
    <x v="14"/>
    <x v="8"/>
    <n v="0"/>
    <n v="195312"/>
    <n v="-195312"/>
    <x v="0"/>
    <x v="1"/>
    <n v="569"/>
    <x v="108"/>
    <s v="FUNDACION BEST BUDDIES CHILE"/>
  </r>
  <r>
    <m/>
    <s v="TRASPASO"/>
    <d v="2022-10-25T00:00:00"/>
    <n v="10"/>
    <x v="4"/>
    <x v="15"/>
    <x v="8"/>
    <n v="0"/>
    <n v="1027960"/>
    <n v="-1027960"/>
    <x v="0"/>
    <x v="1"/>
    <n v="569"/>
    <x v="108"/>
    <s v="FUNDACION BEST BUDDIES CHILE"/>
  </r>
  <r>
    <m/>
    <s v="TRASPASO"/>
    <d v="2022-10-26T00:00:00"/>
    <n v="10"/>
    <x v="0"/>
    <x v="13"/>
    <x v="8"/>
    <n v="443965"/>
    <n v="0"/>
    <n v="443965"/>
    <x v="0"/>
    <x v="1"/>
    <n v="570"/>
    <x v="109"/>
    <s v="COMERCIAL FUNDACION LIMITADA"/>
  </r>
  <r>
    <m/>
    <s v="TRASPASO"/>
    <d v="2022-10-26T00:00:00"/>
    <n v="10"/>
    <x v="1"/>
    <x v="14"/>
    <x v="8"/>
    <n v="0"/>
    <n v="70885"/>
    <n v="-70885"/>
    <x v="0"/>
    <x v="1"/>
    <n v="570"/>
    <x v="109"/>
    <s v="COMERCIAL FUNDACION LIMITADA"/>
  </r>
  <r>
    <m/>
    <s v="TRASPASO"/>
    <d v="2022-10-26T00:00:00"/>
    <n v="10"/>
    <x v="4"/>
    <x v="15"/>
    <x v="8"/>
    <n v="0"/>
    <n v="373080"/>
    <n v="-373080"/>
    <x v="0"/>
    <x v="1"/>
    <n v="570"/>
    <x v="109"/>
    <s v="COMERCIAL FUNDACION LIMITADA"/>
  </r>
  <r>
    <m/>
    <s v="TRASPASO"/>
    <d v="2022-10-28T00:00:00"/>
    <n v="10"/>
    <x v="0"/>
    <x v="13"/>
    <x v="8"/>
    <n v="171170"/>
    <n v="0"/>
    <n v="171170"/>
    <x v="0"/>
    <x v="1"/>
    <n v="571"/>
    <x v="90"/>
    <s v="MINING AND INDUSTRIAL SERVICES SPA"/>
  </r>
  <r>
    <m/>
    <s v="TRASPASO"/>
    <d v="2022-10-28T00:00:00"/>
    <n v="10"/>
    <x v="1"/>
    <x v="14"/>
    <x v="8"/>
    <n v="0"/>
    <n v="27330"/>
    <n v="-27330"/>
    <x v="0"/>
    <x v="1"/>
    <n v="571"/>
    <x v="90"/>
    <s v="MINING AND INDUSTRIAL SERVICES SPA"/>
  </r>
  <r>
    <m/>
    <s v="TRASPASO"/>
    <d v="2022-10-28T00:00:00"/>
    <n v="10"/>
    <x v="4"/>
    <x v="15"/>
    <x v="8"/>
    <n v="0"/>
    <n v="143840"/>
    <n v="-143840"/>
    <x v="0"/>
    <x v="1"/>
    <n v="571"/>
    <x v="90"/>
    <s v="MINING AND INDUSTRIAL SERVICES SPA"/>
  </r>
  <r>
    <m/>
    <s v="TRASPASO"/>
    <d v="2022-10-28T00:00:00"/>
    <n v="10"/>
    <x v="0"/>
    <x v="13"/>
    <x v="8"/>
    <n v="427924"/>
    <n v="0"/>
    <n v="427924"/>
    <x v="0"/>
    <x v="1"/>
    <n v="572"/>
    <x v="64"/>
    <s v="MIXX MARKETING Y PUBLICIDAD LIMITADA"/>
  </r>
  <r>
    <m/>
    <s v="TRASPASO"/>
    <d v="2022-10-28T00:00:00"/>
    <n v="10"/>
    <x v="1"/>
    <x v="14"/>
    <x v="8"/>
    <n v="0"/>
    <n v="68324"/>
    <n v="-68324"/>
    <x v="0"/>
    <x v="1"/>
    <n v="572"/>
    <x v="64"/>
    <s v="MIXX MARKETING Y PUBLICIDAD LIMITADA"/>
  </r>
  <r>
    <m/>
    <s v="TRASPASO"/>
    <d v="2022-10-28T00:00:00"/>
    <n v="10"/>
    <x v="4"/>
    <x v="15"/>
    <x v="8"/>
    <n v="0"/>
    <n v="359600"/>
    <n v="-359600"/>
    <x v="0"/>
    <x v="1"/>
    <n v="572"/>
    <x v="64"/>
    <s v="MIXX MARKETING Y PUBLICIDAD LIMITADA"/>
  </r>
  <r>
    <m/>
    <s v="TRASPASO"/>
    <d v="2022-10-14T00:00:00"/>
    <n v="10"/>
    <x v="0"/>
    <x v="13"/>
    <x v="8"/>
    <n v="0"/>
    <n v="0"/>
    <n v="0"/>
    <x v="0"/>
    <x v="2"/>
    <n v="23"/>
    <x v="92"/>
    <s v="HORTIFRUT CHILE S A"/>
  </r>
  <r>
    <m/>
    <s v="TRASPASO"/>
    <d v="2022-10-14T00:00:00"/>
    <n v="10"/>
    <x v="1"/>
    <x v="14"/>
    <x v="8"/>
    <n v="0"/>
    <n v="0"/>
    <n v="0"/>
    <x v="0"/>
    <x v="2"/>
    <n v="23"/>
    <x v="92"/>
    <s v="HORTIFRUT CHILE S A"/>
  </r>
  <r>
    <m/>
    <s v="TRASPASO"/>
    <d v="2022-10-14T00:00:00"/>
    <n v="10"/>
    <x v="4"/>
    <x v="15"/>
    <x v="8"/>
    <n v="0"/>
    <n v="0"/>
    <n v="0"/>
    <x v="0"/>
    <x v="2"/>
    <n v="23"/>
    <x v="92"/>
    <s v="HORTIFRUT CHILE S A"/>
  </r>
  <r>
    <m/>
    <s v="TRASPASO"/>
    <d v="2022-10-14T00:00:00"/>
    <n v="10"/>
    <x v="0"/>
    <x v="13"/>
    <x v="8"/>
    <n v="0"/>
    <n v="297500"/>
    <n v="-297500"/>
    <x v="0"/>
    <x v="2"/>
    <n v="24"/>
    <x v="92"/>
    <s v="HORTIFRUT CHILE S A"/>
  </r>
  <r>
    <m/>
    <s v="TRASPASO"/>
    <d v="2022-10-14T00:00:00"/>
    <n v="10"/>
    <x v="1"/>
    <x v="14"/>
    <x v="8"/>
    <n v="47500"/>
    <n v="0"/>
    <n v="47500"/>
    <x v="0"/>
    <x v="2"/>
    <n v="24"/>
    <x v="92"/>
    <s v="HORTIFRUT CHILE S A"/>
  </r>
  <r>
    <m/>
    <s v="TRASPASO"/>
    <d v="2022-10-14T00:00:00"/>
    <n v="10"/>
    <x v="4"/>
    <x v="15"/>
    <x v="8"/>
    <n v="250000"/>
    <n v="0"/>
    <n v="250000"/>
    <x v="0"/>
    <x v="2"/>
    <n v="24"/>
    <x v="92"/>
    <s v="HORTIFRUT CHILE S A"/>
  </r>
  <r>
    <m/>
    <s v="TRASPASO"/>
    <d v="2022-11-02T00:00:00"/>
    <n v="11"/>
    <x v="0"/>
    <x v="13"/>
    <x v="8"/>
    <n v="101638"/>
    <n v="0"/>
    <n v="101638"/>
    <x v="0"/>
    <x v="1"/>
    <n v="573"/>
    <x v="110"/>
    <s v="DISTRIBUIDORA MIGUEL AMPUERO SPA"/>
  </r>
  <r>
    <m/>
    <s v="TRASPASO"/>
    <d v="2022-11-02T00:00:00"/>
    <n v="11"/>
    <x v="1"/>
    <x v="14"/>
    <x v="8"/>
    <n v="0"/>
    <n v="16228"/>
    <n v="-16228"/>
    <x v="0"/>
    <x v="1"/>
    <n v="573"/>
    <x v="110"/>
    <s v="DISTRIBUIDORA MIGUEL AMPUERO SPA"/>
  </r>
  <r>
    <m/>
    <s v="TRASPASO"/>
    <d v="2022-11-02T00:00:00"/>
    <n v="11"/>
    <x v="4"/>
    <x v="15"/>
    <x v="8"/>
    <n v="0"/>
    <n v="85410"/>
    <n v="-85410"/>
    <x v="0"/>
    <x v="1"/>
    <n v="573"/>
    <x v="110"/>
    <s v="DISTRIBUIDORA MIGUEL AMPUERO SPA"/>
  </r>
  <r>
    <m/>
    <s v="TRASPASO"/>
    <d v="2022-11-02T00:00:00"/>
    <n v="11"/>
    <x v="0"/>
    <x v="13"/>
    <x v="8"/>
    <n v="67759"/>
    <n v="0"/>
    <n v="67759"/>
    <x v="0"/>
    <x v="1"/>
    <n v="574"/>
    <x v="110"/>
    <s v="DISTRIBUIDORA MIGUEL AMPUERO SPA"/>
  </r>
  <r>
    <m/>
    <s v="TRASPASO"/>
    <d v="2022-11-02T00:00:00"/>
    <n v="11"/>
    <x v="1"/>
    <x v="14"/>
    <x v="8"/>
    <n v="0"/>
    <n v="10819"/>
    <n v="-10819"/>
    <x v="0"/>
    <x v="1"/>
    <n v="574"/>
    <x v="110"/>
    <s v="DISTRIBUIDORA MIGUEL AMPUERO SPA"/>
  </r>
  <r>
    <m/>
    <s v="TRASPASO"/>
    <d v="2022-11-02T00:00:00"/>
    <n v="11"/>
    <x v="4"/>
    <x v="15"/>
    <x v="8"/>
    <n v="0"/>
    <n v="56940"/>
    <n v="-56940"/>
    <x v="0"/>
    <x v="1"/>
    <n v="574"/>
    <x v="110"/>
    <s v="DISTRIBUIDORA MIGUEL AMPUERO SPA"/>
  </r>
  <r>
    <m/>
    <s v="TRASPASO"/>
    <d v="2022-11-09T00:00:00"/>
    <n v="11"/>
    <x v="0"/>
    <x v="13"/>
    <x v="8"/>
    <n v="389844"/>
    <n v="0"/>
    <n v="389844"/>
    <x v="0"/>
    <x v="1"/>
    <n v="575"/>
    <x v="102"/>
    <s v="CORPORACION EDUCACIONAL SAN JOSE"/>
  </r>
  <r>
    <m/>
    <s v="TRASPASO"/>
    <d v="2022-11-09T00:00:00"/>
    <n v="11"/>
    <x v="1"/>
    <x v="14"/>
    <x v="8"/>
    <n v="0"/>
    <n v="62244"/>
    <n v="-62244"/>
    <x v="0"/>
    <x v="1"/>
    <n v="575"/>
    <x v="102"/>
    <s v="CORPORACION EDUCACIONAL SAN JOSE"/>
  </r>
  <r>
    <m/>
    <s v="TRASPASO"/>
    <d v="2022-11-09T00:00:00"/>
    <n v="11"/>
    <x v="4"/>
    <x v="15"/>
    <x v="8"/>
    <n v="0"/>
    <n v="327600"/>
    <n v="-327600"/>
    <x v="0"/>
    <x v="1"/>
    <n v="575"/>
    <x v="102"/>
    <s v="CORPORACION EDUCACIONAL SAN JOSE"/>
  </r>
  <r>
    <m/>
    <s v="TRASPASO"/>
    <d v="2022-11-09T00:00:00"/>
    <n v="11"/>
    <x v="0"/>
    <x v="13"/>
    <x v="8"/>
    <n v="414120"/>
    <n v="0"/>
    <n v="414120"/>
    <x v="0"/>
    <x v="1"/>
    <n v="577"/>
    <x v="48"/>
    <s v="BARRY CALLEBAUT CHILE SPA"/>
  </r>
  <r>
    <m/>
    <s v="TRASPASO"/>
    <d v="2022-11-09T00:00:00"/>
    <n v="11"/>
    <x v="1"/>
    <x v="14"/>
    <x v="8"/>
    <n v="0"/>
    <n v="66120"/>
    <n v="-66120"/>
    <x v="0"/>
    <x v="1"/>
    <n v="577"/>
    <x v="48"/>
    <s v="BARRY CALLEBAUT CHILE SPA"/>
  </r>
  <r>
    <m/>
    <s v="TRASPASO"/>
    <d v="2022-11-09T00:00:00"/>
    <n v="11"/>
    <x v="4"/>
    <x v="15"/>
    <x v="8"/>
    <n v="0"/>
    <n v="348000"/>
    <n v="-348000"/>
    <x v="0"/>
    <x v="1"/>
    <n v="577"/>
    <x v="48"/>
    <s v="BARRY CALLEBAUT CHILE SPA"/>
  </r>
  <r>
    <m/>
    <s v="TRASPASO"/>
    <d v="2022-11-09T00:00:00"/>
    <n v="11"/>
    <x v="0"/>
    <x v="13"/>
    <x v="8"/>
    <n v="178357"/>
    <n v="0"/>
    <n v="178357"/>
    <x v="0"/>
    <x v="1"/>
    <n v="578"/>
    <x v="94"/>
    <s v="MORRIS Y OPAZO SPA"/>
  </r>
  <r>
    <m/>
    <s v="TRASPASO"/>
    <d v="2022-11-09T00:00:00"/>
    <n v="11"/>
    <x v="1"/>
    <x v="14"/>
    <x v="8"/>
    <n v="0"/>
    <n v="28477"/>
    <n v="-28477"/>
    <x v="0"/>
    <x v="1"/>
    <n v="578"/>
    <x v="94"/>
    <s v="MORRIS Y OPAZO SPA"/>
  </r>
  <r>
    <m/>
    <s v="TRASPASO"/>
    <d v="2022-11-09T00:00:00"/>
    <n v="11"/>
    <x v="4"/>
    <x v="15"/>
    <x v="8"/>
    <n v="0"/>
    <n v="149880"/>
    <n v="-149880"/>
    <x v="0"/>
    <x v="1"/>
    <n v="578"/>
    <x v="94"/>
    <s v="MORRIS Y OPAZO SPA"/>
  </r>
  <r>
    <m/>
    <s v="TRASPASO"/>
    <d v="2022-11-11T00:00:00"/>
    <n v="11"/>
    <x v="0"/>
    <x v="13"/>
    <x v="8"/>
    <n v="1808800"/>
    <n v="0"/>
    <n v="1808800"/>
    <x v="0"/>
    <x v="1"/>
    <n v="579"/>
    <x v="100"/>
    <s v="CENTRO DE PADRES DEL COLEGIO INTERNACIONAL NIDO DE AGUILAS"/>
  </r>
  <r>
    <m/>
    <s v="TRASPASO"/>
    <d v="2022-11-11T00:00:00"/>
    <n v="11"/>
    <x v="1"/>
    <x v="14"/>
    <x v="8"/>
    <n v="0"/>
    <n v="288800"/>
    <n v="-288800"/>
    <x v="0"/>
    <x v="1"/>
    <n v="579"/>
    <x v="100"/>
    <s v="CENTRO DE PADRES DEL COLEGIO INTERNACIONAL NIDO DE AGUILAS"/>
  </r>
  <r>
    <m/>
    <s v="TRASPASO"/>
    <d v="2022-11-11T00:00:00"/>
    <n v="11"/>
    <x v="4"/>
    <x v="15"/>
    <x v="8"/>
    <n v="0"/>
    <n v="1520000"/>
    <n v="-1520000"/>
    <x v="0"/>
    <x v="1"/>
    <n v="579"/>
    <x v="100"/>
    <s v="CENTRO DE PADRES DEL COLEGIO INTERNACIONAL NIDO DE AGUILAS"/>
  </r>
  <r>
    <m/>
    <s v="TRASPASO"/>
    <d v="2022-11-28T00:00:00"/>
    <n v="11"/>
    <x v="0"/>
    <x v="13"/>
    <x v="8"/>
    <n v="109385"/>
    <n v="0"/>
    <n v="109385"/>
    <x v="0"/>
    <x v="1"/>
    <n v="580"/>
    <x v="111"/>
    <s v="DAKONON SPA"/>
  </r>
  <r>
    <m/>
    <s v="TRASPASO"/>
    <d v="2022-11-28T00:00:00"/>
    <n v="11"/>
    <x v="1"/>
    <x v="14"/>
    <x v="8"/>
    <n v="0"/>
    <n v="17465"/>
    <n v="-17465"/>
    <x v="0"/>
    <x v="1"/>
    <n v="580"/>
    <x v="111"/>
    <s v="DAKONON SPA"/>
  </r>
  <r>
    <m/>
    <s v="TRASPASO"/>
    <d v="2022-11-28T00:00:00"/>
    <n v="11"/>
    <x v="4"/>
    <x v="15"/>
    <x v="8"/>
    <n v="0"/>
    <n v="91920"/>
    <n v="-91920"/>
    <x v="0"/>
    <x v="1"/>
    <n v="580"/>
    <x v="111"/>
    <s v="DAKONON SPA"/>
  </r>
  <r>
    <m/>
    <s v="TRASPASO"/>
    <d v="2022-11-28T00:00:00"/>
    <n v="11"/>
    <x v="0"/>
    <x v="13"/>
    <x v="8"/>
    <n v="272784"/>
    <n v="0"/>
    <n v="272784"/>
    <x v="0"/>
    <x v="1"/>
    <n v="581"/>
    <x v="90"/>
    <s v="MINING AND INDUSTRIAL SERVICES SPA"/>
  </r>
  <r>
    <m/>
    <s v="TRASPASO"/>
    <d v="2022-11-28T00:00:00"/>
    <n v="11"/>
    <x v="1"/>
    <x v="14"/>
    <x v="8"/>
    <n v="0"/>
    <n v="43554"/>
    <n v="-43554"/>
    <x v="0"/>
    <x v="1"/>
    <n v="581"/>
    <x v="90"/>
    <s v="MINING AND INDUSTRIAL SERVICES SPA"/>
  </r>
  <r>
    <m/>
    <s v="TRASPASO"/>
    <d v="2022-11-28T00:00:00"/>
    <n v="11"/>
    <x v="4"/>
    <x v="15"/>
    <x v="8"/>
    <n v="0"/>
    <n v="229230"/>
    <n v="-229230"/>
    <x v="0"/>
    <x v="1"/>
    <n v="581"/>
    <x v="90"/>
    <s v="MINING AND INDUSTRIAL SERVICES SPA"/>
  </r>
  <r>
    <m/>
    <s v="TRASPASO"/>
    <d v="2022-11-29T00:00:00"/>
    <n v="11"/>
    <x v="0"/>
    <x v="13"/>
    <x v="8"/>
    <n v="59500"/>
    <n v="0"/>
    <n v="59500"/>
    <x v="0"/>
    <x v="1"/>
    <n v="582"/>
    <x v="47"/>
    <s v="TRAIL SPA"/>
  </r>
  <r>
    <m/>
    <s v="TRASPASO"/>
    <d v="2022-11-29T00:00:00"/>
    <n v="11"/>
    <x v="1"/>
    <x v="14"/>
    <x v="8"/>
    <n v="0"/>
    <n v="9500"/>
    <n v="-9500"/>
    <x v="0"/>
    <x v="1"/>
    <n v="582"/>
    <x v="47"/>
    <s v="TRAIL SPA"/>
  </r>
  <r>
    <m/>
    <s v="TRASPASO"/>
    <d v="2022-11-29T00:00:00"/>
    <n v="11"/>
    <x v="4"/>
    <x v="15"/>
    <x v="8"/>
    <n v="0"/>
    <n v="50000"/>
    <n v="-50000"/>
    <x v="0"/>
    <x v="1"/>
    <n v="582"/>
    <x v="47"/>
    <s v="TRAIL SPA"/>
  </r>
  <r>
    <m/>
    <s v="TRASPASO"/>
    <d v="2022-11-30T00:00:00"/>
    <n v="11"/>
    <x v="0"/>
    <x v="13"/>
    <x v="8"/>
    <n v="241618"/>
    <n v="0"/>
    <n v="241618"/>
    <x v="0"/>
    <x v="1"/>
    <n v="583"/>
    <x v="112"/>
    <s v="PRODUCTORA Y DISTRIBUIDORA ALQUITARA SPA"/>
  </r>
  <r>
    <m/>
    <s v="TRASPASO"/>
    <d v="2022-11-30T00:00:00"/>
    <n v="11"/>
    <x v="1"/>
    <x v="14"/>
    <x v="8"/>
    <n v="0"/>
    <n v="38578"/>
    <n v="-38578"/>
    <x v="0"/>
    <x v="1"/>
    <n v="583"/>
    <x v="112"/>
    <s v="PRODUCTORA Y DISTRIBUIDORA ALQUITARA SPA"/>
  </r>
  <r>
    <m/>
    <s v="TRASPASO"/>
    <d v="2022-11-30T00:00:00"/>
    <n v="11"/>
    <x v="4"/>
    <x v="15"/>
    <x v="8"/>
    <n v="0"/>
    <n v="203040"/>
    <n v="-203040"/>
    <x v="0"/>
    <x v="1"/>
    <n v="583"/>
    <x v="112"/>
    <s v="PRODUCTORA Y DISTRIBUIDORA ALQUITARA SPA"/>
  </r>
  <r>
    <m/>
    <s v="TRASPASO"/>
    <d v="2022-12-02T00:00:00"/>
    <n v="12"/>
    <x v="0"/>
    <x v="13"/>
    <x v="8"/>
    <n v="719950"/>
    <n v="0"/>
    <n v="719950"/>
    <x v="0"/>
    <x v="1"/>
    <n v="584"/>
    <x v="48"/>
    <s v="BARRY CALLEBAUT CHILE SPA"/>
  </r>
  <r>
    <m/>
    <s v="TRASPASO"/>
    <d v="2022-12-02T00:00:00"/>
    <n v="12"/>
    <x v="1"/>
    <x v="14"/>
    <x v="8"/>
    <n v="0"/>
    <n v="114950"/>
    <n v="-114950"/>
    <x v="0"/>
    <x v="1"/>
    <n v="584"/>
    <x v="48"/>
    <s v="BARRY CALLEBAUT CHILE SPA"/>
  </r>
  <r>
    <m/>
    <s v="TRASPASO"/>
    <d v="2022-12-02T00:00:00"/>
    <n v="12"/>
    <x v="4"/>
    <x v="15"/>
    <x v="8"/>
    <n v="0"/>
    <n v="605000"/>
    <n v="-605000"/>
    <x v="0"/>
    <x v="1"/>
    <n v="584"/>
    <x v="48"/>
    <s v="BARRY CALLEBAUT CHILE SPA"/>
  </r>
  <r>
    <m/>
    <s v="TRASPASO"/>
    <d v="2022-12-05T00:00:00"/>
    <n v="12"/>
    <x v="0"/>
    <x v="13"/>
    <x v="8"/>
    <n v="445655"/>
    <n v="0"/>
    <n v="445655"/>
    <x v="0"/>
    <x v="1"/>
    <n v="585"/>
    <x v="113"/>
    <s v="JENYLOVE SPA"/>
  </r>
  <r>
    <m/>
    <s v="TRASPASO"/>
    <d v="2022-12-05T00:00:00"/>
    <n v="12"/>
    <x v="1"/>
    <x v="14"/>
    <x v="8"/>
    <n v="0"/>
    <n v="71155"/>
    <n v="-71155"/>
    <x v="0"/>
    <x v="1"/>
    <n v="585"/>
    <x v="113"/>
    <s v="JENYLOVE SPA"/>
  </r>
  <r>
    <m/>
    <s v="TRASPASO"/>
    <d v="2022-12-05T00:00:00"/>
    <n v="12"/>
    <x v="4"/>
    <x v="15"/>
    <x v="8"/>
    <n v="0"/>
    <n v="374500"/>
    <n v="-374500"/>
    <x v="0"/>
    <x v="1"/>
    <n v="585"/>
    <x v="113"/>
    <s v="JENYLOVE SPA"/>
  </r>
  <r>
    <m/>
    <s v="TRASPASO"/>
    <d v="2022-12-05T00:00:00"/>
    <n v="12"/>
    <x v="0"/>
    <x v="13"/>
    <x v="8"/>
    <n v="445655"/>
    <n v="0"/>
    <n v="445655"/>
    <x v="0"/>
    <x v="1"/>
    <n v="586"/>
    <x v="114"/>
    <s v="JENYLOVE SPA"/>
  </r>
  <r>
    <m/>
    <s v="TRASPASO"/>
    <d v="2022-12-05T00:00:00"/>
    <n v="12"/>
    <x v="1"/>
    <x v="14"/>
    <x v="8"/>
    <n v="0"/>
    <n v="71155"/>
    <n v="-71155"/>
    <x v="0"/>
    <x v="1"/>
    <n v="586"/>
    <x v="114"/>
    <s v="JENYLOVE SPA"/>
  </r>
  <r>
    <m/>
    <s v="TRASPASO"/>
    <d v="2022-12-05T00:00:00"/>
    <n v="12"/>
    <x v="4"/>
    <x v="15"/>
    <x v="8"/>
    <n v="0"/>
    <n v="374500"/>
    <n v="-374500"/>
    <x v="0"/>
    <x v="1"/>
    <n v="586"/>
    <x v="114"/>
    <s v="JENYLOVE SPA"/>
  </r>
  <r>
    <m/>
    <s v="TRASPASO"/>
    <d v="2022-12-07T00:00:00"/>
    <n v="12"/>
    <x v="0"/>
    <x v="13"/>
    <x v="8"/>
    <n v="341828"/>
    <n v="0"/>
    <n v="341828"/>
    <x v="0"/>
    <x v="1"/>
    <n v="587"/>
    <x v="97"/>
    <s v="VIVEROS CHINIGUE S.A"/>
  </r>
  <r>
    <m/>
    <s v="TRASPASO"/>
    <d v="2022-12-07T00:00:00"/>
    <n v="12"/>
    <x v="1"/>
    <x v="14"/>
    <x v="8"/>
    <n v="0"/>
    <n v="54578"/>
    <n v="-54578"/>
    <x v="0"/>
    <x v="1"/>
    <n v="587"/>
    <x v="97"/>
    <s v="VIVEROS CHINIGUE S.A"/>
  </r>
  <r>
    <m/>
    <s v="TRASPASO"/>
    <d v="2022-12-07T00:00:00"/>
    <n v="12"/>
    <x v="4"/>
    <x v="15"/>
    <x v="8"/>
    <n v="0"/>
    <n v="287250"/>
    <n v="-287250"/>
    <x v="0"/>
    <x v="1"/>
    <n v="587"/>
    <x v="97"/>
    <s v="VIVEROS CHINIGUE S.A"/>
  </r>
  <r>
    <m/>
    <s v="TRASPASO"/>
    <d v="2022-12-07T00:00:00"/>
    <n v="12"/>
    <x v="0"/>
    <x v="13"/>
    <x v="8"/>
    <n v="172074"/>
    <n v="0"/>
    <n v="172074"/>
    <x v="0"/>
    <x v="1"/>
    <n v="588"/>
    <x v="115"/>
    <s v="COMERCIALIZADORA DE PRODUCTOS TECNOLOGICOS LIMITADA"/>
  </r>
  <r>
    <m/>
    <s v="TRASPASO"/>
    <d v="2022-12-07T00:00:00"/>
    <n v="12"/>
    <x v="1"/>
    <x v="14"/>
    <x v="8"/>
    <n v="0"/>
    <n v="27474"/>
    <n v="-27474"/>
    <x v="0"/>
    <x v="1"/>
    <n v="588"/>
    <x v="115"/>
    <s v="COMERCIALIZADORA DE PRODUCTOS TECNOLOGICOS LIMITADA"/>
  </r>
  <r>
    <m/>
    <s v="TRASPASO"/>
    <d v="2022-12-07T00:00:00"/>
    <n v="12"/>
    <x v="4"/>
    <x v="15"/>
    <x v="8"/>
    <n v="0"/>
    <n v="144600"/>
    <n v="-144600"/>
    <x v="0"/>
    <x v="1"/>
    <n v="588"/>
    <x v="115"/>
    <s v="COMERCIALIZADORA DE PRODUCTOS TECNOLOGICOS LIMITADA"/>
  </r>
  <r>
    <m/>
    <s v="TRASPASO"/>
    <d v="2022-12-07T00:00:00"/>
    <n v="12"/>
    <x v="0"/>
    <x v="13"/>
    <x v="8"/>
    <n v="106029"/>
    <n v="0"/>
    <n v="106029"/>
    <x v="0"/>
    <x v="1"/>
    <n v="589"/>
    <x v="92"/>
    <s v="HORTIFRUT CHILE S A"/>
  </r>
  <r>
    <m/>
    <s v="TRASPASO"/>
    <d v="2022-12-07T00:00:00"/>
    <n v="12"/>
    <x v="1"/>
    <x v="14"/>
    <x v="8"/>
    <n v="0"/>
    <n v="16929"/>
    <n v="-16929"/>
    <x v="0"/>
    <x v="1"/>
    <n v="589"/>
    <x v="92"/>
    <s v="HORTIFRUT CHILE S A"/>
  </r>
  <r>
    <m/>
    <s v="TRASPASO"/>
    <d v="2022-12-07T00:00:00"/>
    <n v="12"/>
    <x v="4"/>
    <x v="15"/>
    <x v="8"/>
    <n v="0"/>
    <n v="89100"/>
    <n v="-89100"/>
    <x v="0"/>
    <x v="1"/>
    <n v="589"/>
    <x v="92"/>
    <s v="HORTIFRUT CHILE S A"/>
  </r>
  <r>
    <m/>
    <s v="TRASPASO"/>
    <d v="2022-12-07T00:00:00"/>
    <n v="12"/>
    <x v="0"/>
    <x v="13"/>
    <x v="8"/>
    <n v="94248"/>
    <n v="0"/>
    <n v="94248"/>
    <x v="0"/>
    <x v="1"/>
    <n v="591"/>
    <x v="92"/>
    <s v="HORTIFRUT CHILE S A"/>
  </r>
  <r>
    <m/>
    <s v="TRASPASO"/>
    <d v="2022-12-07T00:00:00"/>
    <n v="12"/>
    <x v="1"/>
    <x v="14"/>
    <x v="8"/>
    <n v="0"/>
    <n v="15048"/>
    <n v="-15048"/>
    <x v="0"/>
    <x v="1"/>
    <n v="591"/>
    <x v="92"/>
    <s v="HORTIFRUT CHILE S A"/>
  </r>
  <r>
    <m/>
    <s v="TRASPASO"/>
    <d v="2022-12-07T00:00:00"/>
    <n v="12"/>
    <x v="4"/>
    <x v="15"/>
    <x v="8"/>
    <n v="0"/>
    <n v="79200"/>
    <n v="-79200"/>
    <x v="0"/>
    <x v="1"/>
    <n v="591"/>
    <x v="92"/>
    <s v="HORTIFRUT CHILE S A"/>
  </r>
  <r>
    <m/>
    <s v="TRASPASO"/>
    <d v="2022-12-12T00:00:00"/>
    <n v="12"/>
    <x v="0"/>
    <x v="13"/>
    <x v="8"/>
    <n v="158103"/>
    <n v="0"/>
    <n v="158103"/>
    <x v="0"/>
    <x v="1"/>
    <n v="592"/>
    <x v="54"/>
    <s v="IMPORTACIONES Y SERVICIOS ADVANCED COMPUTING TECHNOLOGIES S.A."/>
  </r>
  <r>
    <m/>
    <s v="TRASPASO"/>
    <d v="2022-12-12T00:00:00"/>
    <n v="12"/>
    <x v="1"/>
    <x v="14"/>
    <x v="8"/>
    <n v="0"/>
    <n v="25243"/>
    <n v="-25243"/>
    <x v="0"/>
    <x v="1"/>
    <n v="592"/>
    <x v="54"/>
    <s v="IMPORTACIONES Y SERVICIOS ADVANCED COMPUTING TECHNOLOGIES S.A."/>
  </r>
  <r>
    <m/>
    <s v="TRASPASO"/>
    <d v="2022-12-12T00:00:00"/>
    <n v="12"/>
    <x v="4"/>
    <x v="15"/>
    <x v="8"/>
    <n v="0"/>
    <n v="132860"/>
    <n v="-132860"/>
    <x v="0"/>
    <x v="1"/>
    <n v="592"/>
    <x v="54"/>
    <s v="IMPORTACIONES Y SERVICIOS ADVANCED COMPUTING TECHNOLOGIES S.A."/>
  </r>
  <r>
    <m/>
    <s v="TRASPASO"/>
    <d v="2022-12-12T00:00:00"/>
    <n v="12"/>
    <x v="0"/>
    <x v="13"/>
    <x v="8"/>
    <n v="249900"/>
    <n v="0"/>
    <n v="249900"/>
    <x v="0"/>
    <x v="1"/>
    <n v="594"/>
    <x v="47"/>
    <s v="TRAIL SPA"/>
  </r>
  <r>
    <m/>
    <s v="TRASPASO"/>
    <d v="2022-12-12T00:00:00"/>
    <n v="12"/>
    <x v="1"/>
    <x v="14"/>
    <x v="8"/>
    <n v="0"/>
    <n v="39900"/>
    <n v="-39900"/>
    <x v="0"/>
    <x v="1"/>
    <n v="594"/>
    <x v="47"/>
    <s v="TRAIL SPA"/>
  </r>
  <r>
    <m/>
    <s v="TRASPASO"/>
    <d v="2022-12-12T00:00:00"/>
    <n v="12"/>
    <x v="4"/>
    <x v="15"/>
    <x v="8"/>
    <n v="0"/>
    <n v="210000"/>
    <n v="-210000"/>
    <x v="0"/>
    <x v="1"/>
    <n v="594"/>
    <x v="47"/>
    <s v="TRAIL SPA"/>
  </r>
  <r>
    <m/>
    <s v="TRASPASO"/>
    <d v="2022-12-14T00:00:00"/>
    <n v="12"/>
    <x v="0"/>
    <x v="13"/>
    <x v="8"/>
    <n v="1331134"/>
    <n v="0"/>
    <n v="1331134"/>
    <x v="0"/>
    <x v="1"/>
    <n v="595"/>
    <x v="67"/>
    <s v="CLINICA SAN LORENZO LIMITADA"/>
  </r>
  <r>
    <m/>
    <s v="TRASPASO"/>
    <d v="2022-12-14T00:00:00"/>
    <n v="12"/>
    <x v="1"/>
    <x v="14"/>
    <x v="8"/>
    <n v="0"/>
    <n v="212534"/>
    <n v="-212534"/>
    <x v="0"/>
    <x v="1"/>
    <n v="595"/>
    <x v="67"/>
    <s v="CLINICA SAN LORENZO LIMITADA"/>
  </r>
  <r>
    <m/>
    <s v="TRASPASO"/>
    <d v="2022-12-14T00:00:00"/>
    <n v="12"/>
    <x v="4"/>
    <x v="15"/>
    <x v="8"/>
    <n v="0"/>
    <n v="1118600"/>
    <n v="-1118600"/>
    <x v="0"/>
    <x v="1"/>
    <n v="595"/>
    <x v="67"/>
    <s v="CLINICA SAN LORENZO LIMITADA"/>
  </r>
  <r>
    <m/>
    <s v="TRASPASO"/>
    <d v="2022-12-21T00:00:00"/>
    <n v="12"/>
    <x v="0"/>
    <x v="13"/>
    <x v="8"/>
    <n v="296667"/>
    <n v="0"/>
    <n v="296667"/>
    <x v="0"/>
    <x v="1"/>
    <n v="596"/>
    <x v="116"/>
    <s v="CHRISTENSEN CHILE S A"/>
  </r>
  <r>
    <m/>
    <s v="TRASPASO"/>
    <d v="2022-12-21T00:00:00"/>
    <n v="12"/>
    <x v="1"/>
    <x v="14"/>
    <x v="8"/>
    <n v="0"/>
    <n v="47367"/>
    <n v="-47367"/>
    <x v="0"/>
    <x v="1"/>
    <n v="596"/>
    <x v="116"/>
    <s v="CHRISTENSEN CHILE S A"/>
  </r>
  <r>
    <m/>
    <s v="TRASPASO"/>
    <d v="2022-12-21T00:00:00"/>
    <n v="12"/>
    <x v="4"/>
    <x v="15"/>
    <x v="8"/>
    <n v="0"/>
    <n v="249300"/>
    <n v="-249300"/>
    <x v="0"/>
    <x v="1"/>
    <n v="596"/>
    <x v="116"/>
    <s v="CHRISTENSEN CHILE S A"/>
  </r>
  <r>
    <m/>
    <s v="TRASPASO"/>
    <d v="2022-12-22T00:00:00"/>
    <n v="12"/>
    <x v="0"/>
    <x v="13"/>
    <x v="8"/>
    <n v="59976"/>
    <n v="0"/>
    <n v="59976"/>
    <x v="0"/>
    <x v="1"/>
    <n v="597"/>
    <x v="55"/>
    <s v="GVA TRADING SPA"/>
  </r>
  <r>
    <m/>
    <s v="TRASPASO"/>
    <d v="2022-12-22T00:00:00"/>
    <n v="12"/>
    <x v="1"/>
    <x v="14"/>
    <x v="8"/>
    <n v="0"/>
    <n v="9576"/>
    <n v="-9576"/>
    <x v="0"/>
    <x v="1"/>
    <n v="597"/>
    <x v="55"/>
    <s v="GVA TRADING SPA"/>
  </r>
  <r>
    <m/>
    <s v="TRASPASO"/>
    <d v="2022-12-22T00:00:00"/>
    <n v="12"/>
    <x v="4"/>
    <x v="15"/>
    <x v="8"/>
    <n v="0"/>
    <n v="50400"/>
    <n v="-50400"/>
    <x v="0"/>
    <x v="1"/>
    <n v="597"/>
    <x v="55"/>
    <s v="GVA TRADING SPA"/>
  </r>
  <r>
    <m/>
    <s v="TRASPASO"/>
    <d v="2022-12-23T00:00:00"/>
    <n v="12"/>
    <x v="0"/>
    <x v="13"/>
    <x v="8"/>
    <n v="309400"/>
    <n v="0"/>
    <n v="309400"/>
    <x v="0"/>
    <x v="1"/>
    <n v="598"/>
    <x v="47"/>
    <s v="TRAIL SPA"/>
  </r>
  <r>
    <m/>
    <s v="TRASPASO"/>
    <d v="2022-12-23T00:00:00"/>
    <n v="12"/>
    <x v="1"/>
    <x v="14"/>
    <x v="8"/>
    <n v="0"/>
    <n v="49400"/>
    <n v="-49400"/>
    <x v="0"/>
    <x v="1"/>
    <n v="598"/>
    <x v="47"/>
    <s v="TRAIL SPA"/>
  </r>
  <r>
    <m/>
    <s v="TRASPASO"/>
    <d v="2022-12-23T00:00:00"/>
    <n v="12"/>
    <x v="4"/>
    <x v="15"/>
    <x v="8"/>
    <n v="0"/>
    <n v="260000"/>
    <n v="-260000"/>
    <x v="0"/>
    <x v="1"/>
    <n v="598"/>
    <x v="47"/>
    <s v="TRAIL SPA"/>
  </r>
  <r>
    <m/>
    <s v="TRASPASO"/>
    <d v="2022-12-28T00:00:00"/>
    <n v="12"/>
    <x v="0"/>
    <x v="13"/>
    <x v="8"/>
    <n v="53431"/>
    <n v="0"/>
    <n v="53431"/>
    <x v="0"/>
    <x v="1"/>
    <n v="599"/>
    <x v="117"/>
    <s v="ESCUELAS DEPORTIVAS MONKEY ROCKERS SPA"/>
  </r>
  <r>
    <m/>
    <s v="TRASPASO"/>
    <d v="2022-12-28T00:00:00"/>
    <n v="12"/>
    <x v="1"/>
    <x v="14"/>
    <x v="8"/>
    <n v="0"/>
    <n v="8531"/>
    <n v="-8531"/>
    <x v="0"/>
    <x v="1"/>
    <n v="599"/>
    <x v="117"/>
    <s v="ESCUELAS DEPORTIVAS MONKEY ROCKERS SPA"/>
  </r>
  <r>
    <m/>
    <s v="TRASPASO"/>
    <d v="2022-12-28T00:00:00"/>
    <n v="12"/>
    <x v="4"/>
    <x v="15"/>
    <x v="8"/>
    <n v="0"/>
    <n v="44900"/>
    <n v="-44900"/>
    <x v="0"/>
    <x v="1"/>
    <n v="599"/>
    <x v="117"/>
    <s v="ESCUELAS DEPORTIVAS MONKEY ROCKERS SPA"/>
  </r>
  <r>
    <m/>
    <s v="TRASPASO"/>
    <d v="2022-12-28T00:00:00"/>
    <n v="12"/>
    <x v="0"/>
    <x v="13"/>
    <x v="8"/>
    <n v="440431"/>
    <n v="0"/>
    <n v="440431"/>
    <x v="0"/>
    <x v="1"/>
    <n v="600"/>
    <x v="118"/>
    <s v="KAUFMANN SA VEHICULOS MOTORIZADOS"/>
  </r>
  <r>
    <m/>
    <s v="TRASPASO"/>
    <d v="2022-12-28T00:00:00"/>
    <n v="12"/>
    <x v="1"/>
    <x v="14"/>
    <x v="8"/>
    <n v="0"/>
    <n v="70321"/>
    <n v="-70321"/>
    <x v="0"/>
    <x v="1"/>
    <n v="600"/>
    <x v="118"/>
    <s v="KAUFMANN SA VEHICULOS MOTORIZADOS"/>
  </r>
  <r>
    <m/>
    <s v="TRASPASO"/>
    <d v="2022-12-28T00:00:00"/>
    <n v="12"/>
    <x v="4"/>
    <x v="15"/>
    <x v="8"/>
    <n v="0"/>
    <n v="370110"/>
    <n v="-370110"/>
    <x v="0"/>
    <x v="1"/>
    <n v="600"/>
    <x v="118"/>
    <s v="KAUFMANN SA VEHICULOS MOTORIZADOS"/>
  </r>
  <r>
    <m/>
    <s v="TRASPASO"/>
    <d v="2022-12-28T00:00:00"/>
    <n v="12"/>
    <x v="0"/>
    <x v="13"/>
    <x v="8"/>
    <n v="583100"/>
    <n v="0"/>
    <n v="583100"/>
    <x v="0"/>
    <x v="1"/>
    <n v="601"/>
    <x v="119"/>
    <s v="CORPORACION EDUCACIONAL SAN ANDRES DE PENAFLOR"/>
  </r>
  <r>
    <m/>
    <s v="TRASPASO"/>
    <d v="2022-12-28T00:00:00"/>
    <n v="12"/>
    <x v="1"/>
    <x v="14"/>
    <x v="8"/>
    <n v="0"/>
    <n v="93100"/>
    <n v="-93100"/>
    <x v="0"/>
    <x v="1"/>
    <n v="601"/>
    <x v="119"/>
    <s v="CORPORACION EDUCACIONAL SAN ANDRES DE PENAFLOR"/>
  </r>
  <r>
    <m/>
    <s v="TRASPASO"/>
    <d v="2022-12-28T00:00:00"/>
    <n v="12"/>
    <x v="4"/>
    <x v="15"/>
    <x v="8"/>
    <n v="0"/>
    <n v="490000"/>
    <n v="-490000"/>
    <x v="0"/>
    <x v="1"/>
    <n v="601"/>
    <x v="119"/>
    <s v="CORPORACION EDUCACIONAL SAN ANDRES DE PENAFLOR"/>
  </r>
  <r>
    <m/>
    <s v="TRASPASO"/>
    <d v="2022-12-28T00:00:00"/>
    <n v="12"/>
    <x v="0"/>
    <x v="13"/>
    <x v="8"/>
    <n v="28322"/>
    <n v="0"/>
    <n v="28322"/>
    <x v="0"/>
    <x v="1"/>
    <n v="602"/>
    <x v="92"/>
    <s v="HORTIFRUT CHILE S A"/>
  </r>
  <r>
    <m/>
    <s v="TRASPASO"/>
    <d v="2022-12-28T00:00:00"/>
    <n v="12"/>
    <x v="1"/>
    <x v="14"/>
    <x v="8"/>
    <n v="0"/>
    <n v="4522"/>
    <n v="-4522"/>
    <x v="0"/>
    <x v="1"/>
    <n v="602"/>
    <x v="92"/>
    <s v="HORTIFRUT CHILE S A"/>
  </r>
  <r>
    <m/>
    <s v="TRASPASO"/>
    <d v="2022-12-28T00:00:00"/>
    <n v="12"/>
    <x v="4"/>
    <x v="15"/>
    <x v="8"/>
    <n v="0"/>
    <n v="23800"/>
    <n v="-23800"/>
    <x v="0"/>
    <x v="1"/>
    <n v="602"/>
    <x v="92"/>
    <s v="HORTIFRUT CHILE S A"/>
  </r>
  <r>
    <m/>
    <s v="TRASPASO"/>
    <d v="2022-12-30T00:00:00"/>
    <n v="12"/>
    <x v="0"/>
    <x v="13"/>
    <x v="8"/>
    <n v="0"/>
    <n v="296667"/>
    <n v="-296667"/>
    <x v="0"/>
    <x v="2"/>
    <n v="25"/>
    <x v="116"/>
    <s v="CHRISTENSEN CHILE S A"/>
  </r>
  <r>
    <m/>
    <s v="TRASPASO"/>
    <d v="2022-12-30T00:00:00"/>
    <n v="12"/>
    <x v="1"/>
    <x v="14"/>
    <x v="8"/>
    <n v="47367"/>
    <n v="0"/>
    <n v="47367"/>
    <x v="0"/>
    <x v="2"/>
    <n v="25"/>
    <x v="116"/>
    <s v="CHRISTENSEN CHILE S A"/>
  </r>
  <r>
    <m/>
    <s v="TRASPASO"/>
    <d v="2022-12-30T00:00:00"/>
    <n v="12"/>
    <x v="4"/>
    <x v="15"/>
    <x v="8"/>
    <n v="249300"/>
    <n v="0"/>
    <n v="249300"/>
    <x v="0"/>
    <x v="2"/>
    <n v="25"/>
    <x v="116"/>
    <s v="CHRISTENSEN CHILE S A"/>
  </r>
  <r>
    <m/>
    <s v="INGRESO"/>
    <d v="2022-01-03T00:00:00"/>
    <n v="1"/>
    <x v="0"/>
    <x v="13"/>
    <x v="9"/>
    <n v="0"/>
    <n v="464171"/>
    <n v="-464171"/>
    <x v="0"/>
    <x v="1"/>
    <n v="441"/>
    <x v="42"/>
    <s v="IDIX CHILE SPA"/>
  </r>
  <r>
    <m/>
    <s v="INGRESO"/>
    <d v="2022-01-03T00:00:00"/>
    <n v="1"/>
    <x v="0"/>
    <x v="0"/>
    <x v="9"/>
    <n v="464171"/>
    <n v="0"/>
    <n v="464171"/>
    <x v="0"/>
    <x v="1"/>
    <n v="441"/>
    <x v="42"/>
    <s v="IDIX CHILE SPA"/>
  </r>
  <r>
    <m/>
    <s v="INGRESO"/>
    <d v="2022-01-03T00:00:00"/>
    <n v="1"/>
    <x v="0"/>
    <x v="13"/>
    <x v="9"/>
    <n v="0"/>
    <n v="170658"/>
    <n v="-170658"/>
    <x v="0"/>
    <x v="1"/>
    <n v="442"/>
    <x v="43"/>
    <s v="COMUNIDAD EDIFICIO GRAN AVENIDA 6001"/>
  </r>
  <r>
    <m/>
    <s v="INGRESO"/>
    <d v="2022-01-03T00:00:00"/>
    <n v="1"/>
    <x v="0"/>
    <x v="0"/>
    <x v="9"/>
    <n v="170658"/>
    <n v="0"/>
    <n v="170658"/>
    <x v="0"/>
    <x v="1"/>
    <n v="442"/>
    <x v="43"/>
    <s v="COMUNIDAD EDIFICIO GRAN AVENIDA 6001"/>
  </r>
  <r>
    <m/>
    <s v="INGRESO"/>
    <d v="2022-01-03T00:00:00"/>
    <n v="1"/>
    <x v="0"/>
    <x v="13"/>
    <x v="9"/>
    <n v="0"/>
    <n v="395830"/>
    <n v="-395830"/>
    <x v="0"/>
    <x v="1"/>
    <n v="443"/>
    <x v="44"/>
    <s v="GASTRONOMICA TRES CABEZAS SPA"/>
  </r>
  <r>
    <m/>
    <s v="INGRESO"/>
    <d v="2022-01-03T00:00:00"/>
    <n v="1"/>
    <x v="0"/>
    <x v="0"/>
    <x v="9"/>
    <n v="395830"/>
    <n v="0"/>
    <n v="395830"/>
    <x v="0"/>
    <x v="1"/>
    <n v="443"/>
    <x v="44"/>
    <s v="GASTRONOMICA TRES CABEZAS SPA"/>
  </r>
  <r>
    <m/>
    <s v="INGRESO"/>
    <d v="2022-01-03T00:00:00"/>
    <n v="1"/>
    <x v="0"/>
    <x v="13"/>
    <x v="9"/>
    <n v="0"/>
    <n v="338793"/>
    <n v="-338793"/>
    <x v="0"/>
    <x v="1"/>
    <n v="445"/>
    <x v="45"/>
    <s v="META-GROUP SUMINISTROS DE PERSONAL Y MARKETING SPA"/>
  </r>
  <r>
    <m/>
    <s v="INGRESO"/>
    <d v="2022-01-03T00:00:00"/>
    <n v="1"/>
    <x v="0"/>
    <x v="0"/>
    <x v="9"/>
    <n v="338793"/>
    <n v="0"/>
    <n v="338793"/>
    <x v="0"/>
    <x v="1"/>
    <n v="445"/>
    <x v="45"/>
    <s v="META-GROUP SUMINISTROS DE PERSONAL Y MARKETING SPA"/>
  </r>
  <r>
    <m/>
    <s v="INGRESO"/>
    <d v="2022-01-10T00:00:00"/>
    <n v="1"/>
    <x v="0"/>
    <x v="13"/>
    <x v="9"/>
    <n v="0"/>
    <n v="35700"/>
    <n v="-35700"/>
    <x v="0"/>
    <x v="1"/>
    <n v="446"/>
    <x v="46"/>
    <s v="PROTEPP SPA"/>
  </r>
  <r>
    <m/>
    <s v="INGRESO"/>
    <d v="2022-01-10T00:00:00"/>
    <n v="1"/>
    <x v="0"/>
    <x v="0"/>
    <x v="9"/>
    <n v="35700"/>
    <n v="0"/>
    <n v="35700"/>
    <x v="0"/>
    <x v="1"/>
    <n v="446"/>
    <x v="46"/>
    <s v="PROTEPP SPA"/>
  </r>
  <r>
    <m/>
    <s v="INGRESO"/>
    <d v="2022-01-14T00:00:00"/>
    <n v="1"/>
    <x v="0"/>
    <x v="13"/>
    <x v="9"/>
    <n v="0"/>
    <n v="104720"/>
    <n v="-104720"/>
    <x v="0"/>
    <x v="1"/>
    <n v="451"/>
    <x v="47"/>
    <s v="TRAIL SPA"/>
  </r>
  <r>
    <m/>
    <s v="INGRESO"/>
    <d v="2022-01-14T00:00:00"/>
    <n v="1"/>
    <x v="0"/>
    <x v="0"/>
    <x v="9"/>
    <n v="104720"/>
    <n v="0"/>
    <n v="104720"/>
    <x v="0"/>
    <x v="1"/>
    <n v="451"/>
    <x v="47"/>
    <s v="TRAIL SPA"/>
  </r>
  <r>
    <m/>
    <s v="INGRESO"/>
    <d v="2022-01-14T00:00:00"/>
    <n v="1"/>
    <x v="0"/>
    <x v="13"/>
    <x v="9"/>
    <n v="0"/>
    <n v="224910"/>
    <n v="-224910"/>
    <x v="0"/>
    <x v="1"/>
    <n v="452"/>
    <x v="47"/>
    <s v="TRAIL SPA"/>
  </r>
  <r>
    <m/>
    <s v="INGRESO"/>
    <d v="2022-01-14T00:00:00"/>
    <n v="1"/>
    <x v="0"/>
    <x v="0"/>
    <x v="9"/>
    <n v="224910"/>
    <n v="0"/>
    <n v="224910"/>
    <x v="0"/>
    <x v="1"/>
    <n v="452"/>
    <x v="47"/>
    <s v="TRAIL SPA"/>
  </r>
  <r>
    <m/>
    <s v="INGRESO"/>
    <d v="2022-01-17T00:00:00"/>
    <n v="1"/>
    <x v="0"/>
    <x v="13"/>
    <x v="9"/>
    <n v="0"/>
    <n v="3535728"/>
    <n v="-3535728"/>
    <x v="0"/>
    <x v="1"/>
    <n v="453"/>
    <x v="48"/>
    <s v="BARRY CALLEBAUT CHILE SPA"/>
  </r>
  <r>
    <m/>
    <s v="INGRESO"/>
    <d v="2022-01-17T00:00:00"/>
    <n v="1"/>
    <x v="0"/>
    <x v="0"/>
    <x v="9"/>
    <n v="3535728"/>
    <n v="0"/>
    <n v="3535728"/>
    <x v="0"/>
    <x v="1"/>
    <n v="453"/>
    <x v="48"/>
    <s v="BARRY CALLEBAUT CHILE SPA"/>
  </r>
  <r>
    <m/>
    <s v="INGRESO"/>
    <d v="2022-01-17T00:00:00"/>
    <n v="1"/>
    <x v="0"/>
    <x v="13"/>
    <x v="9"/>
    <n v="0"/>
    <n v="940100"/>
    <n v="-940100"/>
    <x v="0"/>
    <x v="1"/>
    <n v="454"/>
    <x v="48"/>
    <s v="BARRY CALLEBAUT CHILE SPA"/>
  </r>
  <r>
    <m/>
    <s v="INGRESO"/>
    <d v="2022-01-17T00:00:00"/>
    <n v="1"/>
    <x v="0"/>
    <x v="0"/>
    <x v="9"/>
    <n v="940100"/>
    <n v="0"/>
    <n v="940100"/>
    <x v="0"/>
    <x v="1"/>
    <n v="454"/>
    <x v="48"/>
    <s v="BARRY CALLEBAUT CHILE SPA"/>
  </r>
  <r>
    <m/>
    <s v="INGRESO"/>
    <d v="2022-01-24T00:00:00"/>
    <n v="1"/>
    <x v="0"/>
    <x v="13"/>
    <x v="9"/>
    <n v="0"/>
    <n v="385132"/>
    <n v="-385132"/>
    <x v="0"/>
    <x v="1"/>
    <n v="455"/>
    <x v="49"/>
    <s v="TRANSPORTES LUCIANO ESPINOZA E.I.R.L."/>
  </r>
  <r>
    <m/>
    <s v="INGRESO"/>
    <d v="2022-01-24T00:00:00"/>
    <n v="1"/>
    <x v="0"/>
    <x v="0"/>
    <x v="9"/>
    <n v="385132"/>
    <n v="0"/>
    <n v="385132"/>
    <x v="0"/>
    <x v="1"/>
    <n v="455"/>
    <x v="49"/>
    <s v="TRANSPORTES LUCIANO ESPINOZA E.I.R.L."/>
  </r>
  <r>
    <m/>
    <s v="INGRESO"/>
    <d v="2022-01-31T00:00:00"/>
    <n v="1"/>
    <x v="0"/>
    <x v="13"/>
    <x v="9"/>
    <n v="0"/>
    <n v="279293"/>
    <n v="-279293"/>
    <x v="0"/>
    <x v="1"/>
    <n v="456"/>
    <x v="50"/>
    <s v="ROLANDO BURGOS E.I.R.L."/>
  </r>
  <r>
    <m/>
    <s v="INGRESO"/>
    <d v="2022-01-31T00:00:00"/>
    <n v="1"/>
    <x v="0"/>
    <x v="0"/>
    <x v="9"/>
    <n v="279293"/>
    <n v="0"/>
    <n v="279293"/>
    <x v="0"/>
    <x v="1"/>
    <n v="456"/>
    <x v="50"/>
    <s v="ROLANDO BURGOS E.I.R.L."/>
  </r>
  <r>
    <m/>
    <s v="INGRESO"/>
    <d v="2022-01-03T00:00:00"/>
    <n v="1"/>
    <x v="0"/>
    <x v="13"/>
    <x v="9"/>
    <n v="464171"/>
    <n v="0"/>
    <n v="464171"/>
    <x v="0"/>
    <x v="2"/>
    <n v="21"/>
    <x v="51"/>
    <s v="SERGIO MIGUEL ARAYA JORGE"/>
  </r>
  <r>
    <m/>
    <s v="INGRESO"/>
    <d v="2022-01-03T00:00:00"/>
    <n v="1"/>
    <x v="0"/>
    <x v="0"/>
    <x v="9"/>
    <n v="0"/>
    <n v="464171"/>
    <n v="-464171"/>
    <x v="0"/>
    <x v="2"/>
    <n v="21"/>
    <x v="51"/>
    <s v="SERGIO MIGUEL ARAYA JORGE"/>
  </r>
  <r>
    <m/>
    <s v="INGRESO"/>
    <d v="2022-02-04T00:00:00"/>
    <n v="2"/>
    <x v="0"/>
    <x v="13"/>
    <x v="9"/>
    <n v="0"/>
    <n v="291550"/>
    <n v="-291550"/>
    <x v="0"/>
    <x v="1"/>
    <n v="457"/>
    <x v="52"/>
    <s v="GALILEA S A DE INGENIERIA Y CONSTRUCCION"/>
  </r>
  <r>
    <m/>
    <s v="INGRESO"/>
    <d v="2022-02-04T00:00:00"/>
    <n v="2"/>
    <x v="0"/>
    <x v="0"/>
    <x v="9"/>
    <n v="291550"/>
    <n v="0"/>
    <n v="291550"/>
    <x v="0"/>
    <x v="1"/>
    <n v="457"/>
    <x v="52"/>
    <s v="GALILEA S A DE INGENIERIA Y CONSTRUCCION"/>
  </r>
  <r>
    <m/>
    <s v="INGRESO"/>
    <d v="2022-02-04T00:00:00"/>
    <n v="2"/>
    <x v="0"/>
    <x v="13"/>
    <x v="9"/>
    <n v="0"/>
    <n v="291550"/>
    <n v="-291550"/>
    <x v="0"/>
    <x v="1"/>
    <n v="458"/>
    <x v="52"/>
    <s v="GALILEA S A DE INGENIERIA Y CONSTRUCCION"/>
  </r>
  <r>
    <m/>
    <s v="INGRESO"/>
    <d v="2022-02-04T00:00:00"/>
    <n v="2"/>
    <x v="0"/>
    <x v="0"/>
    <x v="9"/>
    <n v="291550"/>
    <n v="0"/>
    <n v="291550"/>
    <x v="0"/>
    <x v="1"/>
    <n v="458"/>
    <x v="52"/>
    <s v="GALILEA S A DE INGENIERIA Y CONSTRUCCION"/>
  </r>
  <r>
    <m/>
    <s v="INGRESO"/>
    <d v="2022-02-04T00:00:00"/>
    <n v="2"/>
    <x v="0"/>
    <x v="13"/>
    <x v="9"/>
    <n v="0"/>
    <n v="338793"/>
    <n v="-338793"/>
    <x v="0"/>
    <x v="1"/>
    <n v="459"/>
    <x v="45"/>
    <s v="META-GROUP SUMINISTROS DE PERSONAL Y MARKETING SPA"/>
  </r>
  <r>
    <m/>
    <s v="INGRESO"/>
    <d v="2022-02-04T00:00:00"/>
    <n v="2"/>
    <x v="0"/>
    <x v="0"/>
    <x v="9"/>
    <n v="338793"/>
    <n v="0"/>
    <n v="338793"/>
    <x v="0"/>
    <x v="1"/>
    <n v="459"/>
    <x v="45"/>
    <s v="META-GROUP SUMINISTROS DE PERSONAL Y MARKETING SPA"/>
  </r>
  <r>
    <m/>
    <s v="INGRESO"/>
    <d v="2022-02-16T00:00:00"/>
    <n v="2"/>
    <x v="0"/>
    <x v="13"/>
    <x v="9"/>
    <n v="0"/>
    <n v="108290"/>
    <n v="-108290"/>
    <x v="0"/>
    <x v="1"/>
    <n v="460"/>
    <x v="47"/>
    <s v="TRAIL SPA"/>
  </r>
  <r>
    <m/>
    <s v="INGRESO"/>
    <d v="2022-02-16T00:00:00"/>
    <n v="2"/>
    <x v="0"/>
    <x v="0"/>
    <x v="9"/>
    <n v="108290"/>
    <n v="0"/>
    <n v="108290"/>
    <x v="0"/>
    <x v="1"/>
    <n v="460"/>
    <x v="47"/>
    <s v="TRAIL SPA"/>
  </r>
  <r>
    <m/>
    <s v="INGRESO"/>
    <d v="2022-02-17T00:00:00"/>
    <n v="2"/>
    <x v="0"/>
    <x v="13"/>
    <x v="9"/>
    <n v="0"/>
    <n v="146810"/>
    <n v="-146810"/>
    <x v="0"/>
    <x v="1"/>
    <n v="461"/>
    <x v="53"/>
    <s v="ISLA GOURMET SPA"/>
  </r>
  <r>
    <m/>
    <s v="INGRESO"/>
    <d v="2022-02-17T00:00:00"/>
    <n v="2"/>
    <x v="0"/>
    <x v="0"/>
    <x v="9"/>
    <n v="146810"/>
    <n v="0"/>
    <n v="146810"/>
    <x v="0"/>
    <x v="1"/>
    <n v="461"/>
    <x v="53"/>
    <s v="ISLA GOURMET SPA"/>
  </r>
  <r>
    <m/>
    <s v="INGRESO"/>
    <d v="2022-02-17T00:00:00"/>
    <n v="2"/>
    <x v="0"/>
    <x v="13"/>
    <x v="9"/>
    <n v="0"/>
    <n v="45172"/>
    <n v="-45172"/>
    <x v="0"/>
    <x v="1"/>
    <n v="462"/>
    <x v="54"/>
    <s v="IMPORTACIONES Y SERVICIOS ADVANCED COMPUTING TECHNOLOGIES S.A."/>
  </r>
  <r>
    <m/>
    <s v="INGRESO"/>
    <d v="2022-02-17T00:00:00"/>
    <n v="2"/>
    <x v="0"/>
    <x v="0"/>
    <x v="9"/>
    <n v="45172"/>
    <n v="0"/>
    <n v="45172"/>
    <x v="0"/>
    <x v="1"/>
    <n v="462"/>
    <x v="54"/>
    <s v="IMPORTACIONES Y SERVICIOS ADVANCED COMPUTING TECHNOLOGIES S.A."/>
  </r>
  <r>
    <m/>
    <s v="INGRESO"/>
    <d v="2022-02-25T00:00:00"/>
    <n v="2"/>
    <x v="0"/>
    <x v="13"/>
    <x v="9"/>
    <n v="0"/>
    <n v="2705893"/>
    <n v="-2705893"/>
    <x v="0"/>
    <x v="1"/>
    <n v="463"/>
    <x v="55"/>
    <s v="GVA TRADING SPA"/>
  </r>
  <r>
    <m/>
    <s v="INGRESO"/>
    <d v="2022-02-25T00:00:00"/>
    <n v="2"/>
    <x v="0"/>
    <x v="0"/>
    <x v="9"/>
    <n v="2705893"/>
    <n v="0"/>
    <n v="2705893"/>
    <x v="0"/>
    <x v="1"/>
    <n v="463"/>
    <x v="55"/>
    <s v="GVA TRADING SPA"/>
  </r>
  <r>
    <m/>
    <s v="INGRESO"/>
    <d v="2022-02-28T00:00:00"/>
    <n v="2"/>
    <x v="0"/>
    <x v="13"/>
    <x v="9"/>
    <n v="0"/>
    <n v="135517"/>
    <n v="-135517"/>
    <x v="0"/>
    <x v="1"/>
    <n v="464"/>
    <x v="54"/>
    <s v="IMPORTACIONES Y SERVICIOS ADVANCED COMPUTING TECHNOLOGIES S.A."/>
  </r>
  <r>
    <m/>
    <s v="INGRESO"/>
    <d v="2022-02-28T00:00:00"/>
    <n v="2"/>
    <x v="0"/>
    <x v="0"/>
    <x v="9"/>
    <n v="135517"/>
    <n v="0"/>
    <n v="135517"/>
    <x v="0"/>
    <x v="1"/>
    <n v="464"/>
    <x v="54"/>
    <s v="IMPORTACIONES Y SERVICIOS ADVANCED COMPUTING TECHNOLOGIES S.A."/>
  </r>
  <r>
    <m/>
    <s v="INGRESO"/>
    <d v="2022-02-28T00:00:00"/>
    <n v="2"/>
    <x v="0"/>
    <x v="13"/>
    <x v="9"/>
    <n v="0"/>
    <n v="192566"/>
    <n v="-192566"/>
    <x v="0"/>
    <x v="1"/>
    <n v="465"/>
    <x v="56"/>
    <s v="BODEGAS TAGUA TAGUA SPA"/>
  </r>
  <r>
    <m/>
    <s v="INGRESO"/>
    <d v="2022-02-28T00:00:00"/>
    <n v="2"/>
    <x v="0"/>
    <x v="0"/>
    <x v="9"/>
    <n v="192566"/>
    <n v="0"/>
    <n v="192566"/>
    <x v="0"/>
    <x v="1"/>
    <n v="465"/>
    <x v="56"/>
    <s v="BODEGAS TAGUA TAGUA SPA"/>
  </r>
  <r>
    <m/>
    <s v="INGRESO"/>
    <d v="2022-03-04T00:00:00"/>
    <n v="3"/>
    <x v="0"/>
    <x v="13"/>
    <x v="9"/>
    <n v="0"/>
    <n v="141467"/>
    <n v="-141467"/>
    <x v="0"/>
    <x v="1"/>
    <n v="466"/>
    <x v="57"/>
    <s v="AUTOMATIZATE SPA"/>
  </r>
  <r>
    <m/>
    <s v="INGRESO"/>
    <d v="2022-03-04T00:00:00"/>
    <n v="3"/>
    <x v="0"/>
    <x v="0"/>
    <x v="9"/>
    <n v="141467"/>
    <n v="0"/>
    <n v="141467"/>
    <x v="0"/>
    <x v="1"/>
    <n v="466"/>
    <x v="57"/>
    <s v="AUTOMATIZATE SPA"/>
  </r>
  <r>
    <m/>
    <s v="INGRESO"/>
    <d v="2022-03-07T00:00:00"/>
    <n v="3"/>
    <x v="0"/>
    <x v="13"/>
    <x v="9"/>
    <n v="0"/>
    <n v="176715"/>
    <n v="-176715"/>
    <x v="0"/>
    <x v="1"/>
    <n v="467"/>
    <x v="58"/>
    <s v="AXEI MARKETING DIGITAL CHILE SPA"/>
  </r>
  <r>
    <m/>
    <s v="INGRESO"/>
    <d v="2022-03-07T00:00:00"/>
    <n v="3"/>
    <x v="0"/>
    <x v="0"/>
    <x v="9"/>
    <n v="176715"/>
    <n v="0"/>
    <n v="176715"/>
    <x v="0"/>
    <x v="1"/>
    <n v="467"/>
    <x v="58"/>
    <s v="AXEI MARKETING DIGITAL CHILE SPA"/>
  </r>
  <r>
    <m/>
    <s v="INGRESO"/>
    <d v="2022-03-15T00:00:00"/>
    <n v="3"/>
    <x v="0"/>
    <x v="13"/>
    <x v="9"/>
    <n v="0"/>
    <n v="64117"/>
    <n v="-64117"/>
    <x v="0"/>
    <x v="1"/>
    <n v="468"/>
    <x v="59"/>
    <s v="SOCIEDAD E INVERSIONES SPIRALWAY SPA"/>
  </r>
  <r>
    <m/>
    <s v="INGRESO"/>
    <d v="2022-03-15T00:00:00"/>
    <n v="3"/>
    <x v="0"/>
    <x v="0"/>
    <x v="9"/>
    <n v="64117"/>
    <n v="0"/>
    <n v="64117"/>
    <x v="0"/>
    <x v="1"/>
    <n v="468"/>
    <x v="59"/>
    <s v="SOCIEDAD E INVERSIONES SPIRALWAY SPA"/>
  </r>
  <r>
    <m/>
    <s v="INGRESO"/>
    <d v="2022-03-15T00:00:00"/>
    <n v="3"/>
    <x v="0"/>
    <x v="13"/>
    <x v="9"/>
    <n v="0"/>
    <n v="94962"/>
    <n v="-94962"/>
    <x v="0"/>
    <x v="1"/>
    <n v="469"/>
    <x v="50"/>
    <s v="ROLANDO BURGOS E.I.R.L."/>
  </r>
  <r>
    <m/>
    <s v="INGRESO"/>
    <d v="2022-03-15T00:00:00"/>
    <n v="3"/>
    <x v="0"/>
    <x v="0"/>
    <x v="9"/>
    <n v="94962"/>
    <n v="0"/>
    <n v="94962"/>
    <x v="0"/>
    <x v="1"/>
    <n v="469"/>
    <x v="50"/>
    <s v="ROLANDO BURGOS E.I.R.L."/>
  </r>
  <r>
    <m/>
    <s v="INGRESO"/>
    <d v="2022-03-17T00:00:00"/>
    <n v="3"/>
    <x v="0"/>
    <x v="13"/>
    <x v="9"/>
    <n v="0"/>
    <n v="102935"/>
    <n v="-102935"/>
    <x v="0"/>
    <x v="1"/>
    <n v="470"/>
    <x v="60"/>
    <s v="MUEBLES MARCO ANTONIO REYES VALDES E.I.R.L."/>
  </r>
  <r>
    <m/>
    <s v="INGRESO"/>
    <d v="2022-03-17T00:00:00"/>
    <n v="3"/>
    <x v="0"/>
    <x v="0"/>
    <x v="9"/>
    <n v="102935"/>
    <n v="0"/>
    <n v="102935"/>
    <x v="0"/>
    <x v="1"/>
    <n v="470"/>
    <x v="60"/>
    <s v="MUEBLES MARCO ANTONIO REYES VALDES E.I.R.L."/>
  </r>
  <r>
    <m/>
    <s v="INGRESO"/>
    <d v="2022-03-18T00:00:00"/>
    <n v="3"/>
    <x v="0"/>
    <x v="13"/>
    <x v="9"/>
    <n v="0"/>
    <n v="212058"/>
    <n v="-212058"/>
    <x v="0"/>
    <x v="1"/>
    <n v="471"/>
    <x v="61"/>
    <s v="SERVICIO AEROFOTOGRAMETRICO DEL GENERAL JUAN SOLER MANFREDINI"/>
  </r>
  <r>
    <m/>
    <s v="INGRESO"/>
    <d v="2022-03-18T00:00:00"/>
    <n v="3"/>
    <x v="0"/>
    <x v="0"/>
    <x v="9"/>
    <n v="212058"/>
    <n v="0"/>
    <n v="212058"/>
    <x v="0"/>
    <x v="1"/>
    <n v="471"/>
    <x v="61"/>
    <s v="SERVICIO AEROFOTOGRAMETRICO DEL GENERAL JUAN SOLER MANFREDINI"/>
  </r>
  <r>
    <m/>
    <s v="INGRESO"/>
    <d v="2022-03-22T00:00:00"/>
    <n v="3"/>
    <x v="0"/>
    <x v="13"/>
    <x v="9"/>
    <n v="0"/>
    <n v="203490"/>
    <n v="-203490"/>
    <x v="0"/>
    <x v="1"/>
    <n v="472"/>
    <x v="62"/>
    <s v="JIMENEZ Y GALVEZ, TRANSPORTES Y SERVICIOS LIMITADA"/>
  </r>
  <r>
    <m/>
    <s v="INGRESO"/>
    <d v="2022-03-22T00:00:00"/>
    <n v="3"/>
    <x v="0"/>
    <x v="0"/>
    <x v="9"/>
    <n v="203490"/>
    <n v="0"/>
    <n v="203490"/>
    <x v="0"/>
    <x v="1"/>
    <n v="472"/>
    <x v="62"/>
    <s v="JIMENEZ Y GALVEZ, TRANSPORTES Y SERVICIOS LIMITADA"/>
  </r>
  <r>
    <m/>
    <s v="INGRESO"/>
    <d v="2022-03-25T00:00:00"/>
    <n v="3"/>
    <x v="0"/>
    <x v="13"/>
    <x v="9"/>
    <n v="0"/>
    <n v="200848"/>
    <n v="-200848"/>
    <x v="0"/>
    <x v="1"/>
    <n v="474"/>
    <x v="63"/>
    <s v="JF COLLECTION SPA"/>
  </r>
  <r>
    <m/>
    <s v="INGRESO"/>
    <d v="2022-03-25T00:00:00"/>
    <n v="3"/>
    <x v="0"/>
    <x v="0"/>
    <x v="9"/>
    <n v="200848"/>
    <n v="0"/>
    <n v="200848"/>
    <x v="0"/>
    <x v="1"/>
    <n v="474"/>
    <x v="63"/>
    <s v="JF COLLECTION SPA"/>
  </r>
  <r>
    <m/>
    <s v="INGRESO"/>
    <d v="2022-03-25T00:00:00"/>
    <n v="3"/>
    <x v="0"/>
    <x v="13"/>
    <x v="9"/>
    <n v="0"/>
    <n v="188496"/>
    <n v="-188496"/>
    <x v="0"/>
    <x v="1"/>
    <n v="475"/>
    <x v="54"/>
    <s v="IMPORTACIONES Y SERVICIOS ADVANCED COMPUTING TECHNOLOGIES S.A."/>
  </r>
  <r>
    <m/>
    <s v="INGRESO"/>
    <d v="2022-03-25T00:00:00"/>
    <n v="3"/>
    <x v="0"/>
    <x v="0"/>
    <x v="9"/>
    <n v="188496"/>
    <n v="0"/>
    <n v="188496"/>
    <x v="0"/>
    <x v="1"/>
    <n v="475"/>
    <x v="54"/>
    <s v="IMPORTACIONES Y SERVICIOS ADVANCED COMPUTING TECHNOLOGIES S.A."/>
  </r>
  <r>
    <m/>
    <s v="INGRESO"/>
    <d v="2022-03-25T00:00:00"/>
    <n v="3"/>
    <x v="0"/>
    <x v="13"/>
    <x v="9"/>
    <n v="0"/>
    <n v="164934"/>
    <n v="-164934"/>
    <x v="0"/>
    <x v="1"/>
    <n v="476"/>
    <x v="54"/>
    <s v="IMPORTACIONES Y SERVICIOS ADVANCED COMPUTING TECHNOLOGIES S.A."/>
  </r>
  <r>
    <m/>
    <s v="INGRESO"/>
    <d v="2022-03-25T00:00:00"/>
    <n v="3"/>
    <x v="0"/>
    <x v="0"/>
    <x v="9"/>
    <n v="164934"/>
    <n v="0"/>
    <n v="164934"/>
    <x v="0"/>
    <x v="1"/>
    <n v="476"/>
    <x v="54"/>
    <s v="IMPORTACIONES Y SERVICIOS ADVANCED COMPUTING TECHNOLOGIES S.A."/>
  </r>
  <r>
    <m/>
    <s v="INGRESO"/>
    <d v="2022-03-25T00:00:00"/>
    <n v="3"/>
    <x v="0"/>
    <x v="13"/>
    <x v="9"/>
    <n v="0"/>
    <n v="47124"/>
    <n v="-47124"/>
    <x v="0"/>
    <x v="1"/>
    <n v="477"/>
    <x v="54"/>
    <s v="IMPORTACIONES Y SERVICIOS ADVANCED COMPUTING TECHNOLOGIES S.A."/>
  </r>
  <r>
    <m/>
    <s v="INGRESO"/>
    <d v="2022-03-25T00:00:00"/>
    <n v="3"/>
    <x v="0"/>
    <x v="0"/>
    <x v="9"/>
    <n v="47124"/>
    <n v="0"/>
    <n v="47124"/>
    <x v="0"/>
    <x v="1"/>
    <n v="477"/>
    <x v="54"/>
    <s v="IMPORTACIONES Y SERVICIOS ADVANCED COMPUTING TECHNOLOGIES S.A."/>
  </r>
  <r>
    <m/>
    <s v="INGRESO"/>
    <d v="2022-03-25T00:00:00"/>
    <n v="3"/>
    <x v="0"/>
    <x v="13"/>
    <x v="9"/>
    <n v="0"/>
    <n v="141372"/>
    <n v="-141372"/>
    <x v="0"/>
    <x v="1"/>
    <n v="478"/>
    <x v="54"/>
    <s v="IMPORTACIONES Y SERVICIOS ADVANCED COMPUTING TECHNOLOGIES S.A."/>
  </r>
  <r>
    <m/>
    <s v="INGRESO"/>
    <d v="2022-03-25T00:00:00"/>
    <n v="3"/>
    <x v="0"/>
    <x v="0"/>
    <x v="9"/>
    <n v="141372"/>
    <n v="0"/>
    <n v="141372"/>
    <x v="0"/>
    <x v="1"/>
    <n v="478"/>
    <x v="54"/>
    <s v="IMPORTACIONES Y SERVICIOS ADVANCED COMPUTING TECHNOLOGIES S.A."/>
  </r>
  <r>
    <m/>
    <s v="INGRESO"/>
    <d v="2022-03-25T00:00:00"/>
    <n v="3"/>
    <x v="0"/>
    <x v="13"/>
    <x v="9"/>
    <n v="0"/>
    <n v="70686"/>
    <n v="-70686"/>
    <x v="0"/>
    <x v="1"/>
    <n v="479"/>
    <x v="54"/>
    <s v="IMPORTACIONES Y SERVICIOS ADVANCED COMPUTING TECHNOLOGIES S.A."/>
  </r>
  <r>
    <m/>
    <s v="INGRESO"/>
    <d v="2022-03-25T00:00:00"/>
    <n v="3"/>
    <x v="0"/>
    <x v="0"/>
    <x v="9"/>
    <n v="70686"/>
    <n v="0"/>
    <n v="70686"/>
    <x v="0"/>
    <x v="1"/>
    <n v="479"/>
    <x v="54"/>
    <s v="IMPORTACIONES Y SERVICIOS ADVANCED COMPUTING TECHNOLOGIES S.A."/>
  </r>
  <r>
    <m/>
    <s v="INGRESO"/>
    <d v="2022-03-28T00:00:00"/>
    <n v="3"/>
    <x v="0"/>
    <x v="13"/>
    <x v="9"/>
    <n v="0"/>
    <n v="169397"/>
    <n v="-169397"/>
    <x v="0"/>
    <x v="1"/>
    <n v="480"/>
    <x v="64"/>
    <s v="MIXX MARKETING Y PUBLICIDAD LIMITADA"/>
  </r>
  <r>
    <m/>
    <s v="INGRESO"/>
    <d v="2022-03-28T00:00:00"/>
    <n v="3"/>
    <x v="0"/>
    <x v="0"/>
    <x v="9"/>
    <n v="169397"/>
    <n v="0"/>
    <n v="169397"/>
    <x v="0"/>
    <x v="1"/>
    <n v="480"/>
    <x v="64"/>
    <s v="MIXX MARKETING Y PUBLICIDAD LIMITADA"/>
  </r>
  <r>
    <m/>
    <s v="INGRESO"/>
    <d v="2022-03-28T00:00:00"/>
    <n v="3"/>
    <x v="0"/>
    <x v="13"/>
    <x v="9"/>
    <n v="0"/>
    <n v="118881"/>
    <n v="-118881"/>
    <x v="0"/>
    <x v="1"/>
    <n v="482"/>
    <x v="56"/>
    <s v="BODEGAS TAGUA TAGUA SPA"/>
  </r>
  <r>
    <m/>
    <s v="INGRESO"/>
    <d v="2022-03-28T00:00:00"/>
    <n v="3"/>
    <x v="0"/>
    <x v="0"/>
    <x v="9"/>
    <n v="118881"/>
    <n v="0"/>
    <n v="118881"/>
    <x v="0"/>
    <x v="1"/>
    <n v="482"/>
    <x v="56"/>
    <s v="BODEGAS TAGUA TAGUA SPA"/>
  </r>
  <r>
    <m/>
    <s v="INGRESO"/>
    <d v="2022-03-29T00:00:00"/>
    <n v="3"/>
    <x v="0"/>
    <x v="13"/>
    <x v="9"/>
    <n v="0"/>
    <n v="2874564"/>
    <n v="-2874564"/>
    <x v="0"/>
    <x v="1"/>
    <n v="483"/>
    <x v="65"/>
    <s v="CORP DE CAPACITACION Y EMPLEO DE SOC DE FOMENTO FABRIL"/>
  </r>
  <r>
    <m/>
    <s v="INGRESO"/>
    <d v="2022-03-29T00:00:00"/>
    <n v="3"/>
    <x v="0"/>
    <x v="0"/>
    <x v="9"/>
    <n v="2874564"/>
    <n v="0"/>
    <n v="2874564"/>
    <x v="0"/>
    <x v="1"/>
    <n v="483"/>
    <x v="65"/>
    <s v="CORP DE CAPACITACION Y EMPLEO DE SOC DE FOMENTO FABRIL"/>
  </r>
  <r>
    <m/>
    <s v="INGRESO"/>
    <d v="2022-04-06T00:00:00"/>
    <n v="4"/>
    <x v="0"/>
    <x v="13"/>
    <x v="9"/>
    <n v="0"/>
    <n v="162673"/>
    <n v="-162673"/>
    <x v="0"/>
    <x v="1"/>
    <n v="484"/>
    <x v="66"/>
    <s v="PRODUCCIONES PUNTO CREATIVO LIMITADA"/>
  </r>
  <r>
    <m/>
    <s v="INGRESO"/>
    <d v="2022-04-06T00:00:00"/>
    <n v="4"/>
    <x v="0"/>
    <x v="0"/>
    <x v="9"/>
    <n v="162673"/>
    <n v="0"/>
    <n v="162673"/>
    <x v="0"/>
    <x v="1"/>
    <n v="484"/>
    <x v="66"/>
    <s v="PRODUCCIONES PUNTO CREATIVO LIMITADA"/>
  </r>
  <r>
    <m/>
    <s v="INGRESO"/>
    <d v="2022-04-06T00:00:00"/>
    <n v="4"/>
    <x v="0"/>
    <x v="13"/>
    <x v="9"/>
    <n v="0"/>
    <n v="132804"/>
    <n v="-132804"/>
    <x v="0"/>
    <x v="1"/>
    <n v="485"/>
    <x v="67"/>
    <s v="CLINICA SAN LORENZO LIMITADA"/>
  </r>
  <r>
    <m/>
    <s v="INGRESO"/>
    <d v="2022-04-06T00:00:00"/>
    <n v="4"/>
    <x v="0"/>
    <x v="0"/>
    <x v="9"/>
    <n v="132804"/>
    <n v="0"/>
    <n v="132804"/>
    <x v="0"/>
    <x v="1"/>
    <n v="485"/>
    <x v="67"/>
    <s v="CLINICA SAN LORENZO LIMITADA"/>
  </r>
  <r>
    <m/>
    <s v="INGRESO"/>
    <d v="2022-04-11T00:00:00"/>
    <n v="4"/>
    <x v="0"/>
    <x v="13"/>
    <x v="9"/>
    <n v="0"/>
    <n v="79611"/>
    <n v="-79611"/>
    <x v="0"/>
    <x v="1"/>
    <n v="486"/>
    <x v="61"/>
    <s v="SERVICIO AEROFOTOGRAMETRICO DEL GENERAL JUAN SOLER MANFREDINI"/>
  </r>
  <r>
    <m/>
    <s v="INGRESO"/>
    <d v="2022-04-11T00:00:00"/>
    <n v="4"/>
    <x v="0"/>
    <x v="0"/>
    <x v="9"/>
    <n v="79611"/>
    <n v="0"/>
    <n v="79611"/>
    <x v="0"/>
    <x v="1"/>
    <n v="486"/>
    <x v="61"/>
    <s v="SERVICIO AEROFOTOGRAMETRICO DEL GENERAL JUAN SOLER MANFREDINI"/>
  </r>
  <r>
    <m/>
    <s v="INGRESO"/>
    <d v="2022-04-14T00:00:00"/>
    <n v="4"/>
    <x v="0"/>
    <x v="13"/>
    <x v="9"/>
    <n v="0"/>
    <n v="425544"/>
    <n v="-425544"/>
    <x v="0"/>
    <x v="1"/>
    <n v="488"/>
    <x v="68"/>
    <s v="ROLF KONRAD MOLLER-HOLTKAMP JAEDERLUND"/>
  </r>
  <r>
    <m/>
    <s v="INGRESO"/>
    <d v="2022-04-14T00:00:00"/>
    <n v="4"/>
    <x v="0"/>
    <x v="0"/>
    <x v="9"/>
    <n v="425544"/>
    <n v="0"/>
    <n v="425544"/>
    <x v="0"/>
    <x v="1"/>
    <n v="488"/>
    <x v="68"/>
    <s v="ROLF KONRAD MOLLER-HOLTKAMP JAEDERLUND"/>
  </r>
  <r>
    <m/>
    <s v="INGRESO"/>
    <d v="2022-04-19T00:00:00"/>
    <n v="4"/>
    <x v="0"/>
    <x v="13"/>
    <x v="9"/>
    <n v="0"/>
    <n v="1309000"/>
    <n v="-1309000"/>
    <x v="0"/>
    <x v="1"/>
    <n v="489"/>
    <x v="69"/>
    <s v="MERCADO KENNEDY SPA"/>
  </r>
  <r>
    <m/>
    <s v="INGRESO"/>
    <d v="2022-04-19T00:00:00"/>
    <n v="4"/>
    <x v="0"/>
    <x v="0"/>
    <x v="9"/>
    <n v="1309000"/>
    <n v="0"/>
    <n v="1309000"/>
    <x v="0"/>
    <x v="1"/>
    <n v="489"/>
    <x v="69"/>
    <s v="MERCADO KENNEDY SPA"/>
  </r>
  <r>
    <m/>
    <s v="INGRESO"/>
    <d v="2022-04-20T00:00:00"/>
    <n v="4"/>
    <x v="0"/>
    <x v="13"/>
    <x v="9"/>
    <n v="0"/>
    <n v="187247"/>
    <n v="-187247"/>
    <x v="0"/>
    <x v="1"/>
    <n v="490"/>
    <x v="70"/>
    <s v="CORPORACION EDUCACIONAL EL REDENTOR"/>
  </r>
  <r>
    <m/>
    <s v="INGRESO"/>
    <d v="2022-04-20T00:00:00"/>
    <n v="4"/>
    <x v="0"/>
    <x v="0"/>
    <x v="9"/>
    <n v="187247"/>
    <n v="0"/>
    <n v="187247"/>
    <x v="0"/>
    <x v="1"/>
    <n v="490"/>
    <x v="70"/>
    <s v="CORPORACION EDUCACIONAL EL REDENTOR"/>
  </r>
  <r>
    <m/>
    <s v="INGRESO"/>
    <d v="2022-04-20T00:00:00"/>
    <n v="4"/>
    <x v="0"/>
    <x v="13"/>
    <x v="9"/>
    <n v="0"/>
    <n v="53550"/>
    <n v="-53550"/>
    <x v="0"/>
    <x v="1"/>
    <n v="491"/>
    <x v="48"/>
    <s v="BARRY CALLEBAUT CHILE SPA"/>
  </r>
  <r>
    <m/>
    <s v="INGRESO"/>
    <d v="2022-04-20T00:00:00"/>
    <n v="4"/>
    <x v="0"/>
    <x v="0"/>
    <x v="9"/>
    <n v="53550"/>
    <n v="0"/>
    <n v="53550"/>
    <x v="0"/>
    <x v="1"/>
    <n v="491"/>
    <x v="48"/>
    <s v="BARRY CALLEBAUT CHILE SPA"/>
  </r>
  <r>
    <m/>
    <s v="INGRESO"/>
    <d v="2022-04-20T00:00:00"/>
    <n v="4"/>
    <x v="0"/>
    <x v="13"/>
    <x v="9"/>
    <n v="0"/>
    <n v="99365"/>
    <n v="-99365"/>
    <x v="0"/>
    <x v="1"/>
    <n v="492"/>
    <x v="48"/>
    <s v="BARRY CALLEBAUT CHILE SPA"/>
  </r>
  <r>
    <m/>
    <s v="INGRESO"/>
    <d v="2022-04-20T00:00:00"/>
    <n v="4"/>
    <x v="0"/>
    <x v="0"/>
    <x v="9"/>
    <n v="99365"/>
    <n v="0"/>
    <n v="99365"/>
    <x v="0"/>
    <x v="1"/>
    <n v="492"/>
    <x v="48"/>
    <s v="BARRY CALLEBAUT CHILE SPA"/>
  </r>
  <r>
    <m/>
    <s v="INGRESO"/>
    <d v="2022-04-20T00:00:00"/>
    <n v="4"/>
    <x v="0"/>
    <x v="13"/>
    <x v="9"/>
    <n v="0"/>
    <n v="92999"/>
    <n v="-92999"/>
    <x v="0"/>
    <x v="1"/>
    <n v="493"/>
    <x v="71"/>
    <s v="EVH CONSULTORES SPA"/>
  </r>
  <r>
    <m/>
    <s v="INGRESO"/>
    <d v="2022-04-20T00:00:00"/>
    <n v="4"/>
    <x v="0"/>
    <x v="0"/>
    <x v="9"/>
    <n v="92999"/>
    <n v="0"/>
    <n v="92999"/>
    <x v="0"/>
    <x v="1"/>
    <n v="493"/>
    <x v="71"/>
    <s v="EVH CONSULTORES SPA"/>
  </r>
  <r>
    <m/>
    <s v="INGRESO"/>
    <d v="2022-04-22T00:00:00"/>
    <n v="4"/>
    <x v="0"/>
    <x v="13"/>
    <x v="9"/>
    <n v="0"/>
    <n v="129710"/>
    <n v="-129710"/>
    <x v="0"/>
    <x v="1"/>
    <n v="494"/>
    <x v="72"/>
    <s v="SANFRESH SPA"/>
  </r>
  <r>
    <m/>
    <s v="INGRESO"/>
    <d v="2022-04-22T00:00:00"/>
    <n v="4"/>
    <x v="0"/>
    <x v="0"/>
    <x v="9"/>
    <n v="129710"/>
    <n v="0"/>
    <n v="129710"/>
    <x v="0"/>
    <x v="1"/>
    <n v="494"/>
    <x v="72"/>
    <s v="SANFRESH SPA"/>
  </r>
  <r>
    <m/>
    <s v="INGRESO"/>
    <d v="2022-04-22T00:00:00"/>
    <n v="4"/>
    <x v="0"/>
    <x v="13"/>
    <x v="9"/>
    <n v="0"/>
    <n v="171170"/>
    <n v="-171170"/>
    <x v="0"/>
    <x v="1"/>
    <n v="495"/>
    <x v="56"/>
    <s v="BODEGAS TAGUA TAGUA SPA"/>
  </r>
  <r>
    <m/>
    <s v="INGRESO"/>
    <d v="2022-04-22T00:00:00"/>
    <n v="4"/>
    <x v="0"/>
    <x v="0"/>
    <x v="9"/>
    <n v="171170"/>
    <n v="0"/>
    <n v="171170"/>
    <x v="0"/>
    <x v="1"/>
    <n v="495"/>
    <x v="56"/>
    <s v="BODEGAS TAGUA TAGUA SPA"/>
  </r>
  <r>
    <m/>
    <s v="INGRESO"/>
    <d v="2022-04-22T00:00:00"/>
    <n v="4"/>
    <x v="0"/>
    <x v="13"/>
    <x v="9"/>
    <n v="0"/>
    <n v="763028"/>
    <n v="-763028"/>
    <x v="0"/>
    <x v="1"/>
    <n v="496"/>
    <x v="73"/>
    <s v="NORTH MEDICAL SERVICE SPA"/>
  </r>
  <r>
    <m/>
    <s v="INGRESO"/>
    <d v="2022-04-22T00:00:00"/>
    <n v="4"/>
    <x v="0"/>
    <x v="0"/>
    <x v="9"/>
    <n v="763028"/>
    <n v="0"/>
    <n v="763028"/>
    <x v="0"/>
    <x v="1"/>
    <n v="496"/>
    <x v="73"/>
    <s v="NORTH MEDICAL SERVICE SPA"/>
  </r>
  <r>
    <m/>
    <s v="INGRESO"/>
    <d v="2022-04-25T00:00:00"/>
    <n v="4"/>
    <x v="0"/>
    <x v="13"/>
    <x v="9"/>
    <n v="0"/>
    <n v="1148778"/>
    <n v="-1148778"/>
    <x v="0"/>
    <x v="1"/>
    <n v="497"/>
    <x v="54"/>
    <s v="IMPORTACIONES Y SERVICIOS ADVANCED COMPUTING TECHNOLOGIES S.A."/>
  </r>
  <r>
    <m/>
    <s v="INGRESO"/>
    <d v="2022-04-25T00:00:00"/>
    <n v="4"/>
    <x v="0"/>
    <x v="0"/>
    <x v="9"/>
    <n v="1148778"/>
    <n v="0"/>
    <n v="1148778"/>
    <x v="0"/>
    <x v="1"/>
    <n v="497"/>
    <x v="54"/>
    <s v="IMPORTACIONES Y SERVICIOS ADVANCED COMPUTING TECHNOLOGIES S.A."/>
  </r>
  <r>
    <m/>
    <s v="INGRESO"/>
    <d v="2022-04-26T00:00:00"/>
    <n v="4"/>
    <x v="0"/>
    <x v="13"/>
    <x v="9"/>
    <n v="0"/>
    <n v="849660"/>
    <n v="-849660"/>
    <x v="0"/>
    <x v="1"/>
    <n v="498"/>
    <x v="74"/>
    <s v="CUMPLO CHILE S.A"/>
  </r>
  <r>
    <m/>
    <s v="INGRESO"/>
    <d v="2022-04-26T00:00:00"/>
    <n v="4"/>
    <x v="0"/>
    <x v="0"/>
    <x v="9"/>
    <n v="849660"/>
    <n v="0"/>
    <n v="849660"/>
    <x v="0"/>
    <x v="1"/>
    <n v="498"/>
    <x v="74"/>
    <s v="CUMPLO CHILE S.A"/>
  </r>
  <r>
    <m/>
    <s v="INGRESO"/>
    <d v="2022-04-26T00:00:00"/>
    <n v="4"/>
    <x v="0"/>
    <x v="13"/>
    <x v="9"/>
    <n v="0"/>
    <n v="2816730"/>
    <n v="-2816730"/>
    <x v="0"/>
    <x v="1"/>
    <n v="499"/>
    <x v="75"/>
    <s v="DOREL JUVENILE CHILE S.A."/>
  </r>
  <r>
    <m/>
    <s v="INGRESO"/>
    <d v="2022-04-26T00:00:00"/>
    <n v="4"/>
    <x v="0"/>
    <x v="0"/>
    <x v="9"/>
    <n v="2816730"/>
    <n v="0"/>
    <n v="2816730"/>
    <x v="0"/>
    <x v="1"/>
    <n v="499"/>
    <x v="75"/>
    <s v="DOREL JUVENILE CHILE S.A."/>
  </r>
  <r>
    <m/>
    <s v="INGRESO"/>
    <d v="2022-04-29T00:00:00"/>
    <n v="4"/>
    <x v="0"/>
    <x v="13"/>
    <x v="9"/>
    <n v="0"/>
    <n v="118881"/>
    <n v="-118881"/>
    <x v="0"/>
    <x v="1"/>
    <n v="500"/>
    <x v="76"/>
    <s v="OSCAR EDUARDO ACEVEDO ARMIJO"/>
  </r>
  <r>
    <m/>
    <s v="INGRESO"/>
    <d v="2022-04-29T00:00:00"/>
    <n v="4"/>
    <x v="0"/>
    <x v="0"/>
    <x v="9"/>
    <n v="118881"/>
    <n v="0"/>
    <n v="118881"/>
    <x v="0"/>
    <x v="1"/>
    <n v="500"/>
    <x v="76"/>
    <s v="OSCAR EDUARDO ACEVEDO ARMIJO"/>
  </r>
  <r>
    <m/>
    <s v="INGRESO"/>
    <d v="2022-04-29T00:00:00"/>
    <n v="4"/>
    <x v="0"/>
    <x v="13"/>
    <x v="9"/>
    <n v="0"/>
    <n v="646848"/>
    <n v="-646848"/>
    <x v="0"/>
    <x v="1"/>
    <n v="501"/>
    <x v="77"/>
    <s v="PISCINAS JOSE ANTONIO CABELLO NAVARRO E.I.R.L."/>
  </r>
  <r>
    <m/>
    <s v="INGRESO"/>
    <d v="2022-04-29T00:00:00"/>
    <n v="4"/>
    <x v="0"/>
    <x v="0"/>
    <x v="9"/>
    <n v="646848"/>
    <n v="0"/>
    <n v="646848"/>
    <x v="0"/>
    <x v="1"/>
    <n v="501"/>
    <x v="77"/>
    <s v="PISCINAS JOSE ANTONIO CABELLO NAVARRO E.I.R.L."/>
  </r>
  <r>
    <m/>
    <s v="INGRESO"/>
    <d v="2022-05-11T00:00:00"/>
    <n v="5"/>
    <x v="0"/>
    <x v="13"/>
    <x v="9"/>
    <n v="0"/>
    <n v="374553"/>
    <n v="-374553"/>
    <x v="0"/>
    <x v="1"/>
    <n v="502"/>
    <x v="58"/>
    <s v="AXEI MARKETING DIGITAL CHILE SPA"/>
  </r>
  <r>
    <m/>
    <s v="INGRESO"/>
    <d v="2022-05-11T00:00:00"/>
    <n v="5"/>
    <x v="0"/>
    <x v="0"/>
    <x v="9"/>
    <n v="374553"/>
    <n v="0"/>
    <n v="374553"/>
    <x v="0"/>
    <x v="1"/>
    <n v="502"/>
    <x v="58"/>
    <s v="AXEI MARKETING DIGITAL CHILE SPA"/>
  </r>
  <r>
    <m/>
    <s v="INGRESO"/>
    <d v="2022-05-11T00:00:00"/>
    <n v="5"/>
    <x v="0"/>
    <x v="13"/>
    <x v="9"/>
    <n v="0"/>
    <n v="184212"/>
    <n v="-184212"/>
    <x v="0"/>
    <x v="1"/>
    <n v="503"/>
    <x v="78"/>
    <s v="CORP DE DESARROLLO SOCIAL DE PROVIDENCIA"/>
  </r>
  <r>
    <m/>
    <s v="INGRESO"/>
    <d v="2022-05-11T00:00:00"/>
    <n v="5"/>
    <x v="0"/>
    <x v="0"/>
    <x v="9"/>
    <n v="184212"/>
    <n v="0"/>
    <n v="184212"/>
    <x v="0"/>
    <x v="1"/>
    <n v="503"/>
    <x v="78"/>
    <s v="CORP DE DESARROLLO SOCIAL DE PROVIDENCIA"/>
  </r>
  <r>
    <m/>
    <s v="INGRESO"/>
    <d v="2022-05-11T00:00:00"/>
    <n v="5"/>
    <x v="0"/>
    <x v="13"/>
    <x v="9"/>
    <n v="0"/>
    <n v="530930"/>
    <n v="-530930"/>
    <x v="0"/>
    <x v="1"/>
    <n v="504"/>
    <x v="44"/>
    <s v="GASTRONOMICA TRES CABEZAS SPA"/>
  </r>
  <r>
    <m/>
    <s v="INGRESO"/>
    <d v="2022-05-11T00:00:00"/>
    <n v="5"/>
    <x v="0"/>
    <x v="0"/>
    <x v="9"/>
    <n v="530930"/>
    <n v="0"/>
    <n v="530930"/>
    <x v="0"/>
    <x v="1"/>
    <n v="504"/>
    <x v="44"/>
    <s v="GASTRONOMICA TRES CABEZAS SPA"/>
  </r>
  <r>
    <m/>
    <s v="INGRESO"/>
    <d v="2022-05-12T00:00:00"/>
    <n v="5"/>
    <x v="0"/>
    <x v="13"/>
    <x v="9"/>
    <n v="0"/>
    <n v="223482"/>
    <n v="-223482"/>
    <x v="0"/>
    <x v="1"/>
    <n v="505"/>
    <x v="79"/>
    <s v="CONDOMINIO PLAZA BUIN TRES"/>
  </r>
  <r>
    <m/>
    <s v="INGRESO"/>
    <d v="2022-05-12T00:00:00"/>
    <n v="5"/>
    <x v="0"/>
    <x v="0"/>
    <x v="9"/>
    <n v="223482"/>
    <n v="0"/>
    <n v="223482"/>
    <x v="0"/>
    <x v="1"/>
    <n v="505"/>
    <x v="79"/>
    <s v="CONDOMINIO PLAZA BUIN TRES"/>
  </r>
  <r>
    <m/>
    <s v="INGRESO"/>
    <d v="2022-05-18T00:00:00"/>
    <n v="5"/>
    <x v="0"/>
    <x v="13"/>
    <x v="9"/>
    <n v="0"/>
    <n v="1210266"/>
    <n v="-1210266"/>
    <x v="0"/>
    <x v="1"/>
    <n v="506"/>
    <x v="80"/>
    <s v="SOC MANUFACTURERA DE PLASTICOS LIMITADA"/>
  </r>
  <r>
    <m/>
    <s v="INGRESO"/>
    <d v="2022-05-18T00:00:00"/>
    <n v="5"/>
    <x v="0"/>
    <x v="0"/>
    <x v="9"/>
    <n v="1210266"/>
    <n v="0"/>
    <n v="1210266"/>
    <x v="0"/>
    <x v="1"/>
    <n v="506"/>
    <x v="80"/>
    <s v="SOC MANUFACTURERA DE PLASTICOS LIMITADA"/>
  </r>
  <r>
    <m/>
    <s v="INGRESO"/>
    <d v="2022-05-25T00:00:00"/>
    <n v="5"/>
    <x v="0"/>
    <x v="13"/>
    <x v="9"/>
    <n v="0"/>
    <n v="314160"/>
    <n v="-314160"/>
    <x v="0"/>
    <x v="1"/>
    <n v="507"/>
    <x v="81"/>
    <s v="FUNDACION MUSEO DE LA MODA"/>
  </r>
  <r>
    <m/>
    <s v="INGRESO"/>
    <d v="2022-05-25T00:00:00"/>
    <n v="5"/>
    <x v="0"/>
    <x v="0"/>
    <x v="9"/>
    <n v="314160"/>
    <n v="0"/>
    <n v="314160"/>
    <x v="0"/>
    <x v="1"/>
    <n v="507"/>
    <x v="81"/>
    <s v="FUNDACION MUSEO DE LA MODA"/>
  </r>
  <r>
    <m/>
    <s v="INGRESO"/>
    <d v="2022-05-27T00:00:00"/>
    <n v="5"/>
    <x v="0"/>
    <x v="13"/>
    <x v="9"/>
    <n v="0"/>
    <n v="1535100"/>
    <n v="-1535100"/>
    <x v="0"/>
    <x v="1"/>
    <n v="508"/>
    <x v="48"/>
    <s v="BARRY CALLEBAUT CHILE SPA"/>
  </r>
  <r>
    <m/>
    <s v="INGRESO"/>
    <d v="2022-05-27T00:00:00"/>
    <n v="5"/>
    <x v="0"/>
    <x v="0"/>
    <x v="9"/>
    <n v="1535100"/>
    <n v="0"/>
    <n v="1535100"/>
    <x v="0"/>
    <x v="1"/>
    <n v="508"/>
    <x v="48"/>
    <s v="BARRY CALLEBAUT CHILE SPA"/>
  </r>
  <r>
    <m/>
    <s v="INGRESO"/>
    <d v="2022-05-27T00:00:00"/>
    <n v="5"/>
    <x v="0"/>
    <x v="13"/>
    <x v="9"/>
    <n v="0"/>
    <n v="92106"/>
    <n v="-92106"/>
    <x v="0"/>
    <x v="1"/>
    <n v="509"/>
    <x v="48"/>
    <s v="BARRY CALLEBAUT CHILE SPA"/>
  </r>
  <r>
    <m/>
    <s v="INGRESO"/>
    <d v="2022-05-27T00:00:00"/>
    <n v="5"/>
    <x v="0"/>
    <x v="0"/>
    <x v="9"/>
    <n v="92106"/>
    <n v="0"/>
    <n v="92106"/>
    <x v="0"/>
    <x v="1"/>
    <n v="509"/>
    <x v="48"/>
    <s v="BARRY CALLEBAUT CHILE SPA"/>
  </r>
  <r>
    <m/>
    <s v="INGRESO"/>
    <d v="2022-06-01T00:00:00"/>
    <n v="6"/>
    <x v="0"/>
    <x v="13"/>
    <x v="9"/>
    <n v="0"/>
    <n v="71400"/>
    <n v="-71400"/>
    <x v="0"/>
    <x v="1"/>
    <n v="510"/>
    <x v="81"/>
    <s v="FUNDACION MUSEO DE LA MODA"/>
  </r>
  <r>
    <m/>
    <s v="INGRESO"/>
    <d v="2022-06-01T00:00:00"/>
    <n v="6"/>
    <x v="0"/>
    <x v="0"/>
    <x v="9"/>
    <n v="71400"/>
    <n v="0"/>
    <n v="71400"/>
    <x v="0"/>
    <x v="1"/>
    <n v="510"/>
    <x v="81"/>
    <s v="FUNDACION MUSEO DE LA MODA"/>
  </r>
  <r>
    <m/>
    <s v="INGRESO"/>
    <d v="2022-06-09T00:00:00"/>
    <n v="6"/>
    <x v="0"/>
    <x v="13"/>
    <x v="9"/>
    <n v="0"/>
    <n v="90357"/>
    <n v="-90357"/>
    <x v="0"/>
    <x v="1"/>
    <n v="511"/>
    <x v="82"/>
    <s v="SILVEIRA REYES SPA"/>
  </r>
  <r>
    <m/>
    <s v="INGRESO"/>
    <d v="2022-06-09T00:00:00"/>
    <n v="6"/>
    <x v="0"/>
    <x v="0"/>
    <x v="9"/>
    <n v="90357"/>
    <n v="0"/>
    <n v="90357"/>
    <x v="0"/>
    <x v="1"/>
    <n v="511"/>
    <x v="82"/>
    <s v="SILVEIRA REYES SPA"/>
  </r>
  <r>
    <m/>
    <s v="INGRESO"/>
    <d v="2022-06-14T00:00:00"/>
    <n v="6"/>
    <x v="0"/>
    <x v="13"/>
    <x v="9"/>
    <n v="0"/>
    <n v="141610"/>
    <n v="-141610"/>
    <x v="0"/>
    <x v="1"/>
    <n v="512"/>
    <x v="83"/>
    <s v="LIBRERIA GENIAL SPA"/>
  </r>
  <r>
    <m/>
    <s v="INGRESO"/>
    <d v="2022-06-14T00:00:00"/>
    <n v="6"/>
    <x v="0"/>
    <x v="0"/>
    <x v="9"/>
    <n v="141610"/>
    <n v="0"/>
    <n v="141610"/>
    <x v="0"/>
    <x v="1"/>
    <n v="512"/>
    <x v="83"/>
    <s v="LIBRERIA GENIAL SPA"/>
  </r>
  <r>
    <m/>
    <s v="INGRESO"/>
    <d v="2022-06-14T00:00:00"/>
    <n v="6"/>
    <x v="0"/>
    <x v="13"/>
    <x v="9"/>
    <n v="0"/>
    <n v="353168"/>
    <n v="-353168"/>
    <x v="0"/>
    <x v="1"/>
    <n v="513"/>
    <x v="84"/>
    <s v="IDS SPA"/>
  </r>
  <r>
    <m/>
    <s v="INGRESO"/>
    <d v="2022-06-14T00:00:00"/>
    <n v="6"/>
    <x v="0"/>
    <x v="0"/>
    <x v="9"/>
    <n v="353168"/>
    <n v="0"/>
    <n v="353168"/>
    <x v="0"/>
    <x v="1"/>
    <n v="513"/>
    <x v="84"/>
    <s v="IDS SPA"/>
  </r>
  <r>
    <m/>
    <s v="INGRESO"/>
    <d v="2022-06-17T00:00:00"/>
    <n v="6"/>
    <x v="0"/>
    <x v="13"/>
    <x v="9"/>
    <n v="0"/>
    <n v="686630"/>
    <n v="-686630"/>
    <x v="0"/>
    <x v="1"/>
    <n v="514"/>
    <x v="85"/>
    <s v="ALDO BORIS UMANA ESTAY"/>
  </r>
  <r>
    <m/>
    <s v="INGRESO"/>
    <d v="2022-06-17T00:00:00"/>
    <n v="6"/>
    <x v="0"/>
    <x v="0"/>
    <x v="9"/>
    <n v="686630"/>
    <n v="0"/>
    <n v="686630"/>
    <x v="0"/>
    <x v="1"/>
    <n v="514"/>
    <x v="85"/>
    <s v="ALDO BORIS UMANA ESTAY"/>
  </r>
  <r>
    <m/>
    <s v="INGRESO"/>
    <d v="2022-06-17T00:00:00"/>
    <n v="6"/>
    <x v="0"/>
    <x v="13"/>
    <x v="9"/>
    <n v="0"/>
    <n v="69972"/>
    <n v="-69972"/>
    <x v="0"/>
    <x v="1"/>
    <n v="515"/>
    <x v="86"/>
    <s v="FAST WORLD SPA"/>
  </r>
  <r>
    <m/>
    <s v="INGRESO"/>
    <d v="2022-06-17T00:00:00"/>
    <n v="6"/>
    <x v="0"/>
    <x v="0"/>
    <x v="9"/>
    <n v="69972"/>
    <n v="0"/>
    <n v="69972"/>
    <x v="0"/>
    <x v="1"/>
    <n v="515"/>
    <x v="86"/>
    <s v="FAST WORLD SPA"/>
  </r>
  <r>
    <m/>
    <s v="INGRESO"/>
    <d v="2022-06-22T00:00:00"/>
    <n v="6"/>
    <x v="0"/>
    <x v="13"/>
    <x v="9"/>
    <n v="0"/>
    <n v="54621"/>
    <n v="-54621"/>
    <x v="0"/>
    <x v="1"/>
    <n v="516"/>
    <x v="82"/>
    <s v="SILVEIRA REYES SPA"/>
  </r>
  <r>
    <m/>
    <s v="INGRESO"/>
    <d v="2022-06-22T00:00:00"/>
    <n v="6"/>
    <x v="0"/>
    <x v="0"/>
    <x v="9"/>
    <n v="54621"/>
    <n v="0"/>
    <n v="54621"/>
    <x v="0"/>
    <x v="1"/>
    <n v="516"/>
    <x v="82"/>
    <s v="SILVEIRA REYES SPA"/>
  </r>
  <r>
    <m/>
    <s v="INGRESO"/>
    <d v="2022-06-23T00:00:00"/>
    <n v="6"/>
    <x v="0"/>
    <x v="13"/>
    <x v="9"/>
    <n v="0"/>
    <n v="319158"/>
    <n v="-319158"/>
    <x v="0"/>
    <x v="1"/>
    <n v="517"/>
    <x v="87"/>
    <s v="CENTRO MEDICO Y ODONTOLOGICO ECO SALUD LIMITADA"/>
  </r>
  <r>
    <m/>
    <s v="INGRESO"/>
    <d v="2022-06-23T00:00:00"/>
    <n v="6"/>
    <x v="0"/>
    <x v="0"/>
    <x v="9"/>
    <n v="319158"/>
    <n v="0"/>
    <n v="319158"/>
    <x v="0"/>
    <x v="1"/>
    <n v="517"/>
    <x v="87"/>
    <s v="CENTRO MEDICO Y ODONTOLOGICO ECO SALUD LIMITADA"/>
  </r>
  <r>
    <m/>
    <s v="INGRESO"/>
    <d v="2022-06-23T00:00:00"/>
    <n v="6"/>
    <x v="0"/>
    <x v="13"/>
    <x v="9"/>
    <n v="0"/>
    <n v="120666"/>
    <n v="-120666"/>
    <x v="0"/>
    <x v="1"/>
    <n v="518"/>
    <x v="88"/>
    <s v="BIN SERVICES SPA"/>
  </r>
  <r>
    <m/>
    <s v="INGRESO"/>
    <d v="2022-06-23T00:00:00"/>
    <n v="6"/>
    <x v="0"/>
    <x v="0"/>
    <x v="9"/>
    <n v="120666"/>
    <n v="0"/>
    <n v="120666"/>
    <x v="0"/>
    <x v="1"/>
    <n v="518"/>
    <x v="88"/>
    <s v="BIN SERVICES SPA"/>
  </r>
  <r>
    <m/>
    <s v="INGRESO"/>
    <d v="2022-06-29T00:00:00"/>
    <n v="6"/>
    <x v="0"/>
    <x v="13"/>
    <x v="9"/>
    <n v="0"/>
    <n v="341292"/>
    <n v="-341292"/>
    <x v="0"/>
    <x v="1"/>
    <n v="519"/>
    <x v="73"/>
    <s v="NORTH MEDICAL SERVICE SPA"/>
  </r>
  <r>
    <m/>
    <s v="INGRESO"/>
    <d v="2022-06-29T00:00:00"/>
    <n v="6"/>
    <x v="0"/>
    <x v="0"/>
    <x v="9"/>
    <n v="341292"/>
    <n v="0"/>
    <n v="341292"/>
    <x v="0"/>
    <x v="1"/>
    <n v="519"/>
    <x v="73"/>
    <s v="NORTH MEDICAL SERVICE SPA"/>
  </r>
  <r>
    <m/>
    <s v="INGRESO"/>
    <d v="2022-06-29T00:00:00"/>
    <n v="6"/>
    <x v="0"/>
    <x v="13"/>
    <x v="9"/>
    <n v="0"/>
    <n v="145775"/>
    <n v="-145775"/>
    <x v="0"/>
    <x v="1"/>
    <n v="520"/>
    <x v="85"/>
    <s v="ALDO BORIS UMANA ESTAY"/>
  </r>
  <r>
    <m/>
    <s v="INGRESO"/>
    <d v="2022-06-29T00:00:00"/>
    <n v="6"/>
    <x v="0"/>
    <x v="0"/>
    <x v="9"/>
    <n v="145775"/>
    <n v="0"/>
    <n v="145775"/>
    <x v="0"/>
    <x v="1"/>
    <n v="520"/>
    <x v="85"/>
    <s v="ALDO BORIS UMANA ESTAY"/>
  </r>
  <r>
    <m/>
    <s v="INGRESO"/>
    <d v="2022-06-30T00:00:00"/>
    <n v="6"/>
    <x v="0"/>
    <x v="13"/>
    <x v="9"/>
    <n v="0"/>
    <n v="467075"/>
    <n v="-467075"/>
    <x v="0"/>
    <x v="1"/>
    <n v="521"/>
    <x v="89"/>
    <s v="GLOBAL PLAST SPA"/>
  </r>
  <r>
    <m/>
    <s v="INGRESO"/>
    <d v="2022-06-30T00:00:00"/>
    <n v="6"/>
    <x v="0"/>
    <x v="0"/>
    <x v="9"/>
    <n v="467075"/>
    <n v="0"/>
    <n v="467075"/>
    <x v="0"/>
    <x v="1"/>
    <n v="521"/>
    <x v="89"/>
    <s v="GLOBAL PLAST SPA"/>
  </r>
  <r>
    <m/>
    <s v="INGRESO"/>
    <d v="2022-06-30T00:00:00"/>
    <n v="6"/>
    <x v="0"/>
    <x v="13"/>
    <x v="9"/>
    <n v="0"/>
    <n v="256754"/>
    <n v="-256754"/>
    <x v="0"/>
    <x v="1"/>
    <n v="522"/>
    <x v="90"/>
    <s v="MINING AND INDUSTRIAL SERVICES SPA"/>
  </r>
  <r>
    <m/>
    <s v="INGRESO"/>
    <d v="2022-06-30T00:00:00"/>
    <n v="6"/>
    <x v="0"/>
    <x v="0"/>
    <x v="9"/>
    <n v="256754"/>
    <n v="0"/>
    <n v="256754"/>
    <x v="0"/>
    <x v="1"/>
    <n v="522"/>
    <x v="90"/>
    <s v="MINING AND INDUSTRIAL SERVICES SPA"/>
  </r>
  <r>
    <m/>
    <s v="INGRESO"/>
    <d v="2022-06-30T00:00:00"/>
    <n v="6"/>
    <x v="0"/>
    <x v="13"/>
    <x v="9"/>
    <n v="0"/>
    <n v="425544"/>
    <n v="-425544"/>
    <x v="0"/>
    <x v="1"/>
    <n v="523"/>
    <x v="91"/>
    <s v="SALUD DIGITAL SB S.A."/>
  </r>
  <r>
    <m/>
    <s v="INGRESO"/>
    <d v="2022-06-30T00:00:00"/>
    <n v="6"/>
    <x v="0"/>
    <x v="0"/>
    <x v="9"/>
    <n v="425544"/>
    <n v="0"/>
    <n v="425544"/>
    <x v="0"/>
    <x v="1"/>
    <n v="523"/>
    <x v="91"/>
    <s v="SALUD DIGITAL SB S.A."/>
  </r>
  <r>
    <m/>
    <s v="INGRESO"/>
    <d v="2022-07-05T00:00:00"/>
    <n v="7"/>
    <x v="0"/>
    <x v="13"/>
    <x v="9"/>
    <n v="0"/>
    <n v="278698"/>
    <n v="-278698"/>
    <x v="0"/>
    <x v="1"/>
    <n v="524"/>
    <x v="47"/>
    <s v="TRAIL SPA"/>
  </r>
  <r>
    <m/>
    <s v="INGRESO"/>
    <d v="2022-07-05T00:00:00"/>
    <n v="7"/>
    <x v="0"/>
    <x v="0"/>
    <x v="9"/>
    <n v="278698"/>
    <n v="0"/>
    <n v="278698"/>
    <x v="0"/>
    <x v="1"/>
    <n v="524"/>
    <x v="47"/>
    <s v="TRAIL SPA"/>
  </r>
  <r>
    <m/>
    <s v="INGRESO"/>
    <d v="2022-07-06T00:00:00"/>
    <n v="7"/>
    <x v="0"/>
    <x v="13"/>
    <x v="9"/>
    <n v="0"/>
    <n v="198849"/>
    <n v="-198849"/>
    <x v="0"/>
    <x v="1"/>
    <n v="525"/>
    <x v="55"/>
    <s v="GVA TRADING SPA"/>
  </r>
  <r>
    <m/>
    <s v="INGRESO"/>
    <d v="2022-07-06T00:00:00"/>
    <n v="7"/>
    <x v="0"/>
    <x v="0"/>
    <x v="9"/>
    <n v="198849"/>
    <n v="0"/>
    <n v="198849"/>
    <x v="0"/>
    <x v="1"/>
    <n v="525"/>
    <x v="55"/>
    <s v="GVA TRADING SPA"/>
  </r>
  <r>
    <m/>
    <s v="INGRESO"/>
    <d v="2022-07-12T00:00:00"/>
    <n v="7"/>
    <x v="0"/>
    <x v="13"/>
    <x v="9"/>
    <n v="0"/>
    <n v="619217"/>
    <n v="-619217"/>
    <x v="0"/>
    <x v="1"/>
    <n v="526"/>
    <x v="85"/>
    <s v="ALDO BORIS UMANA ESTAY"/>
  </r>
  <r>
    <m/>
    <s v="INGRESO"/>
    <d v="2022-07-12T00:00:00"/>
    <n v="7"/>
    <x v="0"/>
    <x v="0"/>
    <x v="9"/>
    <n v="619217"/>
    <n v="0"/>
    <n v="619217"/>
    <x v="0"/>
    <x v="1"/>
    <n v="526"/>
    <x v="85"/>
    <s v="ALDO BORIS UMANA ESTAY"/>
  </r>
  <r>
    <m/>
    <s v="INGRESO"/>
    <d v="2022-07-13T00:00:00"/>
    <n v="7"/>
    <x v="0"/>
    <x v="13"/>
    <x v="9"/>
    <n v="0"/>
    <n v="685690"/>
    <n v="-685690"/>
    <x v="0"/>
    <x v="1"/>
    <n v="527"/>
    <x v="85"/>
    <s v="ALDO BORIS UMANA ESTAY"/>
  </r>
  <r>
    <m/>
    <s v="INGRESO"/>
    <d v="2022-07-13T00:00:00"/>
    <n v="7"/>
    <x v="0"/>
    <x v="0"/>
    <x v="9"/>
    <n v="685690"/>
    <n v="0"/>
    <n v="685690"/>
    <x v="0"/>
    <x v="1"/>
    <n v="527"/>
    <x v="85"/>
    <s v="ALDO BORIS UMANA ESTAY"/>
  </r>
  <r>
    <m/>
    <s v="INGRESO"/>
    <d v="2022-07-27T00:00:00"/>
    <n v="7"/>
    <x v="0"/>
    <x v="13"/>
    <x v="9"/>
    <n v="0"/>
    <n v="994923"/>
    <n v="-994923"/>
    <x v="0"/>
    <x v="1"/>
    <n v="528"/>
    <x v="92"/>
    <s v="HORTIFRUT CHILE S A"/>
  </r>
  <r>
    <m/>
    <s v="INGRESO"/>
    <d v="2022-07-27T00:00:00"/>
    <n v="7"/>
    <x v="0"/>
    <x v="0"/>
    <x v="9"/>
    <n v="994923"/>
    <n v="0"/>
    <n v="994923"/>
    <x v="0"/>
    <x v="1"/>
    <n v="528"/>
    <x v="92"/>
    <s v="HORTIFRUT CHILE S A"/>
  </r>
  <r>
    <m/>
    <s v="INGRESO"/>
    <d v="2022-07-28T00:00:00"/>
    <n v="7"/>
    <x v="0"/>
    <x v="13"/>
    <x v="9"/>
    <n v="0"/>
    <n v="297738"/>
    <n v="-297738"/>
    <x v="0"/>
    <x v="1"/>
    <n v="529"/>
    <x v="93"/>
    <s v="UNIVERSIDAD DEL DESARROLLO"/>
  </r>
  <r>
    <m/>
    <s v="INGRESO"/>
    <d v="2022-07-28T00:00:00"/>
    <n v="7"/>
    <x v="0"/>
    <x v="0"/>
    <x v="9"/>
    <n v="297738"/>
    <n v="0"/>
    <n v="297738"/>
    <x v="0"/>
    <x v="1"/>
    <n v="529"/>
    <x v="93"/>
    <s v="UNIVERSIDAD DEL DESARROLLO"/>
  </r>
  <r>
    <m/>
    <s v="INGRESO"/>
    <d v="2022-07-28T00:00:00"/>
    <n v="7"/>
    <x v="0"/>
    <x v="13"/>
    <x v="9"/>
    <n v="0"/>
    <n v="199849"/>
    <n v="-199849"/>
    <x v="0"/>
    <x v="1"/>
    <n v="530"/>
    <x v="94"/>
    <s v="MORRIS Y OPAZO SPA"/>
  </r>
  <r>
    <m/>
    <s v="INGRESO"/>
    <d v="2022-07-28T00:00:00"/>
    <n v="7"/>
    <x v="0"/>
    <x v="0"/>
    <x v="9"/>
    <n v="199849"/>
    <n v="0"/>
    <n v="199849"/>
    <x v="0"/>
    <x v="1"/>
    <n v="530"/>
    <x v="94"/>
    <s v="MORRIS Y OPAZO SPA"/>
  </r>
  <r>
    <m/>
    <s v="INGRESO"/>
    <d v="2022-07-29T00:00:00"/>
    <n v="7"/>
    <x v="0"/>
    <x v="13"/>
    <x v="9"/>
    <n v="0"/>
    <n v="3552150"/>
    <n v="-3552150"/>
    <x v="0"/>
    <x v="1"/>
    <n v="532"/>
    <x v="95"/>
    <s v="MARKETING Y SERVICIOS PUBLICITARIOS 4 IMAGEN LIMITADA"/>
  </r>
  <r>
    <m/>
    <s v="INGRESO"/>
    <d v="2022-07-29T00:00:00"/>
    <n v="7"/>
    <x v="0"/>
    <x v="0"/>
    <x v="9"/>
    <n v="3552150"/>
    <n v="0"/>
    <n v="3552150"/>
    <x v="0"/>
    <x v="1"/>
    <n v="532"/>
    <x v="95"/>
    <s v="MARKETING Y SERVICIOS PUBLICITARIOS 4 IMAGEN LIMITADA"/>
  </r>
  <r>
    <m/>
    <s v="INGRESO"/>
    <d v="2022-07-13T00:00:00"/>
    <n v="7"/>
    <x v="0"/>
    <x v="13"/>
    <x v="9"/>
    <n v="619217"/>
    <n v="0"/>
    <n v="619217"/>
    <x v="0"/>
    <x v="2"/>
    <n v="22"/>
    <x v="85"/>
    <s v="ALDO BORIS UMANA ESTAY"/>
  </r>
  <r>
    <m/>
    <s v="INGRESO"/>
    <d v="2022-07-13T00:00:00"/>
    <n v="7"/>
    <x v="0"/>
    <x v="0"/>
    <x v="9"/>
    <n v="0"/>
    <n v="619217"/>
    <n v="-619217"/>
    <x v="0"/>
    <x v="2"/>
    <n v="22"/>
    <x v="85"/>
    <s v="ALDO BORIS UMANA ESTAY"/>
  </r>
  <r>
    <m/>
    <s v="INGRESO"/>
    <d v="2022-08-01T00:00:00"/>
    <n v="8"/>
    <x v="0"/>
    <x v="13"/>
    <x v="9"/>
    <n v="0"/>
    <n v="1130500"/>
    <n v="-1130500"/>
    <x v="0"/>
    <x v="1"/>
    <n v="533"/>
    <x v="48"/>
    <s v="BARRY CALLEBAUT CHILE SPA"/>
  </r>
  <r>
    <m/>
    <s v="INGRESO"/>
    <d v="2022-08-01T00:00:00"/>
    <n v="8"/>
    <x v="0"/>
    <x v="0"/>
    <x v="9"/>
    <n v="1130500"/>
    <n v="0"/>
    <n v="1130500"/>
    <x v="0"/>
    <x v="1"/>
    <n v="533"/>
    <x v="48"/>
    <s v="BARRY CALLEBAUT CHILE SPA"/>
  </r>
  <r>
    <m/>
    <s v="INGRESO"/>
    <d v="2022-08-02T00:00:00"/>
    <n v="8"/>
    <x v="0"/>
    <x v="13"/>
    <x v="9"/>
    <n v="0"/>
    <n v="113050"/>
    <n v="-113050"/>
    <x v="0"/>
    <x v="1"/>
    <n v="534"/>
    <x v="48"/>
    <s v="BARRY CALLEBAUT CHILE SPA"/>
  </r>
  <r>
    <m/>
    <s v="INGRESO"/>
    <d v="2022-08-02T00:00:00"/>
    <n v="8"/>
    <x v="0"/>
    <x v="0"/>
    <x v="9"/>
    <n v="113050"/>
    <n v="0"/>
    <n v="113050"/>
    <x v="0"/>
    <x v="1"/>
    <n v="534"/>
    <x v="48"/>
    <s v="BARRY CALLEBAUT CHILE SPA"/>
  </r>
  <r>
    <m/>
    <s v="INGRESO"/>
    <d v="2022-08-03T00:00:00"/>
    <n v="8"/>
    <x v="0"/>
    <x v="13"/>
    <x v="9"/>
    <n v="0"/>
    <n v="711144"/>
    <n v="-711144"/>
    <x v="0"/>
    <x v="1"/>
    <n v="535"/>
    <x v="67"/>
    <s v="CLINICA SAN LORENZO LIMITADA"/>
  </r>
  <r>
    <m/>
    <s v="INGRESO"/>
    <d v="2022-08-03T00:00:00"/>
    <n v="8"/>
    <x v="0"/>
    <x v="0"/>
    <x v="9"/>
    <n v="711144"/>
    <n v="0"/>
    <n v="711144"/>
    <x v="0"/>
    <x v="1"/>
    <n v="535"/>
    <x v="67"/>
    <s v="CLINICA SAN LORENZO LIMITADA"/>
  </r>
  <r>
    <m/>
    <s v="INGRESO"/>
    <d v="2022-08-04T00:00:00"/>
    <n v="8"/>
    <x v="0"/>
    <x v="13"/>
    <x v="9"/>
    <n v="0"/>
    <n v="138516"/>
    <n v="-138516"/>
    <x v="0"/>
    <x v="1"/>
    <n v="536"/>
    <x v="47"/>
    <s v="TRAIL SPA"/>
  </r>
  <r>
    <m/>
    <s v="INGRESO"/>
    <d v="2022-08-04T00:00:00"/>
    <n v="8"/>
    <x v="0"/>
    <x v="0"/>
    <x v="9"/>
    <n v="138516"/>
    <n v="0"/>
    <n v="138516"/>
    <x v="0"/>
    <x v="1"/>
    <n v="536"/>
    <x v="47"/>
    <s v="TRAIL SPA"/>
  </r>
  <r>
    <m/>
    <s v="INGRESO"/>
    <d v="2022-08-05T00:00:00"/>
    <n v="8"/>
    <x v="0"/>
    <x v="13"/>
    <x v="9"/>
    <n v="0"/>
    <n v="133232"/>
    <n v="-133232"/>
    <x v="0"/>
    <x v="1"/>
    <n v="538"/>
    <x v="94"/>
    <s v="MORRIS Y OPAZO SPA"/>
  </r>
  <r>
    <m/>
    <s v="INGRESO"/>
    <d v="2022-08-05T00:00:00"/>
    <n v="8"/>
    <x v="0"/>
    <x v="0"/>
    <x v="9"/>
    <n v="133232"/>
    <n v="0"/>
    <n v="133232"/>
    <x v="0"/>
    <x v="1"/>
    <n v="538"/>
    <x v="94"/>
    <s v="MORRIS Y OPAZO SPA"/>
  </r>
  <r>
    <m/>
    <s v="INGRESO"/>
    <d v="2022-08-05T00:00:00"/>
    <n v="8"/>
    <x v="0"/>
    <x v="13"/>
    <x v="9"/>
    <n v="0"/>
    <n v="84966"/>
    <n v="-84966"/>
    <x v="0"/>
    <x v="1"/>
    <n v="539"/>
    <x v="90"/>
    <s v="MINING AND INDUSTRIAL SERVICES SPA"/>
  </r>
  <r>
    <m/>
    <s v="INGRESO"/>
    <d v="2022-08-05T00:00:00"/>
    <n v="8"/>
    <x v="0"/>
    <x v="0"/>
    <x v="9"/>
    <n v="84966"/>
    <n v="0"/>
    <n v="84966"/>
    <x v="0"/>
    <x v="1"/>
    <n v="539"/>
    <x v="90"/>
    <s v="MINING AND INDUSTRIAL SERVICES SPA"/>
  </r>
  <r>
    <m/>
    <s v="INGRESO"/>
    <d v="2022-08-11T00:00:00"/>
    <n v="8"/>
    <x v="0"/>
    <x v="13"/>
    <x v="9"/>
    <n v="0"/>
    <n v="156366"/>
    <n v="-156366"/>
    <x v="0"/>
    <x v="1"/>
    <n v="540"/>
    <x v="80"/>
    <s v="SOC MANUFACTURERA DE PLASTICOS LIMITADA"/>
  </r>
  <r>
    <m/>
    <s v="INGRESO"/>
    <d v="2022-08-11T00:00:00"/>
    <n v="8"/>
    <x v="0"/>
    <x v="0"/>
    <x v="9"/>
    <n v="156366"/>
    <n v="0"/>
    <n v="156366"/>
    <x v="0"/>
    <x v="1"/>
    <n v="540"/>
    <x v="80"/>
    <s v="SOC MANUFACTURERA DE PLASTICOS LIMITADA"/>
  </r>
  <r>
    <m/>
    <s v="INGRESO"/>
    <d v="2022-08-12T00:00:00"/>
    <n v="8"/>
    <x v="0"/>
    <x v="13"/>
    <x v="9"/>
    <n v="0"/>
    <n v="505548"/>
    <n v="-505548"/>
    <x v="0"/>
    <x v="1"/>
    <n v="541"/>
    <x v="67"/>
    <s v="CLINICA SAN LORENZO LIMITADA"/>
  </r>
  <r>
    <m/>
    <s v="INGRESO"/>
    <d v="2022-08-12T00:00:00"/>
    <n v="8"/>
    <x v="0"/>
    <x v="0"/>
    <x v="9"/>
    <n v="505548"/>
    <n v="0"/>
    <n v="505548"/>
    <x v="0"/>
    <x v="1"/>
    <n v="541"/>
    <x v="67"/>
    <s v="CLINICA SAN LORENZO LIMITADA"/>
  </r>
  <r>
    <m/>
    <s v="INGRESO"/>
    <d v="2022-08-17T00:00:00"/>
    <n v="8"/>
    <x v="0"/>
    <x v="13"/>
    <x v="9"/>
    <n v="0"/>
    <n v="907970"/>
    <n v="-907970"/>
    <x v="0"/>
    <x v="1"/>
    <n v="542"/>
    <x v="65"/>
    <s v="CORP DE CAPACITACION Y EMPLEO DE SOC DE FOMENTO FABRIL"/>
  </r>
  <r>
    <m/>
    <s v="INGRESO"/>
    <d v="2022-08-17T00:00:00"/>
    <n v="8"/>
    <x v="0"/>
    <x v="0"/>
    <x v="9"/>
    <n v="907970"/>
    <n v="0"/>
    <n v="907970"/>
    <x v="0"/>
    <x v="1"/>
    <n v="542"/>
    <x v="65"/>
    <s v="CORP DE CAPACITACION Y EMPLEO DE SOC DE FOMENTO FABRIL"/>
  </r>
  <r>
    <m/>
    <s v="INGRESO"/>
    <d v="2022-08-23T00:00:00"/>
    <n v="8"/>
    <x v="0"/>
    <x v="13"/>
    <x v="9"/>
    <n v="0"/>
    <n v="166541"/>
    <n v="-166541"/>
    <x v="0"/>
    <x v="1"/>
    <n v="543"/>
    <x v="94"/>
    <s v="MORRIS Y OPAZO SPA"/>
  </r>
  <r>
    <m/>
    <s v="INGRESO"/>
    <d v="2022-08-23T00:00:00"/>
    <n v="8"/>
    <x v="0"/>
    <x v="0"/>
    <x v="9"/>
    <n v="166541"/>
    <n v="0"/>
    <n v="166541"/>
    <x v="0"/>
    <x v="1"/>
    <n v="543"/>
    <x v="94"/>
    <s v="MORRIS Y OPAZO SPA"/>
  </r>
  <r>
    <m/>
    <s v="INGRESO"/>
    <d v="2022-08-25T00:00:00"/>
    <n v="8"/>
    <x v="0"/>
    <x v="13"/>
    <x v="9"/>
    <n v="0"/>
    <n v="147489"/>
    <n v="-147489"/>
    <x v="0"/>
    <x v="1"/>
    <n v="544"/>
    <x v="96"/>
    <s v="EQUIPOS MÃ‰DICOS CHILE SPA"/>
  </r>
  <r>
    <m/>
    <s v="INGRESO"/>
    <d v="2022-08-25T00:00:00"/>
    <n v="8"/>
    <x v="0"/>
    <x v="0"/>
    <x v="9"/>
    <n v="147489"/>
    <n v="0"/>
    <n v="147489"/>
    <x v="0"/>
    <x v="1"/>
    <n v="544"/>
    <x v="96"/>
    <s v="EQUIPOS MÃ‰DICOS CHILE SPA"/>
  </r>
  <r>
    <m/>
    <s v="INGRESO"/>
    <d v="2022-09-13T00:00:00"/>
    <n v="9"/>
    <x v="0"/>
    <x v="13"/>
    <x v="9"/>
    <n v="0"/>
    <n v="177310"/>
    <n v="-177310"/>
    <x v="0"/>
    <x v="1"/>
    <n v="545"/>
    <x v="91"/>
    <s v="SALUD DIGITAL SB S.A."/>
  </r>
  <r>
    <m/>
    <s v="INGRESO"/>
    <d v="2022-09-13T00:00:00"/>
    <n v="9"/>
    <x v="0"/>
    <x v="0"/>
    <x v="9"/>
    <n v="177310"/>
    <n v="0"/>
    <n v="177310"/>
    <x v="0"/>
    <x v="1"/>
    <n v="545"/>
    <x v="91"/>
    <s v="SALUD DIGITAL SB S.A."/>
  </r>
  <r>
    <m/>
    <s v="INGRESO"/>
    <d v="2022-09-13T00:00:00"/>
    <n v="9"/>
    <x v="0"/>
    <x v="13"/>
    <x v="9"/>
    <n v="0"/>
    <n v="604044"/>
    <n v="-604044"/>
    <x v="0"/>
    <x v="1"/>
    <n v="546"/>
    <x v="67"/>
    <s v="CLINICA SAN LORENZO LIMITADA"/>
  </r>
  <r>
    <m/>
    <s v="INGRESO"/>
    <d v="2022-09-13T00:00:00"/>
    <n v="9"/>
    <x v="0"/>
    <x v="0"/>
    <x v="9"/>
    <n v="604044"/>
    <n v="0"/>
    <n v="604044"/>
    <x v="0"/>
    <x v="1"/>
    <n v="546"/>
    <x v="67"/>
    <s v="CLINICA SAN LORENZO LIMITADA"/>
  </r>
  <r>
    <m/>
    <s v="INGRESO"/>
    <d v="2022-09-14T00:00:00"/>
    <n v="9"/>
    <x v="0"/>
    <x v="13"/>
    <x v="9"/>
    <n v="0"/>
    <n v="47005"/>
    <n v="-47005"/>
    <x v="0"/>
    <x v="1"/>
    <n v="547"/>
    <x v="71"/>
    <s v="EVH CONSULTORES SPA"/>
  </r>
  <r>
    <m/>
    <s v="INGRESO"/>
    <d v="2022-09-14T00:00:00"/>
    <n v="9"/>
    <x v="0"/>
    <x v="0"/>
    <x v="9"/>
    <n v="47005"/>
    <n v="0"/>
    <n v="47005"/>
    <x v="0"/>
    <x v="1"/>
    <n v="547"/>
    <x v="71"/>
    <s v="EVH CONSULTORES SPA"/>
  </r>
  <r>
    <m/>
    <s v="INGRESO"/>
    <d v="2022-09-20T00:00:00"/>
    <n v="9"/>
    <x v="0"/>
    <x v="13"/>
    <x v="9"/>
    <n v="0"/>
    <n v="326893"/>
    <n v="-326893"/>
    <x v="0"/>
    <x v="1"/>
    <n v="548"/>
    <x v="97"/>
    <s v="VIVEROS CHINIGUE S.A"/>
  </r>
  <r>
    <m/>
    <s v="INGRESO"/>
    <d v="2022-09-20T00:00:00"/>
    <n v="9"/>
    <x v="0"/>
    <x v="0"/>
    <x v="9"/>
    <n v="326893"/>
    <n v="0"/>
    <n v="326893"/>
    <x v="0"/>
    <x v="1"/>
    <n v="548"/>
    <x v="97"/>
    <s v="VIVEROS CHINIGUE S.A"/>
  </r>
  <r>
    <m/>
    <s v="INGRESO"/>
    <d v="2022-09-22T00:00:00"/>
    <n v="9"/>
    <x v="0"/>
    <x v="13"/>
    <x v="9"/>
    <n v="0"/>
    <n v="166600"/>
    <n v="-166600"/>
    <x v="0"/>
    <x v="1"/>
    <n v="549"/>
    <x v="98"/>
    <s v="DCJL INVERSIONES SPA"/>
  </r>
  <r>
    <m/>
    <s v="INGRESO"/>
    <d v="2022-09-22T00:00:00"/>
    <n v="9"/>
    <x v="0"/>
    <x v="0"/>
    <x v="9"/>
    <n v="166600"/>
    <n v="0"/>
    <n v="166600"/>
    <x v="0"/>
    <x v="1"/>
    <n v="549"/>
    <x v="98"/>
    <s v="DCJL INVERSIONES SPA"/>
  </r>
  <r>
    <m/>
    <s v="INGRESO"/>
    <d v="2022-09-22T00:00:00"/>
    <n v="9"/>
    <x v="0"/>
    <x v="13"/>
    <x v="9"/>
    <n v="0"/>
    <n v="832524"/>
    <n v="-832524"/>
    <x v="0"/>
    <x v="1"/>
    <n v="550"/>
    <x v="99"/>
    <s v="COLEGIO SAGRADA FAMILIA DE PUERTO AISEN"/>
  </r>
  <r>
    <m/>
    <s v="INGRESO"/>
    <d v="2022-09-22T00:00:00"/>
    <n v="9"/>
    <x v="0"/>
    <x v="0"/>
    <x v="9"/>
    <n v="832524"/>
    <n v="0"/>
    <n v="832524"/>
    <x v="0"/>
    <x v="1"/>
    <n v="550"/>
    <x v="99"/>
    <s v="COLEGIO SAGRADA FAMILIA DE PUERTO AISEN"/>
  </r>
  <r>
    <m/>
    <s v="INGRESO"/>
    <d v="2022-09-22T00:00:00"/>
    <n v="9"/>
    <x v="0"/>
    <x v="13"/>
    <x v="9"/>
    <n v="0"/>
    <n v="1251999"/>
    <n v="-1251999"/>
    <x v="0"/>
    <x v="1"/>
    <n v="552"/>
    <x v="100"/>
    <s v="CENTRO DE PADRES DEL COLEGIO INTERNACIONAL NIDO DE AGUILAS"/>
  </r>
  <r>
    <m/>
    <s v="INGRESO"/>
    <d v="2022-09-22T00:00:00"/>
    <n v="9"/>
    <x v="0"/>
    <x v="0"/>
    <x v="9"/>
    <n v="1251999"/>
    <n v="0"/>
    <n v="1251999"/>
    <x v="0"/>
    <x v="1"/>
    <n v="552"/>
    <x v="100"/>
    <s v="CENTRO DE PADRES DEL COLEGIO INTERNACIONAL NIDO DE AGUILAS"/>
  </r>
  <r>
    <m/>
    <s v="INGRESO"/>
    <d v="2022-09-26T00:00:00"/>
    <n v="9"/>
    <x v="0"/>
    <x v="13"/>
    <x v="9"/>
    <n v="0"/>
    <n v="437920"/>
    <n v="-437920"/>
    <x v="0"/>
    <x v="1"/>
    <n v="553"/>
    <x v="101"/>
    <s v="CORP MUNICIPAL DE CONCHALI DE EDUCACION SALUD Y ATENCION DE MENORES"/>
  </r>
  <r>
    <m/>
    <s v="INGRESO"/>
    <d v="2022-09-26T00:00:00"/>
    <n v="9"/>
    <x v="0"/>
    <x v="0"/>
    <x v="9"/>
    <n v="437920"/>
    <n v="0"/>
    <n v="437920"/>
    <x v="0"/>
    <x v="1"/>
    <n v="553"/>
    <x v="101"/>
    <s v="CORP MUNICIPAL DE CONCHALI DE EDUCACION SALUD Y ATENCION DE MENORES"/>
  </r>
  <r>
    <m/>
    <s v="INGRESO"/>
    <d v="2022-10-03T00:00:00"/>
    <n v="10"/>
    <x v="0"/>
    <x v="13"/>
    <x v="9"/>
    <n v="0"/>
    <n v="80825"/>
    <n v="-80825"/>
    <x v="0"/>
    <x v="1"/>
    <n v="554"/>
    <x v="75"/>
    <s v="DOREL JUVENILE CHILE S.A."/>
  </r>
  <r>
    <m/>
    <s v="INGRESO"/>
    <d v="2022-10-03T00:00:00"/>
    <n v="10"/>
    <x v="0"/>
    <x v="0"/>
    <x v="9"/>
    <n v="80825"/>
    <n v="0"/>
    <n v="80825"/>
    <x v="0"/>
    <x v="1"/>
    <n v="554"/>
    <x v="75"/>
    <s v="DOREL JUVENILE CHILE S.A."/>
  </r>
  <r>
    <m/>
    <s v="INGRESO"/>
    <d v="2022-10-14T00:00:00"/>
    <n v="10"/>
    <x v="0"/>
    <x v="13"/>
    <x v="9"/>
    <n v="0"/>
    <n v="6664"/>
    <n v="-6664"/>
    <x v="0"/>
    <x v="1"/>
    <n v="555"/>
    <x v="102"/>
    <s v="CORPORACION EDUCACIONAL SAN JOSE"/>
  </r>
  <r>
    <m/>
    <s v="INGRESO"/>
    <d v="2022-10-14T00:00:00"/>
    <n v="10"/>
    <x v="0"/>
    <x v="0"/>
    <x v="9"/>
    <n v="6664"/>
    <n v="0"/>
    <n v="6664"/>
    <x v="0"/>
    <x v="1"/>
    <n v="555"/>
    <x v="102"/>
    <s v="CORPORACION EDUCACIONAL SAN JOSE"/>
  </r>
  <r>
    <m/>
    <s v="INGRESO"/>
    <d v="2022-10-14T00:00:00"/>
    <n v="10"/>
    <x v="0"/>
    <x v="13"/>
    <x v="9"/>
    <n v="0"/>
    <n v="297500"/>
    <n v="-297500"/>
    <x v="0"/>
    <x v="1"/>
    <n v="556"/>
    <x v="92"/>
    <s v="HORTIFRUT CHILE S A"/>
  </r>
  <r>
    <m/>
    <s v="INGRESO"/>
    <d v="2022-10-14T00:00:00"/>
    <n v="10"/>
    <x v="0"/>
    <x v="0"/>
    <x v="9"/>
    <n v="297500"/>
    <n v="0"/>
    <n v="297500"/>
    <x v="0"/>
    <x v="1"/>
    <n v="556"/>
    <x v="92"/>
    <s v="HORTIFRUT CHILE S A"/>
  </r>
  <r>
    <m/>
    <s v="INGRESO"/>
    <d v="2022-10-14T00:00:00"/>
    <n v="10"/>
    <x v="0"/>
    <x v="13"/>
    <x v="9"/>
    <n v="0"/>
    <n v="656880"/>
    <n v="-656880"/>
    <x v="0"/>
    <x v="1"/>
    <n v="557"/>
    <x v="103"/>
    <s v="MOBIMO CHILE SPA"/>
  </r>
  <r>
    <m/>
    <s v="INGRESO"/>
    <d v="2022-10-14T00:00:00"/>
    <n v="10"/>
    <x v="0"/>
    <x v="0"/>
    <x v="9"/>
    <n v="656880"/>
    <n v="0"/>
    <n v="656880"/>
    <x v="0"/>
    <x v="1"/>
    <n v="557"/>
    <x v="103"/>
    <s v="MOBIMO CHILE SPA"/>
  </r>
  <r>
    <m/>
    <s v="INGRESO"/>
    <d v="2022-10-14T00:00:00"/>
    <n v="10"/>
    <x v="0"/>
    <x v="13"/>
    <x v="9"/>
    <n v="0"/>
    <n v="297500"/>
    <n v="-297500"/>
    <x v="0"/>
    <x v="1"/>
    <n v="558"/>
    <x v="92"/>
    <s v="HORTIFRUT CHILE S A"/>
  </r>
  <r>
    <m/>
    <s v="INGRESO"/>
    <d v="2022-10-14T00:00:00"/>
    <n v="10"/>
    <x v="0"/>
    <x v="0"/>
    <x v="9"/>
    <n v="297500"/>
    <n v="0"/>
    <n v="297500"/>
    <x v="0"/>
    <x v="1"/>
    <n v="558"/>
    <x v="92"/>
    <s v="HORTIFRUT CHILE S A"/>
  </r>
  <r>
    <m/>
    <s v="INGRESO"/>
    <d v="2022-10-14T00:00:00"/>
    <n v="10"/>
    <x v="0"/>
    <x v="13"/>
    <x v="9"/>
    <n v="0"/>
    <n v="1140960"/>
    <n v="-1140960"/>
    <x v="0"/>
    <x v="1"/>
    <n v="559"/>
    <x v="80"/>
    <s v="SOC MANUFACTURERA DE PLASTICOS LIMITADA"/>
  </r>
  <r>
    <m/>
    <s v="INGRESO"/>
    <d v="2022-10-14T00:00:00"/>
    <n v="10"/>
    <x v="0"/>
    <x v="0"/>
    <x v="9"/>
    <n v="1140960"/>
    <n v="0"/>
    <n v="1140960"/>
    <x v="0"/>
    <x v="1"/>
    <n v="559"/>
    <x v="80"/>
    <s v="SOC MANUFACTURERA DE PLASTICOS LIMITADA"/>
  </r>
  <r>
    <m/>
    <s v="INGRESO"/>
    <d v="2022-10-14T00:00:00"/>
    <n v="10"/>
    <x v="0"/>
    <x v="13"/>
    <x v="9"/>
    <n v="0"/>
    <n v="456127"/>
    <n v="-456127"/>
    <x v="0"/>
    <x v="1"/>
    <n v="560"/>
    <x v="85"/>
    <s v="ALDO BORIS UMANA ESTAY"/>
  </r>
  <r>
    <m/>
    <s v="INGRESO"/>
    <d v="2022-10-14T00:00:00"/>
    <n v="10"/>
    <x v="0"/>
    <x v="0"/>
    <x v="9"/>
    <n v="456127"/>
    <n v="0"/>
    <n v="456127"/>
    <x v="0"/>
    <x v="1"/>
    <n v="560"/>
    <x v="85"/>
    <s v="ALDO BORIS UMANA ESTAY"/>
  </r>
  <r>
    <m/>
    <s v="INGRESO"/>
    <d v="2022-10-14T00:00:00"/>
    <n v="10"/>
    <x v="0"/>
    <x v="13"/>
    <x v="9"/>
    <n v="0"/>
    <n v="99365"/>
    <n v="-99365"/>
    <x v="0"/>
    <x v="1"/>
    <n v="561"/>
    <x v="100"/>
    <s v="CENTRO DE PADRES DEL COLEGIO INTERNACIONAL NIDO DE AGUILAS"/>
  </r>
  <r>
    <m/>
    <s v="INGRESO"/>
    <d v="2022-10-14T00:00:00"/>
    <n v="10"/>
    <x v="0"/>
    <x v="0"/>
    <x v="9"/>
    <n v="99365"/>
    <n v="0"/>
    <n v="99365"/>
    <x v="0"/>
    <x v="1"/>
    <n v="561"/>
    <x v="100"/>
    <s v="CENTRO DE PADRES DEL COLEGIO INTERNACIONAL NIDO DE AGUILAS"/>
  </r>
  <r>
    <m/>
    <s v="INGRESO"/>
    <d v="2022-10-14T00:00:00"/>
    <n v="10"/>
    <x v="0"/>
    <x v="13"/>
    <x v="9"/>
    <n v="0"/>
    <n v="47362"/>
    <n v="-47362"/>
    <x v="0"/>
    <x v="1"/>
    <n v="562"/>
    <x v="55"/>
    <s v="GVA TRADING SPA"/>
  </r>
  <r>
    <m/>
    <s v="INGRESO"/>
    <d v="2022-10-14T00:00:00"/>
    <n v="10"/>
    <x v="0"/>
    <x v="0"/>
    <x v="9"/>
    <n v="47362"/>
    <n v="0"/>
    <n v="47362"/>
    <x v="0"/>
    <x v="1"/>
    <n v="562"/>
    <x v="55"/>
    <s v="GVA TRADING SPA"/>
  </r>
  <r>
    <m/>
    <s v="INGRESO"/>
    <d v="2022-10-24T00:00:00"/>
    <n v="10"/>
    <x v="0"/>
    <x v="13"/>
    <x v="9"/>
    <n v="0"/>
    <n v="53431"/>
    <n v="-53431"/>
    <x v="0"/>
    <x v="1"/>
    <n v="563"/>
    <x v="104"/>
    <s v="RAFAEL EDUARDO TRONCOSO ROZAS"/>
  </r>
  <r>
    <m/>
    <s v="INGRESO"/>
    <d v="2022-10-24T00:00:00"/>
    <n v="10"/>
    <x v="0"/>
    <x v="0"/>
    <x v="9"/>
    <n v="53431"/>
    <n v="0"/>
    <n v="53431"/>
    <x v="0"/>
    <x v="1"/>
    <n v="563"/>
    <x v="104"/>
    <s v="RAFAEL EDUARDO TRONCOSO ROZAS"/>
  </r>
  <r>
    <m/>
    <s v="INGRESO"/>
    <d v="2022-10-24T00:00:00"/>
    <n v="10"/>
    <x v="0"/>
    <x v="13"/>
    <x v="9"/>
    <n v="0"/>
    <n v="92772"/>
    <n v="-92772"/>
    <x v="0"/>
    <x v="1"/>
    <n v="565"/>
    <x v="105"/>
    <s v="IMPORTADORA DCIC SPA"/>
  </r>
  <r>
    <m/>
    <s v="INGRESO"/>
    <d v="2022-10-24T00:00:00"/>
    <n v="10"/>
    <x v="0"/>
    <x v="0"/>
    <x v="9"/>
    <n v="92772"/>
    <n v="0"/>
    <n v="92772"/>
    <x v="0"/>
    <x v="1"/>
    <n v="565"/>
    <x v="105"/>
    <s v="IMPORTADORA DCIC SPA"/>
  </r>
  <r>
    <m/>
    <s v="INGRESO"/>
    <d v="2022-10-25T00:00:00"/>
    <n v="10"/>
    <x v="0"/>
    <x v="13"/>
    <x v="9"/>
    <n v="0"/>
    <n v="394485"/>
    <n v="-394485"/>
    <x v="0"/>
    <x v="1"/>
    <n v="566"/>
    <x v="102"/>
    <s v="CORPORACION EDUCACIONAL SAN JOSE"/>
  </r>
  <r>
    <m/>
    <s v="INGRESO"/>
    <d v="2022-10-25T00:00:00"/>
    <n v="10"/>
    <x v="0"/>
    <x v="0"/>
    <x v="9"/>
    <n v="394485"/>
    <n v="0"/>
    <n v="394485"/>
    <x v="0"/>
    <x v="1"/>
    <n v="566"/>
    <x v="102"/>
    <s v="CORPORACION EDUCACIONAL SAN JOSE"/>
  </r>
  <r>
    <m/>
    <s v="INGRESO"/>
    <d v="2022-10-25T00:00:00"/>
    <n v="10"/>
    <x v="0"/>
    <x v="13"/>
    <x v="9"/>
    <n v="0"/>
    <n v="88060"/>
    <n v="-88060"/>
    <x v="0"/>
    <x v="1"/>
    <n v="567"/>
    <x v="106"/>
    <s v="CORPORACION ARETE"/>
  </r>
  <r>
    <m/>
    <s v="INGRESO"/>
    <d v="2022-10-25T00:00:00"/>
    <n v="10"/>
    <x v="0"/>
    <x v="0"/>
    <x v="9"/>
    <n v="88060"/>
    <n v="0"/>
    <n v="88060"/>
    <x v="0"/>
    <x v="1"/>
    <n v="567"/>
    <x v="106"/>
    <s v="CORPORACION ARETE"/>
  </r>
  <r>
    <m/>
    <s v="INGRESO"/>
    <d v="2022-10-25T00:00:00"/>
    <n v="10"/>
    <x v="0"/>
    <x v="13"/>
    <x v="9"/>
    <n v="0"/>
    <n v="117810"/>
    <n v="-117810"/>
    <x v="0"/>
    <x v="1"/>
    <n v="568"/>
    <x v="107"/>
    <s v="INVERSIONES KEFFI SPA"/>
  </r>
  <r>
    <m/>
    <s v="INGRESO"/>
    <d v="2022-10-25T00:00:00"/>
    <n v="10"/>
    <x v="0"/>
    <x v="0"/>
    <x v="9"/>
    <n v="117810"/>
    <n v="0"/>
    <n v="117810"/>
    <x v="0"/>
    <x v="1"/>
    <n v="568"/>
    <x v="107"/>
    <s v="INVERSIONES KEFFI SPA"/>
  </r>
  <r>
    <m/>
    <s v="INGRESO"/>
    <d v="2022-10-25T00:00:00"/>
    <n v="10"/>
    <x v="0"/>
    <x v="13"/>
    <x v="9"/>
    <n v="0"/>
    <n v="1223272"/>
    <n v="-1223272"/>
    <x v="0"/>
    <x v="1"/>
    <n v="569"/>
    <x v="108"/>
    <s v="FUNDACION BEST BUDDIES CHILE"/>
  </r>
  <r>
    <m/>
    <s v="INGRESO"/>
    <d v="2022-10-25T00:00:00"/>
    <n v="10"/>
    <x v="0"/>
    <x v="0"/>
    <x v="9"/>
    <n v="1223272"/>
    <n v="0"/>
    <n v="1223272"/>
    <x v="0"/>
    <x v="1"/>
    <n v="569"/>
    <x v="108"/>
    <s v="FUNDACION BEST BUDDIES CHILE"/>
  </r>
  <r>
    <m/>
    <s v="INGRESO"/>
    <d v="2022-10-26T00:00:00"/>
    <n v="10"/>
    <x v="0"/>
    <x v="13"/>
    <x v="9"/>
    <n v="0"/>
    <n v="443965"/>
    <n v="-443965"/>
    <x v="0"/>
    <x v="1"/>
    <n v="570"/>
    <x v="109"/>
    <s v="COMERCIAL FUNDACION LIMITADA"/>
  </r>
  <r>
    <m/>
    <s v="INGRESO"/>
    <d v="2022-10-26T00:00:00"/>
    <n v="10"/>
    <x v="0"/>
    <x v="0"/>
    <x v="9"/>
    <n v="443965"/>
    <n v="0"/>
    <n v="443965"/>
    <x v="0"/>
    <x v="1"/>
    <n v="570"/>
    <x v="109"/>
    <s v="COMERCIAL FUNDACION LIMITADA"/>
  </r>
  <r>
    <m/>
    <s v="INGRESO"/>
    <d v="2022-10-28T00:00:00"/>
    <n v="10"/>
    <x v="0"/>
    <x v="13"/>
    <x v="9"/>
    <n v="0"/>
    <n v="171170"/>
    <n v="-171170"/>
    <x v="0"/>
    <x v="1"/>
    <n v="571"/>
    <x v="90"/>
    <s v="MINING AND INDUSTRIAL SERVICES SPA"/>
  </r>
  <r>
    <m/>
    <s v="INGRESO"/>
    <d v="2022-10-28T00:00:00"/>
    <n v="10"/>
    <x v="0"/>
    <x v="0"/>
    <x v="9"/>
    <n v="171170"/>
    <n v="0"/>
    <n v="171170"/>
    <x v="0"/>
    <x v="1"/>
    <n v="571"/>
    <x v="90"/>
    <s v="MINING AND INDUSTRIAL SERVICES SPA"/>
  </r>
  <r>
    <m/>
    <s v="INGRESO"/>
    <d v="2022-10-28T00:00:00"/>
    <n v="10"/>
    <x v="0"/>
    <x v="13"/>
    <x v="9"/>
    <n v="0"/>
    <n v="427924"/>
    <n v="-427924"/>
    <x v="0"/>
    <x v="1"/>
    <n v="572"/>
    <x v="64"/>
    <s v="MIXX MARKETING Y PUBLICIDAD LIMITADA"/>
  </r>
  <r>
    <m/>
    <s v="INGRESO"/>
    <d v="2022-10-28T00:00:00"/>
    <n v="10"/>
    <x v="0"/>
    <x v="0"/>
    <x v="9"/>
    <n v="427924"/>
    <n v="0"/>
    <n v="427924"/>
    <x v="0"/>
    <x v="1"/>
    <n v="572"/>
    <x v="64"/>
    <s v="MIXX MARKETING Y PUBLICIDAD LIMITADA"/>
  </r>
  <r>
    <m/>
    <s v="INGRESO"/>
    <d v="2022-10-14T00:00:00"/>
    <n v="10"/>
    <x v="0"/>
    <x v="13"/>
    <x v="9"/>
    <n v="0"/>
    <n v="0"/>
    <n v="0"/>
    <x v="0"/>
    <x v="2"/>
    <n v="23"/>
    <x v="92"/>
    <s v="HORTIFRUT CHILE S A"/>
  </r>
  <r>
    <m/>
    <s v="INGRESO"/>
    <d v="2022-10-14T00:00:00"/>
    <n v="10"/>
    <x v="0"/>
    <x v="0"/>
    <x v="9"/>
    <n v="0"/>
    <n v="0"/>
    <n v="0"/>
    <x v="0"/>
    <x v="2"/>
    <n v="23"/>
    <x v="92"/>
    <s v="HORTIFRUT CHILE S A"/>
  </r>
  <r>
    <m/>
    <s v="INGRESO"/>
    <d v="2022-10-14T00:00:00"/>
    <n v="10"/>
    <x v="0"/>
    <x v="13"/>
    <x v="9"/>
    <n v="297500"/>
    <n v="0"/>
    <n v="297500"/>
    <x v="0"/>
    <x v="2"/>
    <n v="24"/>
    <x v="92"/>
    <s v="HORTIFRUT CHILE S A"/>
  </r>
  <r>
    <m/>
    <s v="INGRESO"/>
    <d v="2022-10-14T00:00:00"/>
    <n v="10"/>
    <x v="0"/>
    <x v="0"/>
    <x v="9"/>
    <n v="0"/>
    <n v="297500"/>
    <n v="-297500"/>
    <x v="0"/>
    <x v="2"/>
    <n v="24"/>
    <x v="92"/>
    <s v="HORTIFRUT CHILE S A"/>
  </r>
  <r>
    <m/>
    <s v="INGRESO"/>
    <d v="2022-11-02T00:00:00"/>
    <n v="11"/>
    <x v="0"/>
    <x v="13"/>
    <x v="9"/>
    <n v="0"/>
    <n v="101638"/>
    <n v="-101638"/>
    <x v="0"/>
    <x v="1"/>
    <n v="573"/>
    <x v="110"/>
    <s v="DISTRIBUIDORA MIGUEL AMPUERO SPA"/>
  </r>
  <r>
    <m/>
    <s v="INGRESO"/>
    <d v="2022-11-02T00:00:00"/>
    <n v="11"/>
    <x v="0"/>
    <x v="0"/>
    <x v="9"/>
    <n v="101638"/>
    <n v="0"/>
    <n v="101638"/>
    <x v="0"/>
    <x v="1"/>
    <n v="573"/>
    <x v="110"/>
    <s v="DISTRIBUIDORA MIGUEL AMPUERO SPA"/>
  </r>
  <r>
    <m/>
    <s v="INGRESO"/>
    <d v="2022-11-02T00:00:00"/>
    <n v="11"/>
    <x v="0"/>
    <x v="13"/>
    <x v="9"/>
    <n v="0"/>
    <n v="67759"/>
    <n v="-67759"/>
    <x v="0"/>
    <x v="1"/>
    <n v="574"/>
    <x v="110"/>
    <s v="DISTRIBUIDORA MIGUEL AMPUERO SPA"/>
  </r>
  <r>
    <m/>
    <s v="INGRESO"/>
    <d v="2022-11-02T00:00:00"/>
    <n v="11"/>
    <x v="0"/>
    <x v="0"/>
    <x v="9"/>
    <n v="67759"/>
    <n v="0"/>
    <n v="67759"/>
    <x v="0"/>
    <x v="1"/>
    <n v="574"/>
    <x v="110"/>
    <s v="DISTRIBUIDORA MIGUEL AMPUERO SPA"/>
  </r>
  <r>
    <m/>
    <s v="INGRESO"/>
    <d v="2022-11-09T00:00:00"/>
    <n v="11"/>
    <x v="0"/>
    <x v="13"/>
    <x v="9"/>
    <n v="0"/>
    <n v="389844"/>
    <n v="-389844"/>
    <x v="0"/>
    <x v="1"/>
    <n v="575"/>
    <x v="102"/>
    <s v="CORPORACION EDUCACIONAL SAN JOSE"/>
  </r>
  <r>
    <m/>
    <s v="INGRESO"/>
    <d v="2022-11-09T00:00:00"/>
    <n v="11"/>
    <x v="0"/>
    <x v="0"/>
    <x v="9"/>
    <n v="389844"/>
    <n v="0"/>
    <n v="389844"/>
    <x v="0"/>
    <x v="1"/>
    <n v="575"/>
    <x v="102"/>
    <s v="CORPORACION EDUCACIONAL SAN JOSE"/>
  </r>
  <r>
    <m/>
    <s v="INGRESO"/>
    <d v="2022-11-09T00:00:00"/>
    <n v="11"/>
    <x v="0"/>
    <x v="13"/>
    <x v="9"/>
    <n v="0"/>
    <n v="414120"/>
    <n v="-414120"/>
    <x v="0"/>
    <x v="1"/>
    <n v="577"/>
    <x v="48"/>
    <s v="BARRY CALLEBAUT CHILE SPA"/>
  </r>
  <r>
    <m/>
    <s v="INGRESO"/>
    <d v="2022-11-09T00:00:00"/>
    <n v="11"/>
    <x v="0"/>
    <x v="0"/>
    <x v="9"/>
    <n v="414120"/>
    <n v="0"/>
    <n v="414120"/>
    <x v="0"/>
    <x v="1"/>
    <n v="577"/>
    <x v="48"/>
    <s v="BARRY CALLEBAUT CHILE SPA"/>
  </r>
  <r>
    <m/>
    <s v="INGRESO"/>
    <d v="2022-11-09T00:00:00"/>
    <n v="11"/>
    <x v="0"/>
    <x v="13"/>
    <x v="9"/>
    <n v="0"/>
    <n v="178357"/>
    <n v="-178357"/>
    <x v="0"/>
    <x v="1"/>
    <n v="578"/>
    <x v="94"/>
    <s v="MORRIS Y OPAZO SPA"/>
  </r>
  <r>
    <m/>
    <s v="INGRESO"/>
    <d v="2022-11-09T00:00:00"/>
    <n v="11"/>
    <x v="0"/>
    <x v="0"/>
    <x v="9"/>
    <n v="178357"/>
    <n v="0"/>
    <n v="178357"/>
    <x v="0"/>
    <x v="1"/>
    <n v="578"/>
    <x v="94"/>
    <s v="MORRIS Y OPAZO SPA"/>
  </r>
  <r>
    <m/>
    <s v="INGRESO"/>
    <d v="2022-11-11T00:00:00"/>
    <n v="11"/>
    <x v="0"/>
    <x v="13"/>
    <x v="9"/>
    <n v="0"/>
    <n v="1808800"/>
    <n v="-1808800"/>
    <x v="0"/>
    <x v="1"/>
    <n v="579"/>
    <x v="100"/>
    <s v="CENTRO DE PADRES DEL COLEGIO INTERNACIONAL NIDO DE AGUILAS"/>
  </r>
  <r>
    <m/>
    <s v="INGRESO"/>
    <d v="2022-11-11T00:00:00"/>
    <n v="11"/>
    <x v="0"/>
    <x v="0"/>
    <x v="9"/>
    <n v="1808800"/>
    <n v="0"/>
    <n v="1808800"/>
    <x v="0"/>
    <x v="1"/>
    <n v="579"/>
    <x v="100"/>
    <s v="CENTRO DE PADRES DEL COLEGIO INTERNACIONAL NIDO DE AGUILAS"/>
  </r>
  <r>
    <m/>
    <s v="INGRESO"/>
    <d v="2022-11-28T00:00:00"/>
    <n v="11"/>
    <x v="0"/>
    <x v="13"/>
    <x v="9"/>
    <n v="0"/>
    <n v="109385"/>
    <n v="-109385"/>
    <x v="0"/>
    <x v="1"/>
    <n v="580"/>
    <x v="111"/>
    <s v="DAKONON SPA"/>
  </r>
  <r>
    <m/>
    <s v="INGRESO"/>
    <d v="2022-11-28T00:00:00"/>
    <n v="11"/>
    <x v="0"/>
    <x v="0"/>
    <x v="9"/>
    <n v="109385"/>
    <n v="0"/>
    <n v="109385"/>
    <x v="0"/>
    <x v="1"/>
    <n v="580"/>
    <x v="111"/>
    <s v="DAKONON SPA"/>
  </r>
  <r>
    <m/>
    <s v="INGRESO"/>
    <d v="2022-11-28T00:00:00"/>
    <n v="11"/>
    <x v="0"/>
    <x v="13"/>
    <x v="9"/>
    <n v="0"/>
    <n v="272784"/>
    <n v="-272784"/>
    <x v="0"/>
    <x v="1"/>
    <n v="581"/>
    <x v="90"/>
    <s v="MINING AND INDUSTRIAL SERVICES SPA"/>
  </r>
  <r>
    <m/>
    <s v="INGRESO"/>
    <d v="2022-11-28T00:00:00"/>
    <n v="11"/>
    <x v="0"/>
    <x v="0"/>
    <x v="9"/>
    <n v="272784"/>
    <n v="0"/>
    <n v="272784"/>
    <x v="0"/>
    <x v="1"/>
    <n v="581"/>
    <x v="90"/>
    <s v="MINING AND INDUSTRIAL SERVICES SPA"/>
  </r>
  <r>
    <m/>
    <s v="INGRESO"/>
    <d v="2022-11-29T00:00:00"/>
    <n v="11"/>
    <x v="0"/>
    <x v="13"/>
    <x v="9"/>
    <n v="0"/>
    <n v="59500"/>
    <n v="-59500"/>
    <x v="0"/>
    <x v="1"/>
    <n v="582"/>
    <x v="47"/>
    <s v="TRAIL SPA"/>
  </r>
  <r>
    <m/>
    <s v="INGRESO"/>
    <d v="2022-11-29T00:00:00"/>
    <n v="11"/>
    <x v="0"/>
    <x v="0"/>
    <x v="9"/>
    <n v="59500"/>
    <n v="0"/>
    <n v="59500"/>
    <x v="0"/>
    <x v="1"/>
    <n v="582"/>
    <x v="47"/>
    <s v="TRAIL SPA"/>
  </r>
  <r>
    <m/>
    <s v="INGRESO"/>
    <d v="2022-11-30T00:00:00"/>
    <n v="11"/>
    <x v="0"/>
    <x v="13"/>
    <x v="9"/>
    <n v="0"/>
    <n v="241618"/>
    <n v="-241618"/>
    <x v="0"/>
    <x v="1"/>
    <n v="583"/>
    <x v="112"/>
    <s v="PRODUCTORA Y DISTRIBUIDORA ALQUITARA SPA"/>
  </r>
  <r>
    <m/>
    <s v="INGRESO"/>
    <d v="2022-11-30T00:00:00"/>
    <n v="11"/>
    <x v="0"/>
    <x v="0"/>
    <x v="9"/>
    <n v="241618"/>
    <n v="0"/>
    <n v="241618"/>
    <x v="0"/>
    <x v="1"/>
    <n v="583"/>
    <x v="112"/>
    <s v="PRODUCTORA Y DISTRIBUIDORA ALQUITARA SPA"/>
  </r>
  <r>
    <m/>
    <s v="INGRESO"/>
    <d v="2022-12-02T00:00:00"/>
    <n v="12"/>
    <x v="0"/>
    <x v="13"/>
    <x v="9"/>
    <n v="0"/>
    <n v="719950"/>
    <n v="-719950"/>
    <x v="0"/>
    <x v="1"/>
    <n v="584"/>
    <x v="48"/>
    <s v="BARRY CALLEBAUT CHILE SPA"/>
  </r>
  <r>
    <m/>
    <s v="INGRESO"/>
    <d v="2022-12-02T00:00:00"/>
    <n v="12"/>
    <x v="0"/>
    <x v="0"/>
    <x v="9"/>
    <n v="719950"/>
    <n v="0"/>
    <n v="719950"/>
    <x v="0"/>
    <x v="1"/>
    <n v="584"/>
    <x v="48"/>
    <s v="BARRY CALLEBAUT CHILE SPA"/>
  </r>
  <r>
    <m/>
    <s v="INGRESO"/>
    <d v="2022-12-05T00:00:00"/>
    <n v="12"/>
    <x v="0"/>
    <x v="13"/>
    <x v="9"/>
    <n v="0"/>
    <n v="445655"/>
    <n v="-445655"/>
    <x v="0"/>
    <x v="1"/>
    <n v="585"/>
    <x v="113"/>
    <s v="JENYLOVE SPA"/>
  </r>
  <r>
    <m/>
    <s v="INGRESO"/>
    <d v="2022-12-05T00:00:00"/>
    <n v="12"/>
    <x v="0"/>
    <x v="0"/>
    <x v="9"/>
    <n v="445655"/>
    <n v="0"/>
    <n v="445655"/>
    <x v="0"/>
    <x v="1"/>
    <n v="585"/>
    <x v="113"/>
    <s v="JENYLOVE SPA"/>
  </r>
  <r>
    <m/>
    <s v="INGRESO"/>
    <d v="2022-12-05T00:00:00"/>
    <n v="12"/>
    <x v="0"/>
    <x v="13"/>
    <x v="9"/>
    <n v="0"/>
    <n v="445655"/>
    <n v="-445655"/>
    <x v="0"/>
    <x v="1"/>
    <n v="586"/>
    <x v="114"/>
    <s v="JENYLOVE SPA"/>
  </r>
  <r>
    <m/>
    <s v="INGRESO"/>
    <d v="2022-12-05T00:00:00"/>
    <n v="12"/>
    <x v="0"/>
    <x v="0"/>
    <x v="9"/>
    <n v="445655"/>
    <n v="0"/>
    <n v="445655"/>
    <x v="0"/>
    <x v="1"/>
    <n v="586"/>
    <x v="114"/>
    <s v="JENYLOVE SPA"/>
  </r>
  <r>
    <m/>
    <s v="INGRESO"/>
    <d v="2022-12-07T00:00:00"/>
    <n v="12"/>
    <x v="0"/>
    <x v="13"/>
    <x v="9"/>
    <n v="0"/>
    <n v="341828"/>
    <n v="-341828"/>
    <x v="0"/>
    <x v="1"/>
    <n v="587"/>
    <x v="97"/>
    <s v="VIVEROS CHINIGUE S.A"/>
  </r>
  <r>
    <m/>
    <s v="INGRESO"/>
    <d v="2022-12-07T00:00:00"/>
    <n v="12"/>
    <x v="0"/>
    <x v="0"/>
    <x v="9"/>
    <n v="341828"/>
    <n v="0"/>
    <n v="341828"/>
    <x v="0"/>
    <x v="1"/>
    <n v="587"/>
    <x v="97"/>
    <s v="VIVEROS CHINIGUE S.A"/>
  </r>
  <r>
    <m/>
    <s v="INGRESO"/>
    <d v="2022-12-07T00:00:00"/>
    <n v="12"/>
    <x v="0"/>
    <x v="13"/>
    <x v="9"/>
    <n v="0"/>
    <n v="172074"/>
    <n v="-172074"/>
    <x v="0"/>
    <x v="1"/>
    <n v="588"/>
    <x v="115"/>
    <s v="COMERCIALIZADORA DE PRODUCTOS TECNOLOGICOS LIMITADA"/>
  </r>
  <r>
    <m/>
    <s v="INGRESO"/>
    <d v="2022-12-07T00:00:00"/>
    <n v="12"/>
    <x v="0"/>
    <x v="0"/>
    <x v="9"/>
    <n v="172074"/>
    <n v="0"/>
    <n v="172074"/>
    <x v="0"/>
    <x v="1"/>
    <n v="588"/>
    <x v="115"/>
    <s v="COMERCIALIZADORA DE PRODUCTOS TECNOLOGICOS LIMITADA"/>
  </r>
  <r>
    <m/>
    <s v="INGRESO"/>
    <d v="2022-12-07T00:00:00"/>
    <n v="12"/>
    <x v="0"/>
    <x v="13"/>
    <x v="9"/>
    <n v="0"/>
    <n v="106029"/>
    <n v="-106029"/>
    <x v="0"/>
    <x v="1"/>
    <n v="589"/>
    <x v="92"/>
    <s v="HORTIFRUT CHILE S A"/>
  </r>
  <r>
    <m/>
    <s v="INGRESO"/>
    <d v="2022-12-07T00:00:00"/>
    <n v="12"/>
    <x v="0"/>
    <x v="0"/>
    <x v="9"/>
    <n v="106029"/>
    <n v="0"/>
    <n v="106029"/>
    <x v="0"/>
    <x v="1"/>
    <n v="589"/>
    <x v="92"/>
    <s v="HORTIFRUT CHILE S A"/>
  </r>
  <r>
    <m/>
    <s v="INGRESO"/>
    <d v="2022-12-07T00:00:00"/>
    <n v="12"/>
    <x v="0"/>
    <x v="13"/>
    <x v="9"/>
    <n v="0"/>
    <n v="94248"/>
    <n v="-94248"/>
    <x v="0"/>
    <x v="1"/>
    <n v="591"/>
    <x v="92"/>
    <s v="HORTIFRUT CHILE S A"/>
  </r>
  <r>
    <m/>
    <s v="INGRESO"/>
    <d v="2022-12-07T00:00:00"/>
    <n v="12"/>
    <x v="0"/>
    <x v="0"/>
    <x v="9"/>
    <n v="94248"/>
    <n v="0"/>
    <n v="94248"/>
    <x v="0"/>
    <x v="1"/>
    <n v="591"/>
    <x v="92"/>
    <s v="HORTIFRUT CHILE S A"/>
  </r>
  <r>
    <m/>
    <s v="INGRESO"/>
    <d v="2022-12-12T00:00:00"/>
    <n v="12"/>
    <x v="0"/>
    <x v="13"/>
    <x v="9"/>
    <n v="0"/>
    <n v="158103"/>
    <n v="-158103"/>
    <x v="0"/>
    <x v="1"/>
    <n v="592"/>
    <x v="54"/>
    <s v="IMPORTACIONES Y SERVICIOS ADVANCED COMPUTING TECHNOLOGIES S.A."/>
  </r>
  <r>
    <m/>
    <s v="INGRESO"/>
    <d v="2022-12-12T00:00:00"/>
    <n v="12"/>
    <x v="0"/>
    <x v="0"/>
    <x v="9"/>
    <n v="158103"/>
    <n v="0"/>
    <n v="158103"/>
    <x v="0"/>
    <x v="1"/>
    <n v="592"/>
    <x v="54"/>
    <s v="IMPORTACIONES Y SERVICIOS ADVANCED COMPUTING TECHNOLOGIES S.A."/>
  </r>
  <r>
    <m/>
    <s v="INGRESO"/>
    <d v="2022-12-12T00:00:00"/>
    <n v="12"/>
    <x v="0"/>
    <x v="13"/>
    <x v="9"/>
    <n v="0"/>
    <n v="249900"/>
    <n v="-249900"/>
    <x v="0"/>
    <x v="1"/>
    <n v="594"/>
    <x v="47"/>
    <s v="TRAIL SPA"/>
  </r>
  <r>
    <m/>
    <s v="INGRESO"/>
    <d v="2022-12-12T00:00:00"/>
    <n v="12"/>
    <x v="0"/>
    <x v="0"/>
    <x v="9"/>
    <n v="249900"/>
    <n v="0"/>
    <n v="249900"/>
    <x v="0"/>
    <x v="1"/>
    <n v="594"/>
    <x v="47"/>
    <s v="TRAIL SPA"/>
  </r>
  <r>
    <m/>
    <s v="INGRESO"/>
    <d v="2022-12-14T00:00:00"/>
    <n v="12"/>
    <x v="0"/>
    <x v="13"/>
    <x v="9"/>
    <n v="0"/>
    <n v="1331134"/>
    <n v="-1331134"/>
    <x v="0"/>
    <x v="1"/>
    <n v="595"/>
    <x v="67"/>
    <s v="CLINICA SAN LORENZO LIMITADA"/>
  </r>
  <r>
    <m/>
    <s v="INGRESO"/>
    <d v="2022-12-14T00:00:00"/>
    <n v="12"/>
    <x v="0"/>
    <x v="0"/>
    <x v="9"/>
    <n v="1331134"/>
    <n v="0"/>
    <n v="1331134"/>
    <x v="0"/>
    <x v="1"/>
    <n v="595"/>
    <x v="67"/>
    <s v="CLINICA SAN LORENZO LIMITADA"/>
  </r>
  <r>
    <m/>
    <s v="INGRESO"/>
    <d v="2022-12-21T00:00:00"/>
    <n v="12"/>
    <x v="0"/>
    <x v="13"/>
    <x v="9"/>
    <n v="0"/>
    <n v="296667"/>
    <n v="-296667"/>
    <x v="0"/>
    <x v="1"/>
    <n v="596"/>
    <x v="116"/>
    <s v="CHRISTENSEN CHILE S A"/>
  </r>
  <r>
    <m/>
    <s v="INGRESO"/>
    <d v="2022-12-21T00:00:00"/>
    <n v="12"/>
    <x v="0"/>
    <x v="0"/>
    <x v="9"/>
    <n v="296667"/>
    <n v="0"/>
    <n v="296667"/>
    <x v="0"/>
    <x v="1"/>
    <n v="596"/>
    <x v="116"/>
    <s v="CHRISTENSEN CHILE S A"/>
  </r>
  <r>
    <m/>
    <s v="INGRESO"/>
    <d v="2022-12-22T00:00:00"/>
    <n v="12"/>
    <x v="0"/>
    <x v="13"/>
    <x v="9"/>
    <n v="0"/>
    <n v="59976"/>
    <n v="-59976"/>
    <x v="0"/>
    <x v="1"/>
    <n v="597"/>
    <x v="55"/>
    <s v="GVA TRADING SPA"/>
  </r>
  <r>
    <m/>
    <s v="INGRESO"/>
    <d v="2022-12-22T00:00:00"/>
    <n v="12"/>
    <x v="0"/>
    <x v="0"/>
    <x v="9"/>
    <n v="59976"/>
    <n v="0"/>
    <n v="59976"/>
    <x v="0"/>
    <x v="1"/>
    <n v="597"/>
    <x v="55"/>
    <s v="GVA TRADING SPA"/>
  </r>
  <r>
    <m/>
    <s v="INGRESO"/>
    <d v="2022-12-23T00:00:00"/>
    <n v="12"/>
    <x v="0"/>
    <x v="13"/>
    <x v="9"/>
    <n v="0"/>
    <n v="309400"/>
    <n v="-309400"/>
    <x v="0"/>
    <x v="1"/>
    <n v="598"/>
    <x v="47"/>
    <s v="TRAIL SPA"/>
  </r>
  <r>
    <m/>
    <s v="INGRESO"/>
    <d v="2022-12-23T00:00:00"/>
    <n v="12"/>
    <x v="0"/>
    <x v="0"/>
    <x v="9"/>
    <n v="309400"/>
    <n v="0"/>
    <n v="309400"/>
    <x v="0"/>
    <x v="1"/>
    <n v="598"/>
    <x v="47"/>
    <s v="TRAIL SPA"/>
  </r>
  <r>
    <m/>
    <s v="INGRESO"/>
    <d v="2022-12-28T00:00:00"/>
    <n v="12"/>
    <x v="0"/>
    <x v="13"/>
    <x v="9"/>
    <n v="0"/>
    <n v="53431"/>
    <n v="-53431"/>
    <x v="0"/>
    <x v="1"/>
    <n v="599"/>
    <x v="117"/>
    <s v="ESCUELAS DEPORTIVAS MONKEY ROCKERS SPA"/>
  </r>
  <r>
    <m/>
    <s v="INGRESO"/>
    <d v="2022-12-28T00:00:00"/>
    <n v="12"/>
    <x v="0"/>
    <x v="0"/>
    <x v="9"/>
    <n v="53431"/>
    <n v="0"/>
    <n v="53431"/>
    <x v="0"/>
    <x v="1"/>
    <n v="599"/>
    <x v="117"/>
    <s v="ESCUELAS DEPORTIVAS MONKEY ROCKERS SPA"/>
  </r>
  <r>
    <m/>
    <s v="INGRESO"/>
    <d v="2022-12-28T00:00:00"/>
    <n v="12"/>
    <x v="0"/>
    <x v="13"/>
    <x v="9"/>
    <n v="0"/>
    <n v="440431"/>
    <n v="-440431"/>
    <x v="0"/>
    <x v="1"/>
    <n v="600"/>
    <x v="118"/>
    <s v="KAUFMANN SA VEHICULOS MOTORIZADOS"/>
  </r>
  <r>
    <m/>
    <s v="INGRESO"/>
    <d v="2022-12-28T00:00:00"/>
    <n v="12"/>
    <x v="0"/>
    <x v="0"/>
    <x v="9"/>
    <n v="440431"/>
    <n v="0"/>
    <n v="440431"/>
    <x v="0"/>
    <x v="1"/>
    <n v="600"/>
    <x v="118"/>
    <s v="KAUFMANN SA VEHICULOS MOTORIZADOS"/>
  </r>
  <r>
    <m/>
    <s v="INGRESO"/>
    <d v="2022-12-28T00:00:00"/>
    <n v="12"/>
    <x v="0"/>
    <x v="13"/>
    <x v="9"/>
    <n v="0"/>
    <n v="583100"/>
    <n v="-583100"/>
    <x v="0"/>
    <x v="1"/>
    <n v="601"/>
    <x v="119"/>
    <s v="CORPORACION EDUCACIONAL SAN ANDRES DE PENAFLOR"/>
  </r>
  <r>
    <m/>
    <s v="INGRESO"/>
    <d v="2022-12-28T00:00:00"/>
    <n v="12"/>
    <x v="0"/>
    <x v="0"/>
    <x v="9"/>
    <n v="583100"/>
    <n v="0"/>
    <n v="583100"/>
    <x v="0"/>
    <x v="1"/>
    <n v="601"/>
    <x v="119"/>
    <s v="CORPORACION EDUCACIONAL SAN ANDRES DE PENAFLOR"/>
  </r>
  <r>
    <m/>
    <s v="INGRESO"/>
    <d v="2022-12-28T00:00:00"/>
    <n v="12"/>
    <x v="0"/>
    <x v="13"/>
    <x v="9"/>
    <n v="0"/>
    <n v="28322"/>
    <n v="-28322"/>
    <x v="0"/>
    <x v="1"/>
    <n v="602"/>
    <x v="92"/>
    <s v="HORTIFRUT CHILE S A"/>
  </r>
  <r>
    <m/>
    <s v="INGRESO"/>
    <d v="2022-12-28T00:00:00"/>
    <n v="12"/>
    <x v="0"/>
    <x v="0"/>
    <x v="9"/>
    <n v="28322"/>
    <n v="0"/>
    <n v="28322"/>
    <x v="0"/>
    <x v="1"/>
    <n v="602"/>
    <x v="92"/>
    <s v="HORTIFRUT CHILE S A"/>
  </r>
  <r>
    <m/>
    <s v="INGRESO"/>
    <d v="2022-12-30T00:00:00"/>
    <n v="12"/>
    <x v="0"/>
    <x v="13"/>
    <x v="9"/>
    <n v="296667"/>
    <n v="0"/>
    <n v="296667"/>
    <x v="0"/>
    <x v="2"/>
    <n v="25"/>
    <x v="116"/>
    <s v="CHRISTENSEN CHILE S A"/>
  </r>
  <r>
    <m/>
    <s v="INGRESO"/>
    <d v="2022-12-30T00:00:00"/>
    <n v="12"/>
    <x v="0"/>
    <x v="0"/>
    <x v="9"/>
    <n v="0"/>
    <n v="296667"/>
    <n v="-296667"/>
    <x v="0"/>
    <x v="2"/>
    <n v="25"/>
    <x v="116"/>
    <s v="CHRISTENSEN CHILE S A"/>
  </r>
  <r>
    <m/>
    <s v="TRASPASO "/>
    <d v="2022-01-31T00:00:00"/>
    <n v="1"/>
    <x v="1"/>
    <x v="14"/>
    <x v="10"/>
    <n v="1023584"/>
    <m/>
    <n v="1023584"/>
    <x v="0"/>
    <x v="0"/>
    <m/>
    <x v="0"/>
    <m/>
  </r>
  <r>
    <m/>
    <s v="TRASPASO "/>
    <d v="2022-01-31T00:00:00"/>
    <n v="1"/>
    <x v="0"/>
    <x v="11"/>
    <x v="10"/>
    <n v="0"/>
    <n v="553569"/>
    <n v="-553569"/>
    <x v="0"/>
    <x v="0"/>
    <m/>
    <x v="0"/>
    <m/>
  </r>
  <r>
    <m/>
    <s v="TRASPASO "/>
    <d v="2022-01-31T00:00:00"/>
    <n v="1"/>
    <x v="1"/>
    <x v="8"/>
    <x v="10"/>
    <n v="6125"/>
    <m/>
    <n v="6125"/>
    <x v="0"/>
    <x v="0"/>
    <m/>
    <x v="0"/>
    <m/>
  </r>
  <r>
    <m/>
    <s v="TRASPASO "/>
    <d v="2022-01-31T00:00:00"/>
    <n v="1"/>
    <x v="0"/>
    <x v="2"/>
    <x v="10"/>
    <n v="2136141"/>
    <n v="2606156"/>
    <n v="-470015"/>
    <x v="0"/>
    <x v="0"/>
    <m/>
    <x v="0"/>
    <m/>
  </r>
  <r>
    <m/>
    <s v="TRASPASO "/>
    <d v="2022-01-31T00:00:00"/>
    <n v="1"/>
    <x v="0"/>
    <x v="1"/>
    <x v="10"/>
    <n v="5387"/>
    <m/>
    <n v="5387"/>
    <x v="0"/>
    <x v="0"/>
    <m/>
    <x v="0"/>
    <m/>
  </r>
  <r>
    <m/>
    <s v="TRASPASO "/>
    <d v="2022-01-31T00:00:00"/>
    <n v="1"/>
    <x v="1"/>
    <x v="3"/>
    <x v="10"/>
    <m/>
    <n v="11512"/>
    <n v="-11512"/>
    <x v="0"/>
    <x v="0"/>
    <m/>
    <x v="0"/>
    <m/>
  </r>
  <r>
    <m/>
    <s v="EGRESO"/>
    <d v="2022-02-18T00:00:00"/>
    <n v="2"/>
    <x v="1"/>
    <x v="3"/>
    <x v="11"/>
    <n v="11512"/>
    <n v="0"/>
    <n v="11512"/>
    <x v="0"/>
    <x v="0"/>
    <m/>
    <x v="0"/>
    <m/>
  </r>
  <r>
    <m/>
    <s v="EGRESO"/>
    <d v="2022-02-18T00:00:00"/>
    <n v="2"/>
    <x v="0"/>
    <x v="0"/>
    <x v="11"/>
    <n v="0"/>
    <n v="11512"/>
    <n v="-11512"/>
    <x v="0"/>
    <x v="0"/>
    <m/>
    <x v="0"/>
    <m/>
  </r>
  <r>
    <m/>
    <s v="TRASPASO "/>
    <d v="2022-02-28T00:00:00"/>
    <n v="2"/>
    <x v="1"/>
    <x v="14"/>
    <x v="10"/>
    <n v="679551"/>
    <m/>
    <n v="679551"/>
    <x v="0"/>
    <x v="0"/>
    <m/>
    <x v="0"/>
    <m/>
  </r>
  <r>
    <m/>
    <s v="TRASPASO "/>
    <d v="2022-02-28T00:00:00"/>
    <n v="2"/>
    <x v="0"/>
    <x v="11"/>
    <x v="10"/>
    <m/>
    <n v="419755"/>
    <n v="-419755"/>
    <x v="0"/>
    <x v="0"/>
    <m/>
    <x v="0"/>
    <m/>
  </r>
  <r>
    <m/>
    <s v="TRASPASO "/>
    <d v="2022-02-28T00:00:00"/>
    <n v="2"/>
    <x v="1"/>
    <x v="8"/>
    <x v="10"/>
    <n v="6738"/>
    <n v="0"/>
    <n v="6738"/>
    <x v="0"/>
    <x v="0"/>
    <m/>
    <x v="0"/>
    <m/>
  </r>
  <r>
    <m/>
    <s v="TRASPASO "/>
    <d v="2022-02-28T00:00:00"/>
    <n v="2"/>
    <x v="0"/>
    <x v="2"/>
    <x v="10"/>
    <n v="1902259"/>
    <n v="2162055"/>
    <n v="-259796"/>
    <x v="0"/>
    <x v="0"/>
    <m/>
    <x v="0"/>
    <m/>
  </r>
  <r>
    <m/>
    <s v="TRASPASO "/>
    <d v="2022-02-28T00:00:00"/>
    <n v="2"/>
    <x v="0"/>
    <x v="1"/>
    <x v="10"/>
    <n v="3577"/>
    <m/>
    <n v="3577"/>
    <x v="0"/>
    <x v="0"/>
    <m/>
    <x v="0"/>
    <m/>
  </r>
  <r>
    <m/>
    <s v="TRASPASO "/>
    <d v="2022-02-28T00:00:00"/>
    <n v="2"/>
    <x v="1"/>
    <x v="3"/>
    <x v="10"/>
    <n v="0"/>
    <n v="10315"/>
    <n v="-10315"/>
    <x v="0"/>
    <x v="0"/>
    <m/>
    <x v="0"/>
    <m/>
  </r>
  <r>
    <m/>
    <s v="EGRESO"/>
    <d v="2022-03-15T00:00:00"/>
    <n v="3"/>
    <x v="1"/>
    <x v="3"/>
    <x v="11"/>
    <n v="10315"/>
    <n v="0"/>
    <n v="10315"/>
    <x v="0"/>
    <x v="0"/>
    <m/>
    <x v="0"/>
    <m/>
  </r>
  <r>
    <m/>
    <s v="EGRESO"/>
    <d v="2022-03-15T00:00:00"/>
    <n v="3"/>
    <x v="0"/>
    <x v="0"/>
    <x v="11"/>
    <n v="0"/>
    <n v="10315"/>
    <n v="-10315"/>
    <x v="0"/>
    <x v="0"/>
    <m/>
    <x v="0"/>
    <m/>
  </r>
  <r>
    <m/>
    <s v="TRASPASO "/>
    <d v="2022-03-31T00:00:00"/>
    <n v="3"/>
    <x v="1"/>
    <x v="14"/>
    <x v="10"/>
    <n v="793856"/>
    <m/>
    <n v="793856"/>
    <x v="0"/>
    <x v="0"/>
    <m/>
    <x v="0"/>
    <m/>
  </r>
  <r>
    <m/>
    <s v="TRASPASO "/>
    <d v="2022-03-31T00:00:00"/>
    <n v="3"/>
    <x v="0"/>
    <x v="11"/>
    <x v="10"/>
    <m/>
    <n v="147794"/>
    <n v="-147794"/>
    <x v="0"/>
    <x v="0"/>
    <m/>
    <x v="0"/>
    <m/>
  </r>
  <r>
    <m/>
    <s v="TRASPASO "/>
    <d v="2022-03-31T00:00:00"/>
    <n v="3"/>
    <x v="1"/>
    <x v="8"/>
    <x v="10"/>
    <n v="6738"/>
    <m/>
    <n v="6738"/>
    <x v="0"/>
    <x v="0"/>
    <m/>
    <x v="0"/>
    <m/>
  </r>
  <r>
    <m/>
    <s v="TRASPASO "/>
    <d v="2022-03-31T00:00:00"/>
    <n v="3"/>
    <x v="0"/>
    <x v="2"/>
    <x v="10"/>
    <n v="1261800"/>
    <n v="1907862"/>
    <n v="-646062"/>
    <x v="0"/>
    <x v="0"/>
    <m/>
    <x v="0"/>
    <m/>
  </r>
  <r>
    <m/>
    <s v="TRASPASO "/>
    <d v="2022-03-31T00:00:00"/>
    <n v="3"/>
    <x v="0"/>
    <x v="1"/>
    <x v="10"/>
    <n v="4178"/>
    <m/>
    <n v="4178"/>
    <x v="0"/>
    <x v="0"/>
    <m/>
    <x v="0"/>
    <m/>
  </r>
  <r>
    <m/>
    <s v="TRASPASO "/>
    <d v="2022-03-31T00:00:00"/>
    <n v="3"/>
    <x v="1"/>
    <x v="3"/>
    <x v="10"/>
    <n v="0"/>
    <n v="10916"/>
    <n v="-10916"/>
    <x v="0"/>
    <x v="0"/>
    <m/>
    <x v="0"/>
    <m/>
  </r>
  <r>
    <m/>
    <s v="EGRESO"/>
    <d v="2022-04-20T00:00:00"/>
    <n v="4"/>
    <x v="1"/>
    <x v="3"/>
    <x v="11"/>
    <n v="10916"/>
    <n v="0"/>
    <n v="10916"/>
    <x v="0"/>
    <x v="0"/>
    <m/>
    <x v="0"/>
    <m/>
  </r>
  <r>
    <m/>
    <s v="EGRESO"/>
    <d v="2022-04-20T00:00:00"/>
    <n v="4"/>
    <x v="0"/>
    <x v="0"/>
    <x v="11"/>
    <n v="0"/>
    <n v="10916"/>
    <n v="-10916"/>
    <x v="0"/>
    <x v="0"/>
    <m/>
    <x v="0"/>
    <m/>
  </r>
  <r>
    <m/>
    <s v="TRASPASO "/>
    <d v="2022-04-30T00:00:00"/>
    <n v="4"/>
    <x v="1"/>
    <x v="14"/>
    <x v="10"/>
    <n v="1466928"/>
    <m/>
    <n v="1466928"/>
    <x v="0"/>
    <x v="0"/>
    <m/>
    <x v="0"/>
    <m/>
  </r>
  <r>
    <m/>
    <s v="TRASPASO "/>
    <d v="2022-04-30T00:00:00"/>
    <n v="4"/>
    <x v="0"/>
    <x v="11"/>
    <x v="10"/>
    <m/>
    <n v="1327113"/>
    <n v="-1327113"/>
    <x v="0"/>
    <x v="0"/>
    <m/>
    <x v="0"/>
    <m/>
  </r>
  <r>
    <m/>
    <s v="TRASPASO "/>
    <d v="2022-04-30T00:00:00"/>
    <n v="4"/>
    <x v="1"/>
    <x v="8"/>
    <x v="10"/>
    <n v="6738"/>
    <m/>
    <n v="6738"/>
    <x v="0"/>
    <x v="0"/>
    <m/>
    <x v="0"/>
    <m/>
  </r>
  <r>
    <m/>
    <s v="TRASPASO "/>
    <d v="2022-04-30T00:00:00"/>
    <n v="4"/>
    <x v="1"/>
    <x v="16"/>
    <x v="10"/>
    <n v="7692"/>
    <m/>
    <n v="7692"/>
    <x v="0"/>
    <x v="0"/>
    <m/>
    <x v="0"/>
    <m/>
  </r>
  <r>
    <m/>
    <s v="TRASPASO "/>
    <d v="2022-04-30T00:00:00"/>
    <n v="4"/>
    <x v="0"/>
    <x v="2"/>
    <x v="10"/>
    <n v="1145844"/>
    <n v="1285659"/>
    <n v="-139815"/>
    <x v="0"/>
    <x v="0"/>
    <m/>
    <x v="0"/>
    <m/>
  </r>
  <r>
    <m/>
    <s v="TRASPASO "/>
    <d v="2022-04-30T00:00:00"/>
    <n v="4"/>
    <x v="0"/>
    <x v="1"/>
    <x v="10"/>
    <n v="7721"/>
    <m/>
    <n v="7721"/>
    <x v="0"/>
    <x v="0"/>
    <m/>
    <x v="0"/>
    <m/>
  </r>
  <r>
    <m/>
    <s v="TRASPASO "/>
    <d v="2022-04-30T00:00:00"/>
    <n v="4"/>
    <x v="1"/>
    <x v="3"/>
    <x v="10"/>
    <n v="0"/>
    <n v="22151"/>
    <n v="-22151"/>
    <x v="0"/>
    <x v="0"/>
    <m/>
    <x v="0"/>
    <m/>
  </r>
  <r>
    <m/>
    <s v="EGRESO"/>
    <d v="2022-05-18T00:00:00"/>
    <n v="5"/>
    <x v="1"/>
    <x v="3"/>
    <x v="11"/>
    <n v="22151"/>
    <n v="0"/>
    <n v="22151"/>
    <x v="0"/>
    <x v="0"/>
    <m/>
    <x v="0"/>
    <m/>
  </r>
  <r>
    <m/>
    <s v="EGRESO"/>
    <d v="2022-05-18T00:00:00"/>
    <n v="5"/>
    <x v="0"/>
    <x v="0"/>
    <x v="11"/>
    <n v="0"/>
    <n v="22151"/>
    <n v="-22151"/>
    <x v="0"/>
    <x v="0"/>
    <m/>
    <x v="0"/>
    <m/>
  </r>
  <r>
    <m/>
    <s v="TRASPASO "/>
    <d v="2022-05-31T00:00:00"/>
    <n v="5"/>
    <x v="1"/>
    <x v="14"/>
    <x v="10"/>
    <n v="712869"/>
    <m/>
    <n v="712869"/>
    <x v="0"/>
    <x v="0"/>
    <m/>
    <x v="0"/>
    <m/>
  </r>
  <r>
    <m/>
    <s v="TRASPASO "/>
    <d v="2022-05-31T00:00:00"/>
    <n v="5"/>
    <x v="0"/>
    <x v="11"/>
    <x v="10"/>
    <m/>
    <n v="604927"/>
    <n v="-604927"/>
    <x v="0"/>
    <x v="0"/>
    <m/>
    <x v="0"/>
    <m/>
  </r>
  <r>
    <m/>
    <s v="TRASPASO "/>
    <d v="2022-05-31T00:00:00"/>
    <n v="5"/>
    <x v="1"/>
    <x v="8"/>
    <x v="10"/>
    <n v="6738"/>
    <m/>
    <n v="6738"/>
    <x v="0"/>
    <x v="0"/>
    <m/>
    <x v="0"/>
    <m/>
  </r>
  <r>
    <m/>
    <s v="TRASPASO "/>
    <d v="2022-05-31T00:00:00"/>
    <n v="5"/>
    <x v="1"/>
    <x v="16"/>
    <x v="10"/>
    <n v="8621"/>
    <m/>
    <n v="8621"/>
    <x v="0"/>
    <x v="0"/>
    <m/>
    <x v="0"/>
    <m/>
  </r>
  <r>
    <m/>
    <s v="TRASPASO "/>
    <d v="2022-05-31T00:00:00"/>
    <n v="5"/>
    <x v="0"/>
    <x v="2"/>
    <x v="10"/>
    <n v="1054134"/>
    <n v="1162076"/>
    <n v="-107942"/>
    <x v="0"/>
    <x v="0"/>
    <m/>
    <x v="0"/>
    <m/>
  </r>
  <r>
    <m/>
    <s v="TRASPASO "/>
    <d v="2022-05-31T00:00:00"/>
    <n v="5"/>
    <x v="0"/>
    <x v="1"/>
    <x v="10"/>
    <n v="3752"/>
    <m/>
    <n v="3752"/>
    <x v="0"/>
    <x v="0"/>
    <m/>
    <x v="0"/>
    <m/>
  </r>
  <r>
    <m/>
    <s v="TRASPASO "/>
    <d v="2022-05-31T00:00:00"/>
    <n v="5"/>
    <x v="1"/>
    <x v="3"/>
    <x v="10"/>
    <n v="0"/>
    <n v="19111"/>
    <n v="-19111"/>
    <x v="0"/>
    <x v="0"/>
    <m/>
    <x v="0"/>
    <m/>
  </r>
  <r>
    <m/>
    <s v="EGRESO"/>
    <d v="2022-06-20T00:00:00"/>
    <n v="6"/>
    <x v="1"/>
    <x v="3"/>
    <x v="11"/>
    <n v="19111"/>
    <n v="0"/>
    <n v="19111"/>
    <x v="0"/>
    <x v="0"/>
    <m/>
    <x v="0"/>
    <m/>
  </r>
  <r>
    <m/>
    <s v="EGRESO"/>
    <d v="2022-06-20T00:00:00"/>
    <n v="6"/>
    <x v="0"/>
    <x v="0"/>
    <x v="11"/>
    <n v="0"/>
    <n v="19111"/>
    <n v="-19111"/>
    <x v="0"/>
    <x v="0"/>
    <m/>
    <x v="0"/>
    <m/>
  </r>
  <r>
    <m/>
    <s v="TRASPASO "/>
    <d v="2022-06-30T00:00:00"/>
    <n v="6"/>
    <x v="1"/>
    <x v="14"/>
    <x v="10"/>
    <n v="565852"/>
    <m/>
    <n v="565852"/>
    <x v="0"/>
    <x v="0"/>
    <m/>
    <x v="0"/>
    <m/>
  </r>
  <r>
    <m/>
    <s v="TRASPASO "/>
    <d v="2022-06-30T00:00:00"/>
    <n v="6"/>
    <x v="0"/>
    <x v="11"/>
    <x v="10"/>
    <m/>
    <n v="457337"/>
    <n v="-457337"/>
    <x v="0"/>
    <x v="0"/>
    <m/>
    <x v="0"/>
    <m/>
  </r>
  <r>
    <m/>
    <s v="TRASPASO "/>
    <d v="2022-06-30T00:00:00"/>
    <n v="6"/>
    <x v="1"/>
    <x v="8"/>
    <x v="10"/>
    <n v="6738"/>
    <m/>
    <n v="6738"/>
    <x v="0"/>
    <x v="0"/>
    <m/>
    <x v="0"/>
    <m/>
  </r>
  <r>
    <m/>
    <s v="TRASPASO "/>
    <d v="2022-06-30T00:00:00"/>
    <n v="6"/>
    <x v="0"/>
    <x v="2"/>
    <x v="10"/>
    <n v="958006"/>
    <n v="1066521"/>
    <n v="-108515"/>
    <x v="0"/>
    <x v="0"/>
    <m/>
    <x v="0"/>
    <m/>
  </r>
  <r>
    <m/>
    <s v="TRASPASO "/>
    <d v="2022-06-30T00:00:00"/>
    <n v="6"/>
    <x v="0"/>
    <x v="1"/>
    <x v="10"/>
    <n v="2978"/>
    <m/>
    <n v="2978"/>
    <x v="0"/>
    <x v="0"/>
    <m/>
    <x v="0"/>
    <m/>
  </r>
  <r>
    <m/>
    <s v="TRASPASO "/>
    <d v="2022-06-30T00:00:00"/>
    <n v="6"/>
    <x v="1"/>
    <x v="3"/>
    <x v="10"/>
    <n v="0"/>
    <n v="9716"/>
    <n v="-9716"/>
    <x v="0"/>
    <x v="0"/>
    <m/>
    <x v="0"/>
    <m/>
  </r>
  <r>
    <m/>
    <s v="EGRESO"/>
    <d v="2022-07-08T00:00:00"/>
    <n v="7"/>
    <x v="1"/>
    <x v="3"/>
    <x v="11"/>
    <n v="9716"/>
    <n v="0"/>
    <n v="9716"/>
    <x v="0"/>
    <x v="0"/>
    <m/>
    <x v="0"/>
    <m/>
  </r>
  <r>
    <m/>
    <s v="EGRESO"/>
    <d v="2022-07-08T00:00:00"/>
    <n v="7"/>
    <x v="0"/>
    <x v="0"/>
    <x v="11"/>
    <n v="0"/>
    <n v="9716"/>
    <n v="-9716"/>
    <x v="0"/>
    <x v="0"/>
    <m/>
    <x v="0"/>
    <m/>
  </r>
  <r>
    <m/>
    <s v="TRASPASO "/>
    <d v="2022-07-31T00:00:00"/>
    <n v="7"/>
    <x v="1"/>
    <x v="14"/>
    <x v="10"/>
    <n v="991177"/>
    <m/>
    <n v="991177"/>
    <x v="0"/>
    <x v="0"/>
    <m/>
    <x v="0"/>
    <m/>
  </r>
  <r>
    <m/>
    <s v="TRASPASO "/>
    <d v="2022-07-31T00:00:00"/>
    <n v="7"/>
    <x v="0"/>
    <x v="11"/>
    <x v="10"/>
    <m/>
    <n v="604205"/>
    <n v="-604205"/>
    <x v="0"/>
    <x v="0"/>
    <m/>
    <x v="0"/>
    <m/>
  </r>
  <r>
    <m/>
    <s v="TRASPASO "/>
    <d v="2022-07-31T00:00:00"/>
    <n v="7"/>
    <x v="1"/>
    <x v="8"/>
    <x v="10"/>
    <n v="6738"/>
    <m/>
    <n v="6738"/>
    <x v="0"/>
    <x v="0"/>
    <m/>
    <x v="0"/>
    <m/>
  </r>
  <r>
    <m/>
    <s v="TRASPASO "/>
    <d v="2022-07-31T00:00:00"/>
    <n v="7"/>
    <x v="0"/>
    <x v="2"/>
    <x v="10"/>
    <n v="579827"/>
    <n v="966799"/>
    <n v="-386972"/>
    <x v="0"/>
    <x v="0"/>
    <m/>
    <x v="0"/>
    <m/>
  </r>
  <r>
    <m/>
    <s v="TRASPASO "/>
    <d v="2022-07-31T00:00:00"/>
    <n v="7"/>
    <x v="1"/>
    <x v="16"/>
    <x v="10"/>
    <n v="8029"/>
    <m/>
    <n v="8029"/>
    <x v="0"/>
    <x v="0"/>
    <m/>
    <x v="0"/>
    <m/>
  </r>
  <r>
    <m/>
    <s v="TRASPASO "/>
    <d v="2022-07-31T00:00:00"/>
    <n v="7"/>
    <x v="0"/>
    <x v="1"/>
    <x v="10"/>
    <n v="5217"/>
    <m/>
    <n v="5217"/>
    <x v="0"/>
    <x v="0"/>
    <m/>
    <x v="0"/>
    <m/>
  </r>
  <r>
    <m/>
    <s v="TRASPASO "/>
    <d v="2022-07-31T00:00:00"/>
    <n v="7"/>
    <x v="1"/>
    <x v="3"/>
    <x v="10"/>
    <n v="0"/>
    <n v="19984"/>
    <n v="-19984"/>
    <x v="0"/>
    <x v="0"/>
    <m/>
    <x v="0"/>
    <m/>
  </r>
  <r>
    <m/>
    <s v="EGRESO"/>
    <d v="2022-08-19T00:00:00"/>
    <n v="8"/>
    <x v="1"/>
    <x v="3"/>
    <x v="11"/>
    <n v="19984"/>
    <n v="0"/>
    <n v="19984"/>
    <x v="0"/>
    <x v="0"/>
    <m/>
    <x v="0"/>
    <m/>
  </r>
  <r>
    <m/>
    <s v="EGRESO"/>
    <d v="2022-08-19T00:00:00"/>
    <n v="8"/>
    <x v="0"/>
    <x v="0"/>
    <x v="11"/>
    <n v="0"/>
    <n v="19984"/>
    <n v="-19984"/>
    <x v="0"/>
    <x v="0"/>
    <m/>
    <x v="0"/>
    <m/>
  </r>
  <r>
    <m/>
    <s v="TRASPASO "/>
    <d v="2022-08-30T00:00:00"/>
    <n v="8"/>
    <x v="1"/>
    <x v="14"/>
    <x v="10"/>
    <n v="669842"/>
    <m/>
    <n v="669842"/>
    <x v="0"/>
    <x v="0"/>
    <m/>
    <x v="0"/>
    <m/>
  </r>
  <r>
    <m/>
    <s v="TRASPASO "/>
    <d v="2022-08-30T00:00:00"/>
    <n v="8"/>
    <x v="0"/>
    <x v="11"/>
    <x v="10"/>
    <m/>
    <n v="391999"/>
    <n v="-391999"/>
    <x v="0"/>
    <x v="0"/>
    <m/>
    <x v="0"/>
    <m/>
  </r>
  <r>
    <m/>
    <s v="TRASPASO "/>
    <d v="2022-08-30T00:00:00"/>
    <n v="8"/>
    <x v="1"/>
    <x v="8"/>
    <x v="10"/>
    <n v="6738"/>
    <m/>
    <n v="6738"/>
    <x v="0"/>
    <x v="0"/>
    <m/>
    <x v="0"/>
    <m/>
  </r>
  <r>
    <m/>
    <s v="TRASPASO "/>
    <d v="2022-08-30T00:00:00"/>
    <n v="8"/>
    <x v="1"/>
    <x v="16"/>
    <x v="10"/>
    <n v="8632"/>
    <m/>
    <n v="8632"/>
    <x v="0"/>
    <x v="0"/>
    <m/>
    <x v="0"/>
    <m/>
  </r>
  <r>
    <m/>
    <s v="TRASPASO "/>
    <d v="2022-08-30T00:00:00"/>
    <n v="8"/>
    <x v="0"/>
    <x v="2"/>
    <x v="10"/>
    <n v="310360"/>
    <n v="588203"/>
    <n v="-277843"/>
    <x v="0"/>
    <x v="0"/>
    <m/>
    <x v="0"/>
    <m/>
  </r>
  <r>
    <m/>
    <s v="TRASPASO "/>
    <d v="2022-08-30T00:00:00"/>
    <n v="8"/>
    <x v="0"/>
    <x v="1"/>
    <x v="10"/>
    <n v="3525"/>
    <m/>
    <n v="3525"/>
    <x v="0"/>
    <x v="0"/>
    <m/>
    <x v="0"/>
    <m/>
  </r>
  <r>
    <m/>
    <s v="TRASPASO "/>
    <d v="2022-08-30T00:00:00"/>
    <n v="8"/>
    <x v="1"/>
    <x v="3"/>
    <x v="10"/>
    <n v="0"/>
    <n v="18895"/>
    <n v="-18895"/>
    <x v="0"/>
    <x v="0"/>
    <m/>
    <x v="0"/>
    <m/>
  </r>
  <r>
    <m/>
    <s v="EGRESO"/>
    <d v="2022-09-15T00:00:00"/>
    <n v="9"/>
    <x v="1"/>
    <x v="3"/>
    <x v="11"/>
    <n v="18895"/>
    <n v="0"/>
    <n v="18895"/>
    <x v="0"/>
    <x v="0"/>
    <m/>
    <x v="0"/>
    <m/>
  </r>
  <r>
    <m/>
    <s v="EGRESO"/>
    <d v="2022-09-15T00:00:00"/>
    <n v="9"/>
    <x v="0"/>
    <x v="0"/>
    <x v="11"/>
    <n v="0"/>
    <n v="18895"/>
    <n v="-18895"/>
    <x v="0"/>
    <x v="0"/>
    <m/>
    <x v="0"/>
    <m/>
  </r>
  <r>
    <m/>
    <s v="TRASPASO "/>
    <d v="2022-09-30T00:00:00"/>
    <n v="9"/>
    <x v="1"/>
    <x v="14"/>
    <x v="10"/>
    <n v="613795"/>
    <m/>
    <n v="613795"/>
    <x v="0"/>
    <x v="0"/>
    <m/>
    <x v="0"/>
    <m/>
  </r>
  <r>
    <m/>
    <s v="TRASPASO "/>
    <d v="2022-09-30T00:00:00"/>
    <n v="9"/>
    <x v="0"/>
    <x v="11"/>
    <x v="10"/>
    <m/>
    <n v="303991"/>
    <n v="-303991"/>
    <x v="0"/>
    <x v="0"/>
    <m/>
    <x v="0"/>
    <m/>
  </r>
  <r>
    <m/>
    <s v="TRASPASO "/>
    <d v="2022-09-30T00:00:00"/>
    <n v="9"/>
    <x v="1"/>
    <x v="8"/>
    <x v="10"/>
    <n v="6738"/>
    <m/>
    <n v="6738"/>
    <x v="0"/>
    <x v="0"/>
    <m/>
    <x v="0"/>
    <m/>
  </r>
  <r>
    <m/>
    <s v="TRASPASO "/>
    <d v="2022-09-30T00:00:00"/>
    <n v="9"/>
    <x v="1"/>
    <x v="16"/>
    <x v="10"/>
    <n v="8575"/>
    <m/>
    <n v="8575"/>
    <x v="0"/>
    <x v="0"/>
    <m/>
    <x v="0"/>
    <m/>
  </r>
  <r>
    <m/>
    <s v="TRASPASO "/>
    <d v="2022-09-30T00:00:00"/>
    <n v="9"/>
    <x v="0"/>
    <x v="2"/>
    <x v="10"/>
    <n v="4411"/>
    <n v="314215"/>
    <n v="-309804"/>
    <x v="0"/>
    <x v="0"/>
    <m/>
    <x v="0"/>
    <m/>
  </r>
  <r>
    <m/>
    <s v="TRASPASO "/>
    <d v="2022-09-30T00:00:00"/>
    <n v="9"/>
    <x v="0"/>
    <x v="1"/>
    <x v="10"/>
    <n v="3231"/>
    <m/>
    <n v="3231"/>
    <x v="0"/>
    <x v="0"/>
    <m/>
    <x v="0"/>
    <m/>
  </r>
  <r>
    <m/>
    <s v="TRASPASO "/>
    <d v="2022-09-30T00:00:00"/>
    <n v="9"/>
    <x v="1"/>
    <x v="3"/>
    <x v="10"/>
    <n v="0"/>
    <n v="18544"/>
    <n v="-18544"/>
    <x v="0"/>
    <x v="0"/>
    <m/>
    <x v="0"/>
    <m/>
  </r>
  <r>
    <m/>
    <s v="EGRESO"/>
    <d v="2022-10-18T00:00:00"/>
    <n v="10"/>
    <x v="1"/>
    <x v="3"/>
    <x v="11"/>
    <n v="18544"/>
    <n v="0"/>
    <n v="18544"/>
    <x v="0"/>
    <x v="0"/>
    <m/>
    <x v="0"/>
    <m/>
  </r>
  <r>
    <m/>
    <s v="EGRESO"/>
    <d v="2022-10-18T00:00:00"/>
    <n v="10"/>
    <x v="0"/>
    <x v="0"/>
    <x v="11"/>
    <n v="0"/>
    <n v="18544"/>
    <n v="-18544"/>
    <x v="0"/>
    <x v="0"/>
    <m/>
    <x v="0"/>
    <m/>
  </r>
  <r>
    <m/>
    <s v="TRASPASO "/>
    <d v="2022-10-31T00:00:00"/>
    <n v="10"/>
    <x v="1"/>
    <x v="14"/>
    <x v="10"/>
    <n v="925822"/>
    <m/>
    <n v="925822"/>
    <x v="0"/>
    <x v="0"/>
    <m/>
    <x v="0"/>
    <m/>
  </r>
  <r>
    <m/>
    <s v="TRASPASO "/>
    <d v="2022-10-31T00:00:00"/>
    <n v="10"/>
    <x v="0"/>
    <x v="11"/>
    <x v="10"/>
    <m/>
    <n v="391015"/>
    <n v="-391015"/>
    <x v="0"/>
    <x v="0"/>
    <m/>
    <x v="0"/>
    <m/>
  </r>
  <r>
    <m/>
    <s v="TRASPASO "/>
    <d v="2022-10-31T00:00:00"/>
    <n v="10"/>
    <x v="1"/>
    <x v="8"/>
    <x v="10"/>
    <n v="6738"/>
    <m/>
    <n v="6738"/>
    <x v="0"/>
    <x v="0"/>
    <m/>
    <x v="0"/>
    <m/>
  </r>
  <r>
    <m/>
    <s v="TRASPASO "/>
    <d v="2022-10-31T00:00:00"/>
    <n v="10"/>
    <x v="0"/>
    <x v="2"/>
    <x v="10"/>
    <m/>
    <n v="4260"/>
    <n v="-4260"/>
    <x v="0"/>
    <x v="0"/>
    <m/>
    <x v="0"/>
    <m/>
  </r>
  <r>
    <m/>
    <s v="TRASPASO "/>
    <d v="2022-10-31T00:00:00"/>
    <n v="10"/>
    <x v="1"/>
    <x v="16"/>
    <x v="10"/>
    <n v="8499"/>
    <m/>
    <n v="8499"/>
    <x v="0"/>
    <x v="0"/>
    <m/>
    <x v="0"/>
    <m/>
  </r>
  <r>
    <m/>
    <s v="TRASPASO "/>
    <d v="2022-10-31T00:00:00"/>
    <n v="10"/>
    <x v="0"/>
    <x v="1"/>
    <x v="10"/>
    <n v="4873"/>
    <m/>
    <n v="4873"/>
    <x v="0"/>
    <x v="0"/>
    <m/>
    <x v="0"/>
    <m/>
  </r>
  <r>
    <m/>
    <s v="TRASPASO "/>
    <d v="2022-10-31T00:00:00"/>
    <n v="10"/>
    <x v="1"/>
    <x v="3"/>
    <x v="10"/>
    <n v="0"/>
    <n v="550657"/>
    <n v="-550657"/>
    <x v="0"/>
    <x v="0"/>
    <m/>
    <x v="0"/>
    <m/>
  </r>
  <r>
    <m/>
    <s v="EGRESO"/>
    <d v="2022-11-18T00:00:00"/>
    <n v="11"/>
    <x v="1"/>
    <x v="3"/>
    <x v="11"/>
    <n v="550657"/>
    <n v="0"/>
    <n v="550657"/>
    <x v="0"/>
    <x v="0"/>
    <m/>
    <x v="0"/>
    <m/>
  </r>
  <r>
    <m/>
    <s v="EGRESO"/>
    <d v="2022-11-18T00:00:00"/>
    <n v="11"/>
    <x v="0"/>
    <x v="0"/>
    <x v="11"/>
    <n v="0"/>
    <n v="550657"/>
    <n v="-550657"/>
    <x v="0"/>
    <x v="0"/>
    <m/>
    <x v="0"/>
    <m/>
  </r>
  <r>
    <m/>
    <s v="TRASPASO "/>
    <d v="2022-11-30T00:00:00"/>
    <n v="11"/>
    <x v="1"/>
    <x v="14"/>
    <x v="10"/>
    <n v="581785"/>
    <m/>
    <n v="581785"/>
    <x v="0"/>
    <x v="0"/>
    <m/>
    <x v="0"/>
    <m/>
  </r>
  <r>
    <m/>
    <s v="TRASPASO "/>
    <d v="2022-11-30T00:00:00"/>
    <n v="11"/>
    <x v="0"/>
    <x v="11"/>
    <x v="10"/>
    <m/>
    <n v="566768"/>
    <n v="-566768"/>
    <x v="0"/>
    <x v="0"/>
    <m/>
    <x v="0"/>
    <m/>
  </r>
  <r>
    <m/>
    <s v="TRASPASO "/>
    <d v="2022-11-30T00:00:00"/>
    <n v="11"/>
    <x v="1"/>
    <x v="8"/>
    <x v="10"/>
    <n v="6738"/>
    <m/>
    <n v="6738"/>
    <x v="0"/>
    <x v="0"/>
    <m/>
    <x v="0"/>
    <m/>
  </r>
  <r>
    <m/>
    <s v="TRASPASO "/>
    <d v="2022-11-30T00:00:00"/>
    <n v="11"/>
    <x v="1"/>
    <x v="16"/>
    <x v="10"/>
    <n v="5647"/>
    <m/>
    <n v="5647"/>
    <x v="0"/>
    <x v="0"/>
    <m/>
    <x v="0"/>
    <m/>
  </r>
  <r>
    <m/>
    <s v="TRASPASO "/>
    <d v="2022-11-30T00:00:00"/>
    <n v="11"/>
    <x v="0"/>
    <x v="1"/>
    <x v="10"/>
    <n v="3062"/>
    <m/>
    <n v="3062"/>
    <x v="0"/>
    <x v="0"/>
    <m/>
    <x v="0"/>
    <m/>
  </r>
  <r>
    <m/>
    <s v="TRASPASO "/>
    <d v="2022-11-30T00:00:00"/>
    <n v="11"/>
    <x v="1"/>
    <x v="3"/>
    <x v="10"/>
    <n v="0"/>
    <n v="30464"/>
    <n v="-30464"/>
    <x v="0"/>
    <x v="0"/>
    <m/>
    <x v="0"/>
    <m/>
  </r>
  <r>
    <m/>
    <s v="EGRESO"/>
    <d v="2022-12-20T00:00:00"/>
    <n v="12"/>
    <x v="1"/>
    <x v="3"/>
    <x v="11"/>
    <n v="30464"/>
    <n v="0"/>
    <n v="30464"/>
    <x v="0"/>
    <x v="0"/>
    <m/>
    <x v="0"/>
    <m/>
  </r>
  <r>
    <m/>
    <s v="EGRESO"/>
    <d v="2022-12-20T00:00:00"/>
    <n v="12"/>
    <x v="0"/>
    <x v="0"/>
    <x v="11"/>
    <n v="0"/>
    <n v="30464"/>
    <n v="-30464"/>
    <x v="0"/>
    <x v="0"/>
    <m/>
    <x v="0"/>
    <m/>
  </r>
  <r>
    <m/>
    <s v="TRASPASO "/>
    <d v="2022-12-31T00:00:00"/>
    <n v="12"/>
    <x v="1"/>
    <x v="14"/>
    <x v="10"/>
    <n v="884416"/>
    <m/>
    <n v="884416"/>
    <x v="0"/>
    <x v="0"/>
    <m/>
    <x v="0"/>
    <m/>
  </r>
  <r>
    <m/>
    <s v="TRASPASO "/>
    <d v="2022-12-31T00:00:00"/>
    <n v="12"/>
    <x v="0"/>
    <x v="11"/>
    <x v="10"/>
    <m/>
    <n v="473497"/>
    <n v="-473497"/>
    <x v="0"/>
    <x v="0"/>
    <m/>
    <x v="0"/>
    <m/>
  </r>
  <r>
    <m/>
    <s v="TRASPASO "/>
    <d v="2022-12-31T00:00:00"/>
    <n v="12"/>
    <x v="1"/>
    <x v="8"/>
    <x v="10"/>
    <n v="6738"/>
    <m/>
    <n v="6738"/>
    <x v="0"/>
    <x v="0"/>
    <m/>
    <x v="0"/>
    <m/>
  </r>
  <r>
    <m/>
    <s v="TRASPASO "/>
    <d v="2022-12-31T00:00:00"/>
    <n v="12"/>
    <x v="1"/>
    <x v="16"/>
    <x v="10"/>
    <n v="7024"/>
    <m/>
    <n v="7024"/>
    <x v="0"/>
    <x v="0"/>
    <m/>
    <x v="0"/>
    <m/>
  </r>
  <r>
    <m/>
    <s v="TRASPASO "/>
    <d v="2022-12-31T00:00:00"/>
    <n v="12"/>
    <x v="0"/>
    <x v="1"/>
    <x v="10"/>
    <n v="4655"/>
    <m/>
    <n v="4655"/>
    <x v="0"/>
    <x v="0"/>
    <m/>
    <x v="0"/>
    <m/>
  </r>
  <r>
    <m/>
    <s v="TRASPASO "/>
    <d v="2022-12-31T00:00:00"/>
    <n v="12"/>
    <x v="1"/>
    <x v="3"/>
    <x v="10"/>
    <n v="0"/>
    <n v="429336"/>
    <n v="-429336"/>
    <x v="0"/>
    <x v="0"/>
    <m/>
    <x v="0"/>
    <m/>
  </r>
  <r>
    <m/>
    <s v="TRASPASO "/>
    <d v="2022-12-31T00:00:00"/>
    <n v="12"/>
    <x v="0"/>
    <x v="1"/>
    <x v="12"/>
    <n v="2659"/>
    <m/>
    <n v="2659"/>
    <x v="0"/>
    <x v="0"/>
    <m/>
    <x v="0"/>
    <m/>
  </r>
  <r>
    <m/>
    <s v="TRASPASO "/>
    <d v="2022-12-31T00:00:00"/>
    <n v="12"/>
    <x v="5"/>
    <x v="17"/>
    <x v="12"/>
    <m/>
    <n v="2659"/>
    <n v="-2659"/>
    <x v="0"/>
    <x v="0"/>
    <m/>
    <x v="0"/>
    <m/>
  </r>
  <r>
    <m/>
    <s v="TRASPASO"/>
    <d v="2022-01-31T00:00:00"/>
    <n v="1"/>
    <x v="3"/>
    <x v="18"/>
    <x v="13"/>
    <n v="1128000"/>
    <m/>
    <n v="1128000"/>
    <x v="0"/>
    <x v="0"/>
    <m/>
    <x v="0"/>
    <s v="SUELDOS 202201"/>
  </r>
  <r>
    <m/>
    <s v="TRASPASO"/>
    <d v="2022-01-31T00:00:00"/>
    <n v="1"/>
    <x v="3"/>
    <x v="18"/>
    <x v="13"/>
    <n v="226042"/>
    <m/>
    <n v="226042"/>
    <x v="0"/>
    <x v="0"/>
    <m/>
    <x v="0"/>
    <s v="GRATIFICACION"/>
  </r>
  <r>
    <m/>
    <s v="TRASPASO"/>
    <d v="2022-01-31T00:00:00"/>
    <n v="1"/>
    <x v="3"/>
    <x v="19"/>
    <x v="13"/>
    <n v="60000"/>
    <m/>
    <n v="60000"/>
    <x v="0"/>
    <x v="0"/>
    <m/>
    <x v="0"/>
    <s v="COLACION"/>
  </r>
  <r>
    <m/>
    <s v="TRASPASO"/>
    <d v="2022-01-31T00:00:00"/>
    <n v="1"/>
    <x v="3"/>
    <x v="20"/>
    <x v="13"/>
    <n v="60000"/>
    <m/>
    <n v="60000"/>
    <x v="0"/>
    <x v="0"/>
    <m/>
    <x v="0"/>
    <s v="MOVILIZACION"/>
  </r>
  <r>
    <m/>
    <s v="TRASPASO"/>
    <d v="2022-01-31T00:00:00"/>
    <n v="1"/>
    <x v="1"/>
    <x v="21"/>
    <x v="13"/>
    <m/>
    <n v="104944"/>
    <n v="-104944"/>
    <x v="0"/>
    <x v="0"/>
    <m/>
    <x v="0"/>
    <s v="AFP  PROVIDA"/>
  </r>
  <r>
    <m/>
    <s v="TRASPASO"/>
    <d v="2022-01-31T00:00:00"/>
    <n v="1"/>
    <x v="1"/>
    <x v="21"/>
    <x v="13"/>
    <m/>
    <n v="50050"/>
    <n v="-50050"/>
    <x v="0"/>
    <x v="0"/>
    <m/>
    <x v="0"/>
    <s v="AFP  CAPITAL"/>
  </r>
  <r>
    <m/>
    <s v="TRASPASO"/>
    <d v="2022-01-31T00:00:00"/>
    <n v="1"/>
    <x v="1"/>
    <x v="22"/>
    <x v="13"/>
    <m/>
    <n v="30625"/>
    <n v="-30625"/>
    <x v="0"/>
    <x v="0"/>
    <m/>
    <x v="0"/>
    <s v="SALUD  FONASA"/>
  </r>
  <r>
    <m/>
    <s v="TRASPASO"/>
    <d v="2022-01-31T00:00:00"/>
    <n v="1"/>
    <x v="1"/>
    <x v="22"/>
    <x v="13"/>
    <m/>
    <n v="141144"/>
    <n v="-141144"/>
    <x v="0"/>
    <x v="0"/>
    <m/>
    <x v="0"/>
    <s v="SALUD  VIDA TRES"/>
  </r>
  <r>
    <m/>
    <s v="TRASPASO"/>
    <d v="2022-01-31T00:00:00"/>
    <n v="1"/>
    <x v="1"/>
    <x v="21"/>
    <x v="13"/>
    <m/>
    <n v="8124"/>
    <n v="-8124"/>
    <x v="0"/>
    <x v="0"/>
    <m/>
    <x v="0"/>
    <s v="AFC TRABAJADOR"/>
  </r>
  <r>
    <m/>
    <s v="TRASPASO"/>
    <d v="2022-01-31T00:00:00"/>
    <n v="1"/>
    <x v="1"/>
    <x v="16"/>
    <x v="13"/>
    <m/>
    <n v="19949"/>
    <n v="-19949"/>
    <x v="0"/>
    <x v="0"/>
    <m/>
    <x v="0"/>
    <s v="PRESTAMO SOLIDARIO"/>
  </r>
  <r>
    <m/>
    <s v="TRASPASO"/>
    <d v="2022-01-31T00:00:00"/>
    <n v="1"/>
    <x v="1"/>
    <x v="23"/>
    <x v="13"/>
    <m/>
    <n v="1119206"/>
    <n v="-1119206"/>
    <x v="0"/>
    <x v="0"/>
    <m/>
    <x v="0"/>
    <s v="REMUNERACIONES POR PAGAR 202201"/>
  </r>
  <r>
    <m/>
    <s v="TRASPASO"/>
    <d v="2022-01-31T00:00:00"/>
    <n v="1"/>
    <x v="3"/>
    <x v="24"/>
    <x v="13"/>
    <n v="32497"/>
    <m/>
    <n v="32497"/>
    <x v="0"/>
    <x v="0"/>
    <m/>
    <x v="0"/>
    <s v="AFC EMPLEADOR"/>
  </r>
  <r>
    <m/>
    <s v="TRASPASO"/>
    <d v="2022-01-31T00:00:00"/>
    <n v="1"/>
    <x v="1"/>
    <x v="21"/>
    <x v="13"/>
    <m/>
    <n v="32497"/>
    <n v="-32497"/>
    <x v="0"/>
    <x v="0"/>
    <m/>
    <x v="0"/>
    <s v="AFC EMPLEADOR"/>
  </r>
  <r>
    <m/>
    <s v="TRASPASO"/>
    <d v="2022-01-31T00:00:00"/>
    <n v="1"/>
    <x v="3"/>
    <x v="24"/>
    <x v="13"/>
    <n v="12593"/>
    <m/>
    <n v="12593"/>
    <x v="0"/>
    <x v="0"/>
    <m/>
    <x v="0"/>
    <s v="SEGURO ACCIDENTE"/>
  </r>
  <r>
    <m/>
    <s v="TRASPASO"/>
    <d v="2022-01-31T00:00:00"/>
    <n v="1"/>
    <x v="1"/>
    <x v="25"/>
    <x v="13"/>
    <m/>
    <n v="12593"/>
    <n v="-12593"/>
    <x v="0"/>
    <x v="0"/>
    <m/>
    <x v="0"/>
    <s v="SEGURO ACCIDENTE"/>
  </r>
  <r>
    <m/>
    <s v="TRASPASO"/>
    <d v="2022-01-31T00:00:00"/>
    <n v="1"/>
    <x v="3"/>
    <x v="24"/>
    <x v="13"/>
    <n v="20987"/>
    <m/>
    <n v="20987"/>
    <x v="0"/>
    <x v="0"/>
    <m/>
    <x v="0"/>
    <s v="SEGURO INVALIDEZ"/>
  </r>
  <r>
    <m/>
    <s v="TRASPASO"/>
    <d v="2022-01-31T00:00:00"/>
    <n v="1"/>
    <x v="1"/>
    <x v="26"/>
    <x v="13"/>
    <m/>
    <n v="20987"/>
    <n v="-20987"/>
    <x v="0"/>
    <x v="0"/>
    <m/>
    <x v="0"/>
    <s v="SEGURO INVALIDEZ"/>
  </r>
  <r>
    <m/>
    <s v="TRASPASO"/>
    <d v="2022-02-28T00:00:00"/>
    <n v="2"/>
    <x v="3"/>
    <x v="18"/>
    <x v="13"/>
    <n v="1128000"/>
    <m/>
    <n v="1128000"/>
    <x v="0"/>
    <x v="0"/>
    <m/>
    <x v="0"/>
    <s v="SUELDOS 202202"/>
  </r>
  <r>
    <m/>
    <s v="TRASPASO"/>
    <d v="2022-02-28T00:00:00"/>
    <n v="2"/>
    <x v="3"/>
    <x v="18"/>
    <x v="13"/>
    <n v="226042"/>
    <m/>
    <n v="226042"/>
    <x v="0"/>
    <x v="0"/>
    <m/>
    <x v="0"/>
    <s v="GRATIFICACION"/>
  </r>
  <r>
    <m/>
    <s v="TRASPASO"/>
    <d v="2022-02-28T00:00:00"/>
    <n v="2"/>
    <x v="3"/>
    <x v="19"/>
    <x v="13"/>
    <n v="60000"/>
    <m/>
    <n v="60000"/>
    <x v="0"/>
    <x v="0"/>
    <m/>
    <x v="0"/>
    <s v="COLACION"/>
  </r>
  <r>
    <m/>
    <s v="TRASPASO"/>
    <d v="2022-02-28T00:00:00"/>
    <n v="2"/>
    <x v="3"/>
    <x v="20"/>
    <x v="13"/>
    <n v="60000"/>
    <m/>
    <n v="60000"/>
    <x v="0"/>
    <x v="0"/>
    <m/>
    <x v="0"/>
    <s v="MOVILIZACION"/>
  </r>
  <r>
    <m/>
    <s v="TRASPASO"/>
    <d v="2022-02-28T00:00:00"/>
    <n v="2"/>
    <x v="1"/>
    <x v="21"/>
    <x v="13"/>
    <m/>
    <n v="104944"/>
    <n v="-104944"/>
    <x v="0"/>
    <x v="0"/>
    <m/>
    <x v="0"/>
    <s v="AFP  PROVIDA"/>
  </r>
  <r>
    <m/>
    <s v="TRASPASO"/>
    <d v="2022-02-28T00:00:00"/>
    <n v="2"/>
    <x v="1"/>
    <x v="21"/>
    <x v="13"/>
    <m/>
    <n v="50050"/>
    <n v="-50050"/>
    <x v="0"/>
    <x v="0"/>
    <m/>
    <x v="0"/>
    <s v="AFP  CAPITAL"/>
  </r>
  <r>
    <m/>
    <s v="TRASPASO"/>
    <d v="2022-02-28T00:00:00"/>
    <n v="2"/>
    <x v="1"/>
    <x v="22"/>
    <x v="13"/>
    <m/>
    <n v="30625"/>
    <n v="-30625"/>
    <x v="0"/>
    <x v="0"/>
    <m/>
    <x v="0"/>
    <s v="SALUD  FONASA"/>
  </r>
  <r>
    <m/>
    <s v="TRASPASO"/>
    <d v="2022-02-28T00:00:00"/>
    <n v="2"/>
    <x v="1"/>
    <x v="22"/>
    <x v="13"/>
    <m/>
    <n v="142620"/>
    <n v="-142620"/>
    <x v="0"/>
    <x v="0"/>
    <m/>
    <x v="0"/>
    <s v="SALUD  VIDA TRES"/>
  </r>
  <r>
    <m/>
    <s v="TRASPASO"/>
    <d v="2022-02-28T00:00:00"/>
    <n v="2"/>
    <x v="1"/>
    <x v="21"/>
    <x v="13"/>
    <m/>
    <n v="8124"/>
    <n v="-8124"/>
    <x v="0"/>
    <x v="0"/>
    <m/>
    <x v="0"/>
    <s v="AFC TRABAJADOR"/>
  </r>
  <r>
    <m/>
    <s v="TRASPASO"/>
    <d v="2022-02-28T00:00:00"/>
    <n v="2"/>
    <x v="1"/>
    <x v="16"/>
    <x v="13"/>
    <m/>
    <n v="19904"/>
    <n v="-19904"/>
    <x v="0"/>
    <x v="0"/>
    <m/>
    <x v="0"/>
    <s v="PRESTAMO SOLIDARIO"/>
  </r>
  <r>
    <m/>
    <s v="TRASPASO"/>
    <d v="2022-02-28T00:00:00"/>
    <n v="2"/>
    <x v="1"/>
    <x v="23"/>
    <x v="13"/>
    <m/>
    <n v="1117775"/>
    <n v="-1117775"/>
    <x v="0"/>
    <x v="0"/>
    <m/>
    <x v="0"/>
    <s v="REMUNERACIONES POR PAGAR 202202"/>
  </r>
  <r>
    <m/>
    <s v="TRASPASO"/>
    <d v="2022-02-28T00:00:00"/>
    <n v="2"/>
    <x v="3"/>
    <x v="24"/>
    <x v="13"/>
    <n v="32497"/>
    <m/>
    <n v="32497"/>
    <x v="0"/>
    <x v="0"/>
    <m/>
    <x v="0"/>
    <s v="AFC EMPLEADOR"/>
  </r>
  <r>
    <m/>
    <s v="TRASPASO"/>
    <d v="2022-02-28T00:00:00"/>
    <n v="2"/>
    <x v="1"/>
    <x v="21"/>
    <x v="13"/>
    <m/>
    <n v="32497"/>
    <n v="-32497"/>
    <x v="0"/>
    <x v="0"/>
    <m/>
    <x v="0"/>
    <s v="AFC EMPLEADOR"/>
  </r>
  <r>
    <m/>
    <s v="TRASPASO"/>
    <d v="2022-02-28T00:00:00"/>
    <n v="2"/>
    <x v="3"/>
    <x v="24"/>
    <x v="13"/>
    <n v="12593"/>
    <m/>
    <n v="12593"/>
    <x v="0"/>
    <x v="0"/>
    <m/>
    <x v="0"/>
    <s v="SEGURO ACCIDENTE"/>
  </r>
  <r>
    <m/>
    <s v="TRASPASO"/>
    <d v="2022-02-28T00:00:00"/>
    <n v="2"/>
    <x v="1"/>
    <x v="25"/>
    <x v="13"/>
    <m/>
    <n v="12593"/>
    <n v="-12593"/>
    <x v="0"/>
    <x v="0"/>
    <m/>
    <x v="0"/>
    <s v="SEGURO ACCIDENTE"/>
  </r>
  <r>
    <m/>
    <s v="TRASPASO"/>
    <d v="2022-02-28T00:00:00"/>
    <n v="2"/>
    <x v="3"/>
    <x v="24"/>
    <x v="13"/>
    <n v="20987"/>
    <m/>
    <n v="20987"/>
    <x v="0"/>
    <x v="0"/>
    <m/>
    <x v="0"/>
    <s v="SEGURO INVALIDEZ"/>
  </r>
  <r>
    <m/>
    <s v="TRASPASO"/>
    <d v="2022-02-28T00:00:00"/>
    <n v="2"/>
    <x v="1"/>
    <x v="26"/>
    <x v="13"/>
    <m/>
    <n v="20987"/>
    <n v="-20987"/>
    <x v="0"/>
    <x v="0"/>
    <m/>
    <x v="0"/>
    <s v="SEGURO INVALIDEZ"/>
  </r>
  <r>
    <m/>
    <s v="TRASPASO"/>
    <d v="2022-03-31T00:00:00"/>
    <n v="3"/>
    <x v="3"/>
    <x v="18"/>
    <x v="13"/>
    <n v="1128000"/>
    <m/>
    <n v="1128000"/>
    <x v="0"/>
    <x v="0"/>
    <m/>
    <x v="0"/>
    <s v="SUELDOS 202203"/>
  </r>
  <r>
    <m/>
    <s v="TRASPASO"/>
    <d v="2022-03-31T00:00:00"/>
    <n v="3"/>
    <x v="3"/>
    <x v="18"/>
    <x v="13"/>
    <n v="226042"/>
    <m/>
    <n v="226042"/>
    <x v="0"/>
    <x v="0"/>
    <m/>
    <x v="0"/>
    <s v="GRATIFICACION"/>
  </r>
  <r>
    <m/>
    <s v="TRASPASO"/>
    <d v="2022-03-31T00:00:00"/>
    <n v="3"/>
    <x v="3"/>
    <x v="19"/>
    <x v="13"/>
    <n v="60000"/>
    <m/>
    <n v="60000"/>
    <x v="0"/>
    <x v="0"/>
    <m/>
    <x v="0"/>
    <s v="COLACION"/>
  </r>
  <r>
    <m/>
    <s v="TRASPASO"/>
    <d v="2022-03-31T00:00:00"/>
    <n v="3"/>
    <x v="3"/>
    <x v="20"/>
    <x v="13"/>
    <n v="60000"/>
    <m/>
    <n v="60000"/>
    <x v="0"/>
    <x v="0"/>
    <m/>
    <x v="0"/>
    <s v="MOVILIZACION"/>
  </r>
  <r>
    <m/>
    <s v="TRASPASO"/>
    <d v="2022-03-31T00:00:00"/>
    <n v="3"/>
    <x v="1"/>
    <x v="21"/>
    <x v="13"/>
    <m/>
    <n v="104944"/>
    <n v="-104944"/>
    <x v="0"/>
    <x v="0"/>
    <m/>
    <x v="0"/>
    <s v="AFP  PROVIDA"/>
  </r>
  <r>
    <m/>
    <s v="TRASPASO"/>
    <d v="2022-03-31T00:00:00"/>
    <n v="3"/>
    <x v="1"/>
    <x v="21"/>
    <x v="13"/>
    <m/>
    <n v="50050"/>
    <n v="-50050"/>
    <x v="0"/>
    <x v="0"/>
    <m/>
    <x v="0"/>
    <s v="AFP  CAPITAL"/>
  </r>
  <r>
    <m/>
    <s v="TRASPASO"/>
    <d v="2022-03-31T00:00:00"/>
    <n v="3"/>
    <x v="1"/>
    <x v="22"/>
    <x v="13"/>
    <m/>
    <n v="30625"/>
    <n v="-30625"/>
    <x v="0"/>
    <x v="0"/>
    <m/>
    <x v="0"/>
    <s v="SALUD  FONASA"/>
  </r>
  <r>
    <m/>
    <s v="TRASPASO"/>
    <d v="2022-03-31T00:00:00"/>
    <n v="3"/>
    <x v="1"/>
    <x v="22"/>
    <x v="13"/>
    <m/>
    <n v="143473"/>
    <n v="-143473"/>
    <x v="0"/>
    <x v="0"/>
    <m/>
    <x v="0"/>
    <s v="SALUD  VIDA TRES"/>
  </r>
  <r>
    <m/>
    <s v="TRASPASO"/>
    <d v="2022-03-31T00:00:00"/>
    <n v="3"/>
    <x v="1"/>
    <x v="21"/>
    <x v="13"/>
    <m/>
    <n v="8124"/>
    <n v="-8124"/>
    <x v="0"/>
    <x v="0"/>
    <m/>
    <x v="0"/>
    <s v="AFC TRABAJADOR"/>
  </r>
  <r>
    <m/>
    <s v="TRASPASO"/>
    <d v="2022-03-31T00:00:00"/>
    <n v="3"/>
    <x v="1"/>
    <x v="16"/>
    <x v="13"/>
    <m/>
    <n v="19879"/>
    <n v="-19879"/>
    <x v="0"/>
    <x v="0"/>
    <m/>
    <x v="0"/>
    <s v="PRESTAMO SOLIDARIO"/>
  </r>
  <r>
    <m/>
    <s v="TRASPASO"/>
    <d v="2022-03-31T00:00:00"/>
    <n v="3"/>
    <x v="1"/>
    <x v="23"/>
    <x v="13"/>
    <m/>
    <n v="1116947"/>
    <n v="-1116947"/>
    <x v="0"/>
    <x v="0"/>
    <m/>
    <x v="0"/>
    <s v="REMUNERACIONES POR PAGAR 202203"/>
  </r>
  <r>
    <m/>
    <s v="TRASPASO"/>
    <d v="2022-03-31T00:00:00"/>
    <n v="3"/>
    <x v="3"/>
    <x v="24"/>
    <x v="13"/>
    <n v="32497"/>
    <m/>
    <n v="32497"/>
    <x v="0"/>
    <x v="0"/>
    <m/>
    <x v="0"/>
    <s v="AFC EMPLEADOR"/>
  </r>
  <r>
    <m/>
    <s v="TRASPASO"/>
    <d v="2022-03-31T00:00:00"/>
    <n v="3"/>
    <x v="1"/>
    <x v="21"/>
    <x v="13"/>
    <m/>
    <n v="32497"/>
    <n v="-32497"/>
    <x v="0"/>
    <x v="0"/>
    <m/>
    <x v="0"/>
    <s v="AFC EMPLEADOR"/>
  </r>
  <r>
    <m/>
    <s v="TRASPASO"/>
    <d v="2022-03-31T00:00:00"/>
    <n v="3"/>
    <x v="3"/>
    <x v="24"/>
    <x v="13"/>
    <n v="12593"/>
    <m/>
    <n v="12593"/>
    <x v="0"/>
    <x v="0"/>
    <m/>
    <x v="0"/>
    <s v="SEGURO ACCIDENTE"/>
  </r>
  <r>
    <m/>
    <s v="TRASPASO"/>
    <d v="2022-03-31T00:00:00"/>
    <n v="3"/>
    <x v="1"/>
    <x v="25"/>
    <x v="13"/>
    <m/>
    <n v="12593"/>
    <n v="-12593"/>
    <x v="0"/>
    <x v="0"/>
    <m/>
    <x v="0"/>
    <s v="SEGURO ACCIDENTE"/>
  </r>
  <r>
    <m/>
    <s v="TRASPASO"/>
    <d v="2022-03-31T00:00:00"/>
    <n v="3"/>
    <x v="3"/>
    <x v="24"/>
    <x v="13"/>
    <n v="20987"/>
    <m/>
    <n v="20987"/>
    <x v="0"/>
    <x v="0"/>
    <m/>
    <x v="0"/>
    <s v="SEGURO INVALIDEZ"/>
  </r>
  <r>
    <m/>
    <s v="TRASPASO"/>
    <d v="2022-03-31T00:00:00"/>
    <n v="3"/>
    <x v="1"/>
    <x v="26"/>
    <x v="13"/>
    <m/>
    <n v="20987"/>
    <n v="-20987"/>
    <x v="0"/>
    <x v="0"/>
    <m/>
    <x v="0"/>
    <s v="SEGURO INVALIDEZ"/>
  </r>
  <r>
    <m/>
    <s v="TRASPASO"/>
    <d v="2022-04-30T00:00:00"/>
    <n v="4"/>
    <x v="3"/>
    <x v="18"/>
    <x v="13"/>
    <n v="700000"/>
    <m/>
    <n v="700000"/>
    <x v="0"/>
    <x v="0"/>
    <m/>
    <x v="0"/>
    <s v="SUELDOS 202204"/>
  </r>
  <r>
    <m/>
    <s v="TRASPASO"/>
    <d v="2022-04-30T00:00:00"/>
    <n v="4"/>
    <x v="3"/>
    <x v="18"/>
    <x v="13"/>
    <n v="175000"/>
    <m/>
    <n v="175000"/>
    <x v="0"/>
    <x v="0"/>
    <m/>
    <x v="0"/>
    <s v="GRATIFICACION"/>
  </r>
  <r>
    <m/>
    <s v="TRASPASO"/>
    <d v="2022-04-30T00:00:00"/>
    <n v="4"/>
    <x v="3"/>
    <x v="19"/>
    <x v="13"/>
    <n v="60000"/>
    <m/>
    <n v="60000"/>
    <x v="0"/>
    <x v="0"/>
    <m/>
    <x v="0"/>
    <s v="COLACION"/>
  </r>
  <r>
    <m/>
    <s v="TRASPASO"/>
    <d v="2022-04-30T00:00:00"/>
    <n v="4"/>
    <x v="3"/>
    <x v="20"/>
    <x v="13"/>
    <n v="60000"/>
    <m/>
    <n v="60000"/>
    <x v="0"/>
    <x v="0"/>
    <m/>
    <x v="0"/>
    <s v="MOVILIZACION"/>
  </r>
  <r>
    <m/>
    <s v="TRASPASO"/>
    <d v="2022-04-30T00:00:00"/>
    <n v="4"/>
    <x v="1"/>
    <x v="21"/>
    <x v="13"/>
    <m/>
    <n v="50094"/>
    <n v="-50094"/>
    <x v="0"/>
    <x v="0"/>
    <m/>
    <x v="0"/>
    <s v="AFP  PROVIDA"/>
  </r>
  <r>
    <m/>
    <s v="TRASPASO"/>
    <d v="2022-04-30T00:00:00"/>
    <n v="4"/>
    <x v="1"/>
    <x v="21"/>
    <x v="13"/>
    <m/>
    <n v="50050"/>
    <n v="-50050"/>
    <x v="0"/>
    <x v="0"/>
    <m/>
    <x v="0"/>
    <s v="AFP  CAPITAL"/>
  </r>
  <r>
    <m/>
    <s v="TRASPASO"/>
    <d v="2022-04-30T00:00:00"/>
    <n v="4"/>
    <x v="1"/>
    <x v="22"/>
    <x v="13"/>
    <m/>
    <n v="30625"/>
    <n v="-30625"/>
    <x v="0"/>
    <x v="0"/>
    <m/>
    <x v="0"/>
    <s v="SALUD  FONASA"/>
  </r>
  <r>
    <m/>
    <s v="TRASPASO"/>
    <d v="2022-04-30T00:00:00"/>
    <n v="4"/>
    <x v="1"/>
    <x v="22"/>
    <x v="13"/>
    <m/>
    <n v="128384"/>
    <n v="-128384"/>
    <x v="0"/>
    <x v="0"/>
    <m/>
    <x v="0"/>
    <s v="SALUD  VIDA TRES"/>
  </r>
  <r>
    <m/>
    <s v="TRASPASO"/>
    <d v="2022-04-30T00:00:00"/>
    <n v="4"/>
    <x v="1"/>
    <x v="21"/>
    <x v="13"/>
    <m/>
    <n v="5250"/>
    <n v="-5250"/>
    <x v="0"/>
    <x v="0"/>
    <m/>
    <x v="0"/>
    <s v="AFC TRABAJADOR"/>
  </r>
  <r>
    <m/>
    <s v="TRASPASO"/>
    <d v="2022-04-30T00:00:00"/>
    <n v="4"/>
    <x v="1"/>
    <x v="16"/>
    <x v="13"/>
    <m/>
    <n v="7692"/>
    <n v="-7692"/>
    <x v="0"/>
    <x v="0"/>
    <m/>
    <x v="0"/>
    <s v="PRESTAMO SOLIDARIO"/>
  </r>
  <r>
    <m/>
    <s v="TRASPASO"/>
    <d v="2022-04-30T00:00:00"/>
    <n v="4"/>
    <x v="1"/>
    <x v="23"/>
    <x v="13"/>
    <m/>
    <n v="722905"/>
    <n v="-722905"/>
    <x v="0"/>
    <x v="0"/>
    <m/>
    <x v="0"/>
    <s v="REMUNERACIONES POR PAGAR 202204"/>
  </r>
  <r>
    <m/>
    <s v="TRASPASO"/>
    <d v="2022-04-30T00:00:00"/>
    <n v="4"/>
    <x v="3"/>
    <x v="24"/>
    <x v="13"/>
    <n v="21000"/>
    <m/>
    <n v="21000"/>
    <x v="0"/>
    <x v="0"/>
    <m/>
    <x v="0"/>
    <s v="AFC EMPLEADOR"/>
  </r>
  <r>
    <m/>
    <s v="TRASPASO"/>
    <d v="2022-04-30T00:00:00"/>
    <n v="4"/>
    <x v="1"/>
    <x v="21"/>
    <x v="13"/>
    <m/>
    <n v="21000"/>
    <n v="-21000"/>
    <x v="0"/>
    <x v="0"/>
    <m/>
    <x v="0"/>
    <s v="AFC EMPLEADOR"/>
  </r>
  <r>
    <m/>
    <s v="TRASPASO"/>
    <d v="2022-04-30T00:00:00"/>
    <n v="4"/>
    <x v="3"/>
    <x v="24"/>
    <x v="13"/>
    <n v="8138"/>
    <m/>
    <n v="8138"/>
    <x v="0"/>
    <x v="0"/>
    <m/>
    <x v="0"/>
    <s v="SEGURO ACCIDENTE"/>
  </r>
  <r>
    <m/>
    <s v="TRASPASO"/>
    <d v="2022-04-30T00:00:00"/>
    <n v="4"/>
    <x v="1"/>
    <x v="25"/>
    <x v="13"/>
    <m/>
    <n v="8138"/>
    <n v="-8138"/>
    <x v="0"/>
    <x v="0"/>
    <m/>
    <x v="0"/>
    <s v="SEGURO ACCIDENTE"/>
  </r>
  <r>
    <m/>
    <s v="TRASPASO"/>
    <d v="2022-04-30T00:00:00"/>
    <n v="4"/>
    <x v="3"/>
    <x v="24"/>
    <x v="13"/>
    <n v="16274"/>
    <m/>
    <n v="16274"/>
    <x v="0"/>
    <x v="0"/>
    <m/>
    <x v="0"/>
    <s v="SEGURO INVALIDEZ"/>
  </r>
  <r>
    <m/>
    <s v="TRASPASO"/>
    <d v="2022-04-30T00:00:00"/>
    <n v="4"/>
    <x v="1"/>
    <x v="26"/>
    <x v="13"/>
    <m/>
    <n v="16274"/>
    <n v="-16274"/>
    <x v="0"/>
    <x v="0"/>
    <m/>
    <x v="0"/>
    <s v="SEGURO INVALIDEZ"/>
  </r>
  <r>
    <m/>
    <s v="TRASPASO"/>
    <d v="2022-05-31T00:00:00"/>
    <n v="5"/>
    <x v="3"/>
    <x v="18"/>
    <x v="13"/>
    <n v="760000"/>
    <m/>
    <n v="760000"/>
    <x v="0"/>
    <x v="0"/>
    <m/>
    <x v="0"/>
    <s v="SUELDOS 202205"/>
  </r>
  <r>
    <m/>
    <s v="TRASPASO"/>
    <d v="2022-05-31T00:00:00"/>
    <n v="5"/>
    <x v="3"/>
    <x v="18"/>
    <x v="13"/>
    <n v="190000"/>
    <m/>
    <n v="190000"/>
    <x v="0"/>
    <x v="0"/>
    <m/>
    <x v="0"/>
    <s v="GRATIFICACION"/>
  </r>
  <r>
    <m/>
    <s v="TRASPASO"/>
    <d v="2022-05-31T00:00:00"/>
    <n v="5"/>
    <x v="3"/>
    <x v="19"/>
    <x v="13"/>
    <n v="60000"/>
    <m/>
    <n v="60000"/>
    <x v="0"/>
    <x v="0"/>
    <m/>
    <x v="0"/>
    <s v="COLACION"/>
  </r>
  <r>
    <m/>
    <s v="TRASPASO"/>
    <d v="2022-05-31T00:00:00"/>
    <n v="5"/>
    <x v="3"/>
    <x v="20"/>
    <x v="13"/>
    <n v="60000"/>
    <m/>
    <n v="60000"/>
    <x v="0"/>
    <x v="0"/>
    <m/>
    <x v="0"/>
    <s v="MOVILIZACION"/>
  </r>
  <r>
    <m/>
    <s v="TRASPASO"/>
    <d v="2022-05-31T00:00:00"/>
    <n v="5"/>
    <x v="1"/>
    <x v="21"/>
    <x v="13"/>
    <m/>
    <n v="54388"/>
    <n v="-54388"/>
    <x v="0"/>
    <x v="0"/>
    <m/>
    <x v="0"/>
    <s v="AFP  PROVIDA"/>
  </r>
  <r>
    <m/>
    <s v="TRASPASO"/>
    <d v="2022-05-31T00:00:00"/>
    <n v="5"/>
    <x v="1"/>
    <x v="21"/>
    <x v="13"/>
    <m/>
    <n v="54340"/>
    <n v="-54340"/>
    <x v="0"/>
    <x v="0"/>
    <m/>
    <x v="0"/>
    <s v="AFP  CAPITAL"/>
  </r>
  <r>
    <m/>
    <s v="TRASPASO"/>
    <d v="2022-05-31T00:00:00"/>
    <n v="5"/>
    <x v="1"/>
    <x v="22"/>
    <x v="13"/>
    <m/>
    <n v="33250"/>
    <n v="-33250"/>
    <x v="0"/>
    <x v="0"/>
    <m/>
    <x v="0"/>
    <s v="SALUD  FONASA"/>
  </r>
  <r>
    <m/>
    <s v="TRASPASO"/>
    <d v="2022-05-31T00:00:00"/>
    <n v="5"/>
    <x v="1"/>
    <x v="22"/>
    <x v="13"/>
    <m/>
    <n v="130391"/>
    <n v="-130391"/>
    <x v="0"/>
    <x v="0"/>
    <m/>
    <x v="0"/>
    <s v="SALUD  VIDA TRES"/>
  </r>
  <r>
    <m/>
    <s v="TRASPASO"/>
    <d v="2022-05-31T00:00:00"/>
    <n v="5"/>
    <x v="1"/>
    <x v="21"/>
    <x v="13"/>
    <m/>
    <n v="5700"/>
    <n v="-5700"/>
    <x v="0"/>
    <x v="0"/>
    <m/>
    <x v="0"/>
    <s v="AFC TRABAJADOR"/>
  </r>
  <r>
    <m/>
    <s v="TRASPASO"/>
    <d v="2022-05-31T00:00:00"/>
    <n v="5"/>
    <x v="1"/>
    <x v="16"/>
    <x v="13"/>
    <m/>
    <n v="8621"/>
    <n v="-8621"/>
    <x v="0"/>
    <x v="0"/>
    <m/>
    <x v="0"/>
    <s v="PRESTAMO SOLIDARIO"/>
  </r>
  <r>
    <m/>
    <s v="TRASPASO"/>
    <d v="2022-05-31T00:00:00"/>
    <n v="5"/>
    <x v="1"/>
    <x v="23"/>
    <x v="13"/>
    <m/>
    <n v="783310"/>
    <n v="-783310"/>
    <x v="0"/>
    <x v="0"/>
    <m/>
    <x v="0"/>
    <s v="REMUNERACIONES POR PAGAR 202205"/>
  </r>
  <r>
    <m/>
    <s v="TRASPASO"/>
    <d v="2022-05-31T00:00:00"/>
    <n v="5"/>
    <x v="3"/>
    <x v="24"/>
    <x v="13"/>
    <n v="22800"/>
    <m/>
    <n v="22800"/>
    <x v="0"/>
    <x v="0"/>
    <m/>
    <x v="0"/>
    <s v="AFC EMPLEADOR"/>
  </r>
  <r>
    <m/>
    <s v="TRASPASO"/>
    <d v="2022-05-31T00:00:00"/>
    <n v="5"/>
    <x v="1"/>
    <x v="21"/>
    <x v="13"/>
    <m/>
    <n v="22800"/>
    <n v="-22800"/>
    <x v="0"/>
    <x v="0"/>
    <m/>
    <x v="0"/>
    <s v="AFC EMPLEADOR"/>
  </r>
  <r>
    <m/>
    <s v="TRASPASO"/>
    <d v="2022-05-31T00:00:00"/>
    <n v="5"/>
    <x v="3"/>
    <x v="24"/>
    <x v="13"/>
    <n v="8836"/>
    <m/>
    <n v="8836"/>
    <x v="0"/>
    <x v="0"/>
    <m/>
    <x v="0"/>
    <s v="SEGURO ACCIDENTE"/>
  </r>
  <r>
    <m/>
    <s v="TRASPASO"/>
    <d v="2022-05-31T00:00:00"/>
    <n v="5"/>
    <x v="1"/>
    <x v="25"/>
    <x v="13"/>
    <m/>
    <n v="8836"/>
    <n v="-8836"/>
    <x v="0"/>
    <x v="0"/>
    <m/>
    <x v="0"/>
    <s v="SEGURO ACCIDENTE"/>
  </r>
  <r>
    <m/>
    <s v="TRASPASO"/>
    <d v="2022-05-31T00:00:00"/>
    <n v="5"/>
    <x v="3"/>
    <x v="24"/>
    <x v="13"/>
    <n v="17670"/>
    <m/>
    <n v="17670"/>
    <x v="0"/>
    <x v="0"/>
    <m/>
    <x v="0"/>
    <s v="SEGURO INVALIDEZ"/>
  </r>
  <r>
    <m/>
    <s v="TRASPASO"/>
    <d v="2022-05-31T00:00:00"/>
    <n v="5"/>
    <x v="1"/>
    <x v="26"/>
    <x v="13"/>
    <m/>
    <n v="17670"/>
    <n v="-17670"/>
    <x v="0"/>
    <x v="0"/>
    <m/>
    <x v="0"/>
    <s v="SEGURO INVALIDEZ"/>
  </r>
  <r>
    <m/>
    <s v="TRASPASO"/>
    <d v="2022-06-30T00:00:00"/>
    <n v="6"/>
    <x v="3"/>
    <x v="18"/>
    <x v="13"/>
    <n v="760000"/>
    <m/>
    <n v="760000"/>
    <x v="0"/>
    <x v="0"/>
    <m/>
    <x v="0"/>
    <s v="SUELDOS 202206"/>
  </r>
  <r>
    <m/>
    <s v="TRASPASO"/>
    <d v="2022-06-30T00:00:00"/>
    <n v="6"/>
    <x v="3"/>
    <x v="18"/>
    <x v="13"/>
    <n v="190000"/>
    <m/>
    <n v="190000"/>
    <x v="0"/>
    <x v="0"/>
    <m/>
    <x v="0"/>
    <s v="GRATIFICACION"/>
  </r>
  <r>
    <m/>
    <s v="TRASPASO"/>
    <d v="2022-06-30T00:00:00"/>
    <n v="6"/>
    <x v="3"/>
    <x v="19"/>
    <x v="13"/>
    <n v="60000"/>
    <m/>
    <n v="60000"/>
    <x v="0"/>
    <x v="0"/>
    <m/>
    <x v="0"/>
    <s v="COLACION"/>
  </r>
  <r>
    <m/>
    <s v="TRASPASO"/>
    <d v="2022-06-30T00:00:00"/>
    <n v="6"/>
    <x v="3"/>
    <x v="20"/>
    <x v="13"/>
    <n v="60000"/>
    <m/>
    <n v="60000"/>
    <x v="0"/>
    <x v="0"/>
    <m/>
    <x v="0"/>
    <s v="MOVILIZACION"/>
  </r>
  <r>
    <m/>
    <s v="TRASPASO"/>
    <d v="2022-06-30T00:00:00"/>
    <n v="6"/>
    <x v="1"/>
    <x v="21"/>
    <x v="13"/>
    <m/>
    <n v="54388"/>
    <n v="-54388"/>
    <x v="0"/>
    <x v="0"/>
    <m/>
    <x v="0"/>
    <s v="AFP  PROVIDA"/>
  </r>
  <r>
    <m/>
    <s v="TRASPASO"/>
    <d v="2022-06-30T00:00:00"/>
    <n v="6"/>
    <x v="1"/>
    <x v="21"/>
    <x v="13"/>
    <m/>
    <n v="54340"/>
    <n v="-54340"/>
    <x v="0"/>
    <x v="0"/>
    <m/>
    <x v="0"/>
    <s v="AFP  CAPITAL"/>
  </r>
  <r>
    <m/>
    <s v="TRASPASO"/>
    <d v="2022-06-30T00:00:00"/>
    <n v="6"/>
    <x v="1"/>
    <x v="22"/>
    <x v="13"/>
    <m/>
    <n v="33250"/>
    <n v="-33250"/>
    <x v="0"/>
    <x v="0"/>
    <m/>
    <x v="0"/>
    <s v="SALUD  FONASA"/>
  </r>
  <r>
    <m/>
    <s v="TRASPASO"/>
    <d v="2022-06-30T00:00:00"/>
    <n v="6"/>
    <x v="1"/>
    <x v="22"/>
    <x v="13"/>
    <m/>
    <n v="148659"/>
    <n v="-148659"/>
    <x v="0"/>
    <x v="0"/>
    <m/>
    <x v="0"/>
    <s v="SALUD  VIDA TRES"/>
  </r>
  <r>
    <m/>
    <s v="TRASPASO"/>
    <d v="2022-06-30T00:00:00"/>
    <n v="6"/>
    <x v="1"/>
    <x v="21"/>
    <x v="13"/>
    <m/>
    <n v="5700"/>
    <n v="-5700"/>
    <x v="0"/>
    <x v="0"/>
    <m/>
    <x v="0"/>
    <s v="AFC TRABAJADOR"/>
  </r>
  <r>
    <m/>
    <s v="TRASPASO"/>
    <d v="2022-06-30T00:00:00"/>
    <n v="6"/>
    <x v="1"/>
    <x v="16"/>
    <x v="13"/>
    <m/>
    <n v="8073"/>
    <n v="-8073"/>
    <x v="0"/>
    <x v="0"/>
    <m/>
    <x v="0"/>
    <s v="PRESTAMO SOLIDARIO"/>
  </r>
  <r>
    <m/>
    <s v="TRASPASO"/>
    <d v="2022-06-30T00:00:00"/>
    <n v="6"/>
    <x v="1"/>
    <x v="23"/>
    <x v="13"/>
    <m/>
    <n v="765590"/>
    <n v="-765590"/>
    <x v="0"/>
    <x v="0"/>
    <m/>
    <x v="0"/>
    <s v="REMUNERACIONES POR PAGAR 202206"/>
  </r>
  <r>
    <m/>
    <s v="TRASPASO"/>
    <d v="2022-06-30T00:00:00"/>
    <n v="6"/>
    <x v="3"/>
    <x v="24"/>
    <x v="13"/>
    <n v="22800"/>
    <m/>
    <n v="22800"/>
    <x v="0"/>
    <x v="0"/>
    <m/>
    <x v="0"/>
    <s v="AFC EMPLEADOR"/>
  </r>
  <r>
    <m/>
    <s v="TRASPASO"/>
    <d v="2022-06-30T00:00:00"/>
    <n v="6"/>
    <x v="1"/>
    <x v="21"/>
    <x v="13"/>
    <m/>
    <n v="22800"/>
    <n v="-22800"/>
    <x v="0"/>
    <x v="0"/>
    <m/>
    <x v="0"/>
    <s v="AFC EMPLEADOR"/>
  </r>
  <r>
    <m/>
    <s v="TRASPASO"/>
    <d v="2022-06-30T00:00:00"/>
    <n v="6"/>
    <x v="3"/>
    <x v="24"/>
    <x v="13"/>
    <n v="8836"/>
    <m/>
    <n v="8836"/>
    <x v="0"/>
    <x v="0"/>
    <m/>
    <x v="0"/>
    <s v="SEGURO ACCIDENTE"/>
  </r>
  <r>
    <m/>
    <s v="TRASPASO"/>
    <d v="2022-06-30T00:00:00"/>
    <n v="6"/>
    <x v="1"/>
    <x v="25"/>
    <x v="13"/>
    <m/>
    <n v="8836"/>
    <n v="-8836"/>
    <x v="0"/>
    <x v="0"/>
    <m/>
    <x v="0"/>
    <s v="SEGURO ACCIDENTE"/>
  </r>
  <r>
    <m/>
    <s v="TRASPASO"/>
    <d v="2022-06-30T00:00:00"/>
    <n v="6"/>
    <x v="3"/>
    <x v="24"/>
    <x v="13"/>
    <n v="17670"/>
    <m/>
    <n v="17670"/>
    <x v="0"/>
    <x v="0"/>
    <m/>
    <x v="0"/>
    <s v="SEGURO INVALIDEZ"/>
  </r>
  <r>
    <m/>
    <s v="TRASPASO"/>
    <d v="2022-06-30T00:00:00"/>
    <n v="6"/>
    <x v="1"/>
    <x v="26"/>
    <x v="13"/>
    <m/>
    <n v="17670"/>
    <n v="-17670"/>
    <x v="0"/>
    <x v="0"/>
    <m/>
    <x v="0"/>
    <s v="SEGURO INVALIDEZ"/>
  </r>
  <r>
    <m/>
    <s v="TRASPASO"/>
    <d v="2022-07-31T00:00:00"/>
    <n v="7"/>
    <x v="3"/>
    <x v="18"/>
    <x v="13"/>
    <n v="760000"/>
    <m/>
    <n v="760000"/>
    <x v="0"/>
    <x v="0"/>
    <m/>
    <x v="0"/>
    <s v="SUELDOS 202207"/>
  </r>
  <r>
    <m/>
    <s v="TRASPASO"/>
    <d v="2022-07-31T00:00:00"/>
    <n v="7"/>
    <x v="3"/>
    <x v="18"/>
    <x v="13"/>
    <n v="190000"/>
    <m/>
    <n v="190000"/>
    <x v="0"/>
    <x v="0"/>
    <m/>
    <x v="0"/>
    <s v="GRATIFICACION"/>
  </r>
  <r>
    <m/>
    <s v="TRASPASO"/>
    <d v="2022-07-31T00:00:00"/>
    <n v="7"/>
    <x v="3"/>
    <x v="19"/>
    <x v="13"/>
    <n v="60000"/>
    <m/>
    <n v="60000"/>
    <x v="0"/>
    <x v="0"/>
    <m/>
    <x v="0"/>
    <s v="COLACION"/>
  </r>
  <r>
    <m/>
    <s v="TRASPASO"/>
    <d v="2022-07-31T00:00:00"/>
    <n v="7"/>
    <x v="3"/>
    <x v="20"/>
    <x v="13"/>
    <n v="60000"/>
    <m/>
    <n v="60000"/>
    <x v="0"/>
    <x v="0"/>
    <m/>
    <x v="0"/>
    <s v="MOVILIZACION"/>
  </r>
  <r>
    <m/>
    <s v="TRASPASO"/>
    <d v="2022-07-31T00:00:00"/>
    <n v="7"/>
    <x v="1"/>
    <x v="21"/>
    <x v="13"/>
    <m/>
    <n v="54388"/>
    <n v="-54388"/>
    <x v="0"/>
    <x v="0"/>
    <m/>
    <x v="0"/>
    <s v="AFP  PROVIDA"/>
  </r>
  <r>
    <m/>
    <s v="TRASPASO"/>
    <d v="2022-07-31T00:00:00"/>
    <n v="7"/>
    <x v="1"/>
    <x v="21"/>
    <x v="13"/>
    <m/>
    <n v="54340"/>
    <n v="-54340"/>
    <x v="0"/>
    <x v="0"/>
    <m/>
    <x v="0"/>
    <s v="AFP  CAPITAL"/>
  </r>
  <r>
    <m/>
    <s v="TRASPASO"/>
    <d v="2022-07-31T00:00:00"/>
    <n v="7"/>
    <x v="1"/>
    <x v="22"/>
    <x v="13"/>
    <m/>
    <n v="33250"/>
    <n v="-33250"/>
    <x v="0"/>
    <x v="0"/>
    <m/>
    <x v="0"/>
    <s v="SALUD  FONASA"/>
  </r>
  <r>
    <m/>
    <s v="TRASPASO"/>
    <d v="2022-07-31T00:00:00"/>
    <n v="7"/>
    <x v="1"/>
    <x v="22"/>
    <x v="13"/>
    <m/>
    <n v="150144"/>
    <n v="-150144"/>
    <x v="0"/>
    <x v="0"/>
    <m/>
    <x v="0"/>
    <s v="SALUD  VIDA TRES"/>
  </r>
  <r>
    <m/>
    <s v="TRASPASO"/>
    <d v="2022-07-31T00:00:00"/>
    <n v="7"/>
    <x v="1"/>
    <x v="21"/>
    <x v="13"/>
    <m/>
    <n v="5700"/>
    <n v="-5700"/>
    <x v="0"/>
    <x v="0"/>
    <m/>
    <x v="0"/>
    <s v="AFC TRABAJADOR"/>
  </r>
  <r>
    <m/>
    <s v="TRASPASO"/>
    <d v="2022-07-31T00:00:00"/>
    <n v="7"/>
    <x v="1"/>
    <x v="16"/>
    <x v="13"/>
    <m/>
    <n v="8029"/>
    <n v="-8029"/>
    <x v="0"/>
    <x v="0"/>
    <m/>
    <x v="0"/>
    <s v="PRESTAMO SOLIDARIO"/>
  </r>
  <r>
    <m/>
    <s v="TRASPASO"/>
    <d v="2022-07-31T00:00:00"/>
    <n v="7"/>
    <x v="1"/>
    <x v="23"/>
    <x v="13"/>
    <m/>
    <n v="764149"/>
    <n v="-764149"/>
    <x v="0"/>
    <x v="0"/>
    <m/>
    <x v="0"/>
    <s v="REMUNERACIONES POR PAGAR 202207"/>
  </r>
  <r>
    <m/>
    <s v="TRASPASO"/>
    <d v="2022-07-31T00:00:00"/>
    <n v="7"/>
    <x v="3"/>
    <x v="24"/>
    <x v="13"/>
    <n v="22800"/>
    <m/>
    <n v="22800"/>
    <x v="0"/>
    <x v="0"/>
    <m/>
    <x v="0"/>
    <s v="AFC EMPLEADOR"/>
  </r>
  <r>
    <m/>
    <s v="TRASPASO"/>
    <d v="2022-07-31T00:00:00"/>
    <n v="7"/>
    <x v="1"/>
    <x v="21"/>
    <x v="13"/>
    <m/>
    <n v="22800"/>
    <n v="-22800"/>
    <x v="0"/>
    <x v="0"/>
    <m/>
    <x v="0"/>
    <s v="AFC EMPLEADOR"/>
  </r>
  <r>
    <m/>
    <s v="TRASPASO"/>
    <d v="2022-07-31T00:00:00"/>
    <n v="7"/>
    <x v="3"/>
    <x v="24"/>
    <x v="13"/>
    <n v="8836"/>
    <m/>
    <n v="8836"/>
    <x v="0"/>
    <x v="0"/>
    <m/>
    <x v="0"/>
    <s v="SEGURO ACCIDENTE"/>
  </r>
  <r>
    <m/>
    <s v="TRASPASO"/>
    <d v="2022-07-31T00:00:00"/>
    <n v="7"/>
    <x v="1"/>
    <x v="25"/>
    <x v="13"/>
    <m/>
    <n v="8836"/>
    <n v="-8836"/>
    <x v="0"/>
    <x v="0"/>
    <m/>
    <x v="0"/>
    <s v="SEGURO ACCIDENTE"/>
  </r>
  <r>
    <m/>
    <s v="TRASPASO"/>
    <d v="2022-07-31T00:00:00"/>
    <n v="7"/>
    <x v="3"/>
    <x v="24"/>
    <x v="13"/>
    <n v="17480"/>
    <m/>
    <n v="17480"/>
    <x v="0"/>
    <x v="0"/>
    <m/>
    <x v="0"/>
    <s v="SEGURO INVALIDEZ"/>
  </r>
  <r>
    <m/>
    <s v="TRASPASO"/>
    <d v="2022-07-31T00:00:00"/>
    <n v="7"/>
    <x v="1"/>
    <x v="26"/>
    <x v="13"/>
    <m/>
    <n v="17480"/>
    <n v="-17480"/>
    <x v="0"/>
    <x v="0"/>
    <m/>
    <x v="0"/>
    <s v="SEGURO INVALIDEZ"/>
  </r>
  <r>
    <m/>
    <s v="TRASPASO"/>
    <d v="2022-08-31T00:00:00"/>
    <n v="8"/>
    <x v="3"/>
    <x v="18"/>
    <x v="13"/>
    <n v="800000"/>
    <m/>
    <n v="800000"/>
    <x v="0"/>
    <x v="0"/>
    <m/>
    <x v="0"/>
    <s v="SUELDOS 202208"/>
  </r>
  <r>
    <m/>
    <s v="TRASPASO"/>
    <d v="2022-08-31T00:00:00"/>
    <n v="8"/>
    <x v="3"/>
    <x v="18"/>
    <x v="13"/>
    <n v="200000"/>
    <m/>
    <n v="200000"/>
    <x v="0"/>
    <x v="0"/>
    <m/>
    <x v="0"/>
    <s v="GRATIFICACION"/>
  </r>
  <r>
    <m/>
    <s v="TRASPASO"/>
    <d v="2022-08-31T00:00:00"/>
    <n v="8"/>
    <x v="3"/>
    <x v="19"/>
    <x v="13"/>
    <n v="60000"/>
    <m/>
    <n v="60000"/>
    <x v="0"/>
    <x v="0"/>
    <m/>
    <x v="0"/>
    <s v="COLACION"/>
  </r>
  <r>
    <m/>
    <s v="TRASPASO"/>
    <d v="2022-08-31T00:00:00"/>
    <n v="8"/>
    <x v="3"/>
    <x v="20"/>
    <x v="13"/>
    <n v="60000"/>
    <m/>
    <n v="60000"/>
    <x v="0"/>
    <x v="0"/>
    <m/>
    <x v="0"/>
    <s v="MOVILIZACION"/>
  </r>
  <r>
    <m/>
    <s v="TRASPASO"/>
    <d v="2022-08-31T00:00:00"/>
    <n v="8"/>
    <x v="1"/>
    <x v="21"/>
    <x v="13"/>
    <m/>
    <n v="57250"/>
    <n v="-57250"/>
    <x v="0"/>
    <x v="0"/>
    <m/>
    <x v="0"/>
    <s v="AFP  PROVIDA"/>
  </r>
  <r>
    <m/>
    <s v="TRASPASO"/>
    <d v="2022-08-31T00:00:00"/>
    <n v="8"/>
    <x v="1"/>
    <x v="21"/>
    <x v="13"/>
    <m/>
    <n v="57200"/>
    <n v="-57200"/>
    <x v="0"/>
    <x v="0"/>
    <m/>
    <x v="0"/>
    <s v="AFP  CAPITAL"/>
  </r>
  <r>
    <m/>
    <s v="TRASPASO"/>
    <d v="2022-08-31T00:00:00"/>
    <n v="8"/>
    <x v="1"/>
    <x v="22"/>
    <x v="13"/>
    <m/>
    <n v="35000"/>
    <n v="-35000"/>
    <x v="0"/>
    <x v="0"/>
    <m/>
    <x v="0"/>
    <s v="SALUD  FONASA"/>
  </r>
  <r>
    <m/>
    <s v="TRASPASO"/>
    <d v="2022-08-31T00:00:00"/>
    <n v="8"/>
    <x v="1"/>
    <x v="22"/>
    <x v="13"/>
    <m/>
    <n v="152027"/>
    <n v="-152027"/>
    <x v="0"/>
    <x v="0"/>
    <m/>
    <x v="0"/>
    <s v="SALUD  VIDA TRES"/>
  </r>
  <r>
    <m/>
    <s v="TRASPASO"/>
    <d v="2022-08-31T00:00:00"/>
    <n v="8"/>
    <x v="1"/>
    <x v="21"/>
    <x v="13"/>
    <m/>
    <n v="6000"/>
    <n v="-6000"/>
    <x v="0"/>
    <x v="0"/>
    <m/>
    <x v="0"/>
    <s v="AFC TRABAJADOR"/>
  </r>
  <r>
    <m/>
    <s v="TRASPASO"/>
    <d v="2022-08-31T00:00:00"/>
    <n v="8"/>
    <x v="1"/>
    <x v="16"/>
    <x v="13"/>
    <m/>
    <n v="8632"/>
    <n v="-8632"/>
    <x v="0"/>
    <x v="0"/>
    <m/>
    <x v="0"/>
    <s v="PRESTAMO SOLIDARIO"/>
  </r>
  <r>
    <m/>
    <s v="TRASPASO"/>
    <d v="2022-08-31T00:00:00"/>
    <n v="8"/>
    <x v="1"/>
    <x v="23"/>
    <x v="13"/>
    <m/>
    <n v="803891"/>
    <n v="-803891"/>
    <x v="0"/>
    <x v="0"/>
    <m/>
    <x v="0"/>
    <s v="REMUNERACIONES POR PAGAR 202208"/>
  </r>
  <r>
    <m/>
    <s v="TRASPASO"/>
    <d v="2022-08-31T00:00:00"/>
    <n v="8"/>
    <x v="3"/>
    <x v="24"/>
    <x v="13"/>
    <n v="24000"/>
    <m/>
    <n v="24000"/>
    <x v="0"/>
    <x v="0"/>
    <m/>
    <x v="0"/>
    <s v="AFC EMPLEADOR"/>
  </r>
  <r>
    <m/>
    <s v="TRASPASO"/>
    <d v="2022-08-31T00:00:00"/>
    <n v="8"/>
    <x v="1"/>
    <x v="21"/>
    <x v="13"/>
    <m/>
    <n v="24000"/>
    <n v="-24000"/>
    <x v="0"/>
    <x v="0"/>
    <m/>
    <x v="0"/>
    <s v="AFC EMPLEADOR"/>
  </r>
  <r>
    <m/>
    <s v="TRASPASO"/>
    <d v="2022-08-31T00:00:00"/>
    <n v="8"/>
    <x v="3"/>
    <x v="24"/>
    <x v="13"/>
    <n v="9300"/>
    <m/>
    <n v="9300"/>
    <x v="0"/>
    <x v="0"/>
    <m/>
    <x v="0"/>
    <s v="SEGURO ACCIDENTE"/>
  </r>
  <r>
    <m/>
    <s v="TRASPASO"/>
    <d v="2022-08-31T00:00:00"/>
    <n v="8"/>
    <x v="1"/>
    <x v="25"/>
    <x v="13"/>
    <m/>
    <n v="9300"/>
    <n v="-9300"/>
    <x v="0"/>
    <x v="0"/>
    <m/>
    <x v="0"/>
    <s v="SEGURO ACCIDENTE"/>
  </r>
  <r>
    <m/>
    <s v="TRASPASO"/>
    <d v="2022-08-31T00:00:00"/>
    <n v="8"/>
    <x v="3"/>
    <x v="24"/>
    <x v="13"/>
    <n v="18400"/>
    <m/>
    <n v="18400"/>
    <x v="0"/>
    <x v="0"/>
    <m/>
    <x v="0"/>
    <s v="SEGURO INVALIDEZ"/>
  </r>
  <r>
    <m/>
    <s v="TRASPASO"/>
    <d v="2022-08-31T00:00:00"/>
    <n v="8"/>
    <x v="1"/>
    <x v="26"/>
    <x v="13"/>
    <m/>
    <n v="18400"/>
    <n v="-18400"/>
    <x v="0"/>
    <x v="0"/>
    <m/>
    <x v="0"/>
    <s v="SEGURO INVALIDEZ"/>
  </r>
  <r>
    <m/>
    <s v="TRASPASO"/>
    <d v="2022-09-30T00:00:00"/>
    <n v="9"/>
    <x v="3"/>
    <x v="18"/>
    <x v="13"/>
    <n v="800000"/>
    <m/>
    <n v="800000"/>
    <x v="0"/>
    <x v="0"/>
    <m/>
    <x v="0"/>
    <s v="SUELDOS 202209"/>
  </r>
  <r>
    <m/>
    <s v="TRASPASO"/>
    <d v="2022-09-30T00:00:00"/>
    <n v="9"/>
    <x v="3"/>
    <x v="18"/>
    <x v="13"/>
    <n v="200000"/>
    <m/>
    <n v="200000"/>
    <x v="0"/>
    <x v="0"/>
    <m/>
    <x v="0"/>
    <s v="GRATIFICACION"/>
  </r>
  <r>
    <m/>
    <s v="TRASPASO"/>
    <d v="2022-09-30T00:00:00"/>
    <n v="9"/>
    <x v="3"/>
    <x v="19"/>
    <x v="13"/>
    <n v="60000"/>
    <m/>
    <n v="60000"/>
    <x v="0"/>
    <x v="0"/>
    <m/>
    <x v="0"/>
    <s v="COLACION"/>
  </r>
  <r>
    <m/>
    <s v="TRASPASO"/>
    <d v="2022-09-30T00:00:00"/>
    <n v="9"/>
    <x v="3"/>
    <x v="20"/>
    <x v="13"/>
    <n v="60000"/>
    <m/>
    <n v="60000"/>
    <x v="0"/>
    <x v="0"/>
    <m/>
    <x v="0"/>
    <s v="MOVILIZACION"/>
  </r>
  <r>
    <m/>
    <s v="TRASPASO"/>
    <d v="2022-09-30T00:00:00"/>
    <n v="9"/>
    <x v="1"/>
    <x v="21"/>
    <x v="13"/>
    <m/>
    <n v="57250"/>
    <n v="-57250"/>
    <x v="0"/>
    <x v="0"/>
    <m/>
    <x v="0"/>
    <s v="AFP  PROVIDA"/>
  </r>
  <r>
    <m/>
    <s v="TRASPASO"/>
    <d v="2022-09-30T00:00:00"/>
    <n v="9"/>
    <x v="1"/>
    <x v="21"/>
    <x v="13"/>
    <m/>
    <n v="57200"/>
    <n v="-57200"/>
    <x v="0"/>
    <x v="0"/>
    <m/>
    <x v="0"/>
    <s v="AFP  CAPITAL"/>
  </r>
  <r>
    <m/>
    <s v="TRASPASO"/>
    <d v="2022-09-30T00:00:00"/>
    <n v="9"/>
    <x v="1"/>
    <x v="22"/>
    <x v="13"/>
    <m/>
    <n v="35000"/>
    <n v="-35000"/>
    <x v="0"/>
    <x v="0"/>
    <m/>
    <x v="0"/>
    <s v="SALUD  FONASA"/>
  </r>
  <r>
    <m/>
    <s v="TRASPASO"/>
    <d v="2022-09-30T00:00:00"/>
    <n v="9"/>
    <x v="1"/>
    <x v="22"/>
    <x v="13"/>
    <m/>
    <n v="153922"/>
    <n v="-153922"/>
    <x v="0"/>
    <x v="0"/>
    <m/>
    <x v="0"/>
    <s v="SALUD  VIDA TRES"/>
  </r>
  <r>
    <m/>
    <s v="TRASPASO"/>
    <d v="2022-09-30T00:00:00"/>
    <n v="9"/>
    <x v="1"/>
    <x v="21"/>
    <x v="13"/>
    <m/>
    <n v="6000"/>
    <n v="-6000"/>
    <x v="0"/>
    <x v="0"/>
    <m/>
    <x v="0"/>
    <s v="AFC TRABAJADOR"/>
  </r>
  <r>
    <m/>
    <s v="TRASPASO"/>
    <d v="2022-09-30T00:00:00"/>
    <n v="9"/>
    <x v="1"/>
    <x v="16"/>
    <x v="13"/>
    <m/>
    <n v="8575"/>
    <n v="-8575"/>
    <x v="0"/>
    <x v="0"/>
    <m/>
    <x v="0"/>
    <s v="PRESTAMO SOLIDARIO"/>
  </r>
  <r>
    <m/>
    <s v="TRASPASO"/>
    <d v="2022-09-30T00:00:00"/>
    <n v="9"/>
    <x v="1"/>
    <x v="23"/>
    <x v="13"/>
    <m/>
    <n v="802053"/>
    <n v="-802053"/>
    <x v="0"/>
    <x v="0"/>
    <m/>
    <x v="0"/>
    <s v="REMUNERACIONES POR PAGAR 202209"/>
  </r>
  <r>
    <m/>
    <s v="TRASPASO"/>
    <d v="2022-09-30T00:00:00"/>
    <n v="9"/>
    <x v="3"/>
    <x v="24"/>
    <x v="13"/>
    <n v="24000"/>
    <m/>
    <n v="24000"/>
    <x v="0"/>
    <x v="0"/>
    <m/>
    <x v="0"/>
    <s v="AFC EMPLEADOR"/>
  </r>
  <r>
    <m/>
    <s v="TRASPASO"/>
    <d v="2022-09-30T00:00:00"/>
    <n v="9"/>
    <x v="1"/>
    <x v="21"/>
    <x v="13"/>
    <m/>
    <n v="24000"/>
    <n v="-24000"/>
    <x v="0"/>
    <x v="0"/>
    <m/>
    <x v="0"/>
    <s v="AFC EMPLEADOR"/>
  </r>
  <r>
    <m/>
    <s v="TRASPASO"/>
    <d v="2022-09-30T00:00:00"/>
    <n v="9"/>
    <x v="3"/>
    <x v="24"/>
    <x v="13"/>
    <n v="9300"/>
    <m/>
    <n v="9300"/>
    <x v="0"/>
    <x v="0"/>
    <m/>
    <x v="0"/>
    <s v="SEGURO ACCIDENTE"/>
  </r>
  <r>
    <m/>
    <s v="TRASPASO"/>
    <d v="2022-09-30T00:00:00"/>
    <n v="9"/>
    <x v="1"/>
    <x v="25"/>
    <x v="13"/>
    <m/>
    <n v="9300"/>
    <n v="-9300"/>
    <x v="0"/>
    <x v="0"/>
    <m/>
    <x v="0"/>
    <s v="SEGURO ACCIDENTE"/>
  </r>
  <r>
    <m/>
    <s v="TRASPASO"/>
    <d v="2022-09-30T00:00:00"/>
    <n v="9"/>
    <x v="3"/>
    <x v="24"/>
    <x v="13"/>
    <n v="18400"/>
    <m/>
    <n v="18400"/>
    <x v="0"/>
    <x v="0"/>
    <m/>
    <x v="0"/>
    <s v="SEGURO INVALIDEZ"/>
  </r>
  <r>
    <m/>
    <s v="TRASPASO"/>
    <d v="2022-09-30T00:00:00"/>
    <n v="9"/>
    <x v="1"/>
    <x v="26"/>
    <x v="13"/>
    <m/>
    <n v="18400"/>
    <n v="-18400"/>
    <x v="0"/>
    <x v="0"/>
    <m/>
    <x v="0"/>
    <s v="SEGURO INVALIDEZ"/>
  </r>
  <r>
    <m/>
    <s v="TRASPASO"/>
    <d v="2022-10-31T00:00:00"/>
    <n v="10"/>
    <x v="3"/>
    <x v="18"/>
    <x v="13"/>
    <n v="800000"/>
    <m/>
    <n v="800000"/>
    <x v="0"/>
    <x v="0"/>
    <m/>
    <x v="0"/>
    <s v="SUELDOS 202210"/>
  </r>
  <r>
    <m/>
    <s v="TRASPASO"/>
    <d v="2022-10-31T00:00:00"/>
    <n v="10"/>
    <x v="3"/>
    <x v="18"/>
    <x v="13"/>
    <n v="200000"/>
    <m/>
    <n v="200000"/>
    <x v="0"/>
    <x v="0"/>
    <m/>
    <x v="0"/>
    <s v="GRATIFICACION"/>
  </r>
  <r>
    <m/>
    <s v="TRASPASO"/>
    <d v="2022-10-31T00:00:00"/>
    <n v="10"/>
    <x v="3"/>
    <x v="19"/>
    <x v="13"/>
    <n v="60000"/>
    <m/>
    <n v="60000"/>
    <x v="0"/>
    <x v="0"/>
    <m/>
    <x v="0"/>
    <s v="COLACION"/>
  </r>
  <r>
    <m/>
    <s v="TRASPASO"/>
    <d v="2022-10-31T00:00:00"/>
    <n v="10"/>
    <x v="3"/>
    <x v="20"/>
    <x v="13"/>
    <n v="60000"/>
    <m/>
    <n v="60000"/>
    <x v="0"/>
    <x v="0"/>
    <m/>
    <x v="0"/>
    <s v="MOVILIZACION"/>
  </r>
  <r>
    <m/>
    <s v="TRASPASO"/>
    <d v="2022-10-31T00:00:00"/>
    <n v="10"/>
    <x v="1"/>
    <x v="21"/>
    <x v="13"/>
    <m/>
    <n v="57250"/>
    <n v="-57250"/>
    <x v="0"/>
    <x v="0"/>
    <m/>
    <x v="0"/>
    <s v="AFP  PROVIDA"/>
  </r>
  <r>
    <m/>
    <s v="TRASPASO"/>
    <d v="2022-10-31T00:00:00"/>
    <n v="10"/>
    <x v="1"/>
    <x v="21"/>
    <x v="13"/>
    <m/>
    <n v="57200"/>
    <n v="-57200"/>
    <x v="0"/>
    <x v="0"/>
    <m/>
    <x v="0"/>
    <s v="AFP  CAPITAL"/>
  </r>
  <r>
    <m/>
    <s v="TRASPASO"/>
    <d v="2022-10-31T00:00:00"/>
    <n v="10"/>
    <x v="1"/>
    <x v="22"/>
    <x v="13"/>
    <m/>
    <n v="35000"/>
    <n v="-35000"/>
    <x v="0"/>
    <x v="0"/>
    <m/>
    <x v="0"/>
    <s v="SALUD  FONASA"/>
  </r>
  <r>
    <m/>
    <s v="TRASPASO"/>
    <d v="2022-10-31T00:00:00"/>
    <n v="10"/>
    <x v="1"/>
    <x v="22"/>
    <x v="13"/>
    <m/>
    <n v="156463"/>
    <n v="-156463"/>
    <x v="0"/>
    <x v="0"/>
    <m/>
    <x v="0"/>
    <s v="SALUD  VIDA TRES"/>
  </r>
  <r>
    <m/>
    <s v="TRASPASO"/>
    <d v="2022-10-31T00:00:00"/>
    <n v="10"/>
    <x v="1"/>
    <x v="21"/>
    <x v="13"/>
    <m/>
    <n v="6000"/>
    <n v="-6000"/>
    <x v="0"/>
    <x v="0"/>
    <m/>
    <x v="0"/>
    <s v="AFC TRABAJADOR"/>
  </r>
  <r>
    <m/>
    <s v="TRASPASO"/>
    <d v="2022-10-31T00:00:00"/>
    <n v="10"/>
    <x v="1"/>
    <x v="16"/>
    <x v="13"/>
    <m/>
    <n v="8499"/>
    <n v="-8499"/>
    <x v="0"/>
    <x v="0"/>
    <m/>
    <x v="0"/>
    <s v="PRESTAMO SOLIDARIO"/>
  </r>
  <r>
    <m/>
    <s v="TRASPASO"/>
    <d v="2022-10-31T00:00:00"/>
    <n v="10"/>
    <x v="1"/>
    <x v="23"/>
    <x v="13"/>
    <m/>
    <n v="799588"/>
    <n v="-799588"/>
    <x v="0"/>
    <x v="0"/>
    <m/>
    <x v="0"/>
    <s v="REMUNERACIONES POR PAGAR 202210"/>
  </r>
  <r>
    <m/>
    <s v="TRASPASO"/>
    <d v="2022-10-31T00:00:00"/>
    <n v="10"/>
    <x v="3"/>
    <x v="24"/>
    <x v="13"/>
    <n v="24000"/>
    <m/>
    <n v="24000"/>
    <x v="0"/>
    <x v="0"/>
    <m/>
    <x v="0"/>
    <s v="AFC EMPLEADOR"/>
  </r>
  <r>
    <m/>
    <s v="TRASPASO"/>
    <d v="2022-10-31T00:00:00"/>
    <n v="10"/>
    <x v="1"/>
    <x v="21"/>
    <x v="13"/>
    <m/>
    <n v="24000"/>
    <n v="-24000"/>
    <x v="0"/>
    <x v="0"/>
    <m/>
    <x v="0"/>
    <s v="AFC EMPLEADOR"/>
  </r>
  <r>
    <m/>
    <s v="TRASPASO"/>
    <d v="2022-10-31T00:00:00"/>
    <n v="10"/>
    <x v="3"/>
    <x v="24"/>
    <x v="13"/>
    <n v="9300"/>
    <m/>
    <n v="9300"/>
    <x v="0"/>
    <x v="0"/>
    <m/>
    <x v="0"/>
    <s v="SEGURO ACCIDENTE"/>
  </r>
  <r>
    <m/>
    <s v="TRASPASO"/>
    <d v="2022-10-31T00:00:00"/>
    <n v="10"/>
    <x v="1"/>
    <x v="25"/>
    <x v="13"/>
    <m/>
    <n v="9300"/>
    <n v="-9300"/>
    <x v="0"/>
    <x v="0"/>
    <m/>
    <x v="0"/>
    <s v="SEGURO ACCIDENTE"/>
  </r>
  <r>
    <m/>
    <s v="TRASPASO"/>
    <d v="2022-10-31T00:00:00"/>
    <n v="10"/>
    <x v="3"/>
    <x v="24"/>
    <x v="13"/>
    <n v="15400"/>
    <m/>
    <n v="15400"/>
    <x v="0"/>
    <x v="0"/>
    <m/>
    <x v="0"/>
    <s v="SEGURO INVALIDEZ"/>
  </r>
  <r>
    <m/>
    <s v="TRASPASO"/>
    <d v="2022-10-31T00:00:00"/>
    <n v="10"/>
    <x v="1"/>
    <x v="26"/>
    <x v="13"/>
    <m/>
    <n v="15400"/>
    <n v="-15400"/>
    <x v="0"/>
    <x v="0"/>
    <m/>
    <x v="0"/>
    <s v="SEGURO INVALIDEZ"/>
  </r>
  <r>
    <m/>
    <s v="TRASPASO"/>
    <d v="2022-11-30T00:00:00"/>
    <n v="11"/>
    <x v="3"/>
    <x v="18"/>
    <x v="13"/>
    <n v="666667"/>
    <m/>
    <n v="666667"/>
    <x v="0"/>
    <x v="0"/>
    <m/>
    <x v="0"/>
    <s v="SUELDOS 202211"/>
  </r>
  <r>
    <m/>
    <s v="TRASPASO"/>
    <d v="2022-11-30T00:00:00"/>
    <n v="11"/>
    <x v="3"/>
    <x v="18"/>
    <x v="13"/>
    <n v="166667"/>
    <m/>
    <n v="166667"/>
    <x v="0"/>
    <x v="0"/>
    <m/>
    <x v="0"/>
    <s v="GRATIFICACION"/>
  </r>
  <r>
    <m/>
    <s v="TRASPASO"/>
    <d v="2022-11-30T00:00:00"/>
    <n v="11"/>
    <x v="3"/>
    <x v="19"/>
    <x v="13"/>
    <n v="40000"/>
    <m/>
    <n v="40000"/>
    <x v="0"/>
    <x v="0"/>
    <m/>
    <x v="0"/>
    <s v="COLACION"/>
  </r>
  <r>
    <m/>
    <s v="TRASPASO"/>
    <d v="2022-11-30T00:00:00"/>
    <n v="11"/>
    <x v="3"/>
    <x v="20"/>
    <x v="13"/>
    <n v="40000"/>
    <m/>
    <n v="40000"/>
    <x v="0"/>
    <x v="0"/>
    <m/>
    <x v="0"/>
    <s v="MOVILIZACION"/>
  </r>
  <r>
    <m/>
    <s v="TRASPASO"/>
    <d v="2022-11-30T00:00:00"/>
    <n v="11"/>
    <x v="1"/>
    <x v="21"/>
    <x v="13"/>
    <m/>
    <n v="38167"/>
    <n v="-38167"/>
    <x v="0"/>
    <x v="0"/>
    <m/>
    <x v="0"/>
    <s v="AFP  PROVIDA"/>
  </r>
  <r>
    <m/>
    <s v="TRASPASO"/>
    <d v="2022-11-30T00:00:00"/>
    <n v="11"/>
    <x v="1"/>
    <x v="21"/>
    <x v="13"/>
    <m/>
    <n v="57200"/>
    <n v="-57200"/>
    <x v="0"/>
    <x v="0"/>
    <m/>
    <x v="0"/>
    <s v="AFP  CAPITAL"/>
  </r>
  <r>
    <m/>
    <s v="TRASPASO"/>
    <d v="2022-11-30T00:00:00"/>
    <n v="11"/>
    <x v="1"/>
    <x v="22"/>
    <x v="13"/>
    <m/>
    <n v="35000"/>
    <n v="-35000"/>
    <x v="0"/>
    <x v="0"/>
    <m/>
    <x v="0"/>
    <s v="SALUD  FONASA"/>
  </r>
  <r>
    <m/>
    <s v="TRASPASO"/>
    <d v="2022-11-30T00:00:00"/>
    <n v="11"/>
    <x v="1"/>
    <x v="22"/>
    <x v="13"/>
    <m/>
    <n v="104946"/>
    <n v="-104946"/>
    <x v="0"/>
    <x v="0"/>
    <m/>
    <x v="0"/>
    <s v="SALUD  VIDA TRES"/>
  </r>
  <r>
    <m/>
    <s v="TRASPASO"/>
    <d v="2022-11-30T00:00:00"/>
    <n v="11"/>
    <x v="1"/>
    <x v="21"/>
    <x v="13"/>
    <m/>
    <n v="5000"/>
    <n v="-5000"/>
    <x v="0"/>
    <x v="0"/>
    <m/>
    <x v="0"/>
    <s v="AFC TRABAJADOR"/>
  </r>
  <r>
    <m/>
    <s v="TRASPASO"/>
    <d v="2022-11-30T00:00:00"/>
    <n v="11"/>
    <x v="1"/>
    <x v="16"/>
    <x v="13"/>
    <m/>
    <n v="5647"/>
    <n v="-5647"/>
    <x v="0"/>
    <x v="0"/>
    <m/>
    <x v="0"/>
    <s v="PRESTAMO SOLIDARIO"/>
  </r>
  <r>
    <m/>
    <s v="TRASPASO"/>
    <d v="2022-11-30T00:00:00"/>
    <n v="11"/>
    <x v="1"/>
    <x v="23"/>
    <x v="13"/>
    <m/>
    <n v="667374"/>
    <n v="-667374"/>
    <x v="0"/>
    <x v="0"/>
    <m/>
    <x v="0"/>
    <s v="REMUNERACIONES POR PAGAR 202211"/>
  </r>
  <r>
    <m/>
    <s v="TRASPASO"/>
    <d v="2022-11-30T00:00:00"/>
    <n v="11"/>
    <x v="3"/>
    <x v="24"/>
    <x v="13"/>
    <n v="24000"/>
    <m/>
    <n v="24000"/>
    <x v="0"/>
    <x v="0"/>
    <m/>
    <x v="0"/>
    <s v="AFC EMPLEADOR"/>
  </r>
  <r>
    <m/>
    <s v="TRASPASO"/>
    <d v="2022-11-30T00:00:00"/>
    <n v="11"/>
    <x v="1"/>
    <x v="21"/>
    <x v="13"/>
    <m/>
    <n v="24000"/>
    <n v="-24000"/>
    <x v="0"/>
    <x v="0"/>
    <m/>
    <x v="0"/>
    <s v="AFC EMPLEADOR"/>
  </r>
  <r>
    <m/>
    <s v="TRASPASO"/>
    <d v="2022-11-30T00:00:00"/>
    <n v="11"/>
    <x v="3"/>
    <x v="24"/>
    <x v="13"/>
    <n v="7800"/>
    <m/>
    <n v="7800"/>
    <x v="0"/>
    <x v="0"/>
    <m/>
    <x v="0"/>
    <s v="SEGURO ACCIDENTE"/>
  </r>
  <r>
    <m/>
    <s v="TRASPASO"/>
    <d v="2022-11-30T00:00:00"/>
    <n v="11"/>
    <x v="1"/>
    <x v="25"/>
    <x v="13"/>
    <m/>
    <n v="7800"/>
    <n v="-7800"/>
    <x v="0"/>
    <x v="0"/>
    <m/>
    <x v="0"/>
    <s v="SEGURO ACCIDENTE"/>
  </r>
  <r>
    <m/>
    <s v="TRASPASO"/>
    <d v="2022-11-30T00:00:00"/>
    <n v="11"/>
    <x v="3"/>
    <x v="24"/>
    <x v="13"/>
    <n v="15400"/>
    <m/>
    <n v="15400"/>
    <x v="0"/>
    <x v="0"/>
    <m/>
    <x v="0"/>
    <s v="SEGURO INVALIDEZ"/>
  </r>
  <r>
    <m/>
    <s v="TRASPASO"/>
    <d v="2022-11-30T00:00:00"/>
    <n v="11"/>
    <x v="1"/>
    <x v="26"/>
    <x v="13"/>
    <m/>
    <n v="15400"/>
    <n v="-15400"/>
    <x v="0"/>
    <x v="0"/>
    <m/>
    <x v="0"/>
    <s v="SEGURO INVALIDEZ"/>
  </r>
  <r>
    <m/>
    <s v="TRASPASO"/>
    <d v="2022-12-31T00:00:00"/>
    <n v="12"/>
    <x v="3"/>
    <x v="18"/>
    <x v="13"/>
    <n v="733333"/>
    <m/>
    <n v="733333"/>
    <x v="0"/>
    <x v="0"/>
    <m/>
    <x v="0"/>
    <s v="SUELDOS 202212"/>
  </r>
  <r>
    <m/>
    <s v="TRASPASO"/>
    <d v="2022-12-31T00:00:00"/>
    <n v="12"/>
    <x v="3"/>
    <x v="18"/>
    <x v="13"/>
    <n v="183333"/>
    <m/>
    <n v="183333"/>
    <x v="0"/>
    <x v="0"/>
    <m/>
    <x v="0"/>
    <s v="GRATIFICACION"/>
  </r>
  <r>
    <m/>
    <s v="TRASPASO"/>
    <d v="2022-12-31T00:00:00"/>
    <n v="12"/>
    <x v="3"/>
    <x v="19"/>
    <x v="13"/>
    <n v="50000"/>
    <m/>
    <n v="50000"/>
    <x v="0"/>
    <x v="0"/>
    <m/>
    <x v="0"/>
    <s v="COLACION"/>
  </r>
  <r>
    <m/>
    <s v="TRASPASO"/>
    <d v="2022-12-31T00:00:00"/>
    <n v="12"/>
    <x v="3"/>
    <x v="20"/>
    <x v="13"/>
    <n v="50000"/>
    <m/>
    <n v="50000"/>
    <x v="0"/>
    <x v="0"/>
    <m/>
    <x v="0"/>
    <s v="MOVILIZACION"/>
  </r>
  <r>
    <m/>
    <s v="TRASPASO"/>
    <d v="2022-12-31T00:00:00"/>
    <n v="12"/>
    <x v="1"/>
    <x v="21"/>
    <x v="13"/>
    <m/>
    <n v="47708"/>
    <n v="-47708"/>
    <x v="0"/>
    <x v="0"/>
    <m/>
    <x v="0"/>
    <s v="AFP  PROVIDA"/>
  </r>
  <r>
    <m/>
    <s v="TRASPASO"/>
    <d v="2022-12-31T00:00:00"/>
    <n v="12"/>
    <x v="1"/>
    <x v="21"/>
    <x v="13"/>
    <m/>
    <n v="57200"/>
    <n v="-57200"/>
    <x v="0"/>
    <x v="0"/>
    <m/>
    <x v="0"/>
    <s v="AFP  CAPITAL"/>
  </r>
  <r>
    <m/>
    <s v="TRASPASO"/>
    <d v="2022-12-31T00:00:00"/>
    <n v="12"/>
    <x v="1"/>
    <x v="22"/>
    <x v="13"/>
    <m/>
    <n v="35000"/>
    <n v="-35000"/>
    <x v="0"/>
    <x v="0"/>
    <m/>
    <x v="0"/>
    <s v="SALUD  FONASA"/>
  </r>
  <r>
    <m/>
    <s v="TRASPASO"/>
    <d v="2022-12-31T00:00:00"/>
    <n v="12"/>
    <x v="1"/>
    <x v="22"/>
    <x v="13"/>
    <m/>
    <n v="132310"/>
    <n v="-132310"/>
    <x v="0"/>
    <x v="0"/>
    <m/>
    <x v="0"/>
    <s v="SALUD  VIDA TRES"/>
  </r>
  <r>
    <m/>
    <s v="TRASPASO"/>
    <d v="2022-12-31T00:00:00"/>
    <n v="12"/>
    <x v="1"/>
    <x v="21"/>
    <x v="13"/>
    <m/>
    <n v="5500"/>
    <n v="-5500"/>
    <x v="0"/>
    <x v="0"/>
    <m/>
    <x v="0"/>
    <s v="AFC TRABAJADOR"/>
  </r>
  <r>
    <m/>
    <s v="TRASPASO"/>
    <d v="2022-12-31T00:00:00"/>
    <n v="12"/>
    <x v="1"/>
    <x v="16"/>
    <x v="13"/>
    <m/>
    <n v="7024"/>
    <n v="-7024"/>
    <x v="0"/>
    <x v="0"/>
    <m/>
    <x v="0"/>
    <s v="PRESTAMO SOLIDARIO"/>
  </r>
  <r>
    <m/>
    <s v="TRASPASO"/>
    <d v="2022-12-31T00:00:00"/>
    <n v="12"/>
    <x v="1"/>
    <x v="23"/>
    <x v="13"/>
    <m/>
    <n v="731924"/>
    <n v="-731924"/>
    <x v="0"/>
    <x v="0"/>
    <m/>
    <x v="0"/>
    <s v="REMUNERACIONES POR PAGAR 202212"/>
  </r>
  <r>
    <m/>
    <s v="TRASPASO"/>
    <d v="2022-12-31T00:00:00"/>
    <n v="12"/>
    <x v="3"/>
    <x v="24"/>
    <x v="13"/>
    <n v="24000"/>
    <m/>
    <n v="24000"/>
    <x v="0"/>
    <x v="0"/>
    <m/>
    <x v="0"/>
    <s v="AFC EMPLEADOR"/>
  </r>
  <r>
    <m/>
    <s v="TRASPASO"/>
    <d v="2022-12-31T00:00:00"/>
    <n v="12"/>
    <x v="1"/>
    <x v="21"/>
    <x v="13"/>
    <m/>
    <n v="24000"/>
    <n v="-24000"/>
    <x v="0"/>
    <x v="0"/>
    <m/>
    <x v="0"/>
    <s v="AFC EMPLEADOR"/>
  </r>
  <r>
    <m/>
    <s v="TRASPASO"/>
    <d v="2022-12-31T00:00:00"/>
    <n v="12"/>
    <x v="3"/>
    <x v="24"/>
    <x v="13"/>
    <n v="8550"/>
    <m/>
    <n v="8550"/>
    <x v="0"/>
    <x v="0"/>
    <m/>
    <x v="0"/>
    <s v="SEGURO ACCIDENTE"/>
  </r>
  <r>
    <m/>
    <s v="TRASPASO"/>
    <d v="2022-12-31T00:00:00"/>
    <n v="12"/>
    <x v="1"/>
    <x v="25"/>
    <x v="13"/>
    <m/>
    <n v="8550"/>
    <n v="-8550"/>
    <x v="0"/>
    <x v="0"/>
    <m/>
    <x v="0"/>
    <s v="SEGURO ACCIDENTE"/>
  </r>
  <r>
    <m/>
    <s v="TRASPASO"/>
    <d v="2022-12-31T00:00:00"/>
    <n v="12"/>
    <x v="3"/>
    <x v="24"/>
    <x v="13"/>
    <n v="15400"/>
    <m/>
    <n v="15400"/>
    <x v="0"/>
    <x v="0"/>
    <m/>
    <x v="0"/>
    <s v="SEGURO INVALIDEZ"/>
  </r>
  <r>
    <m/>
    <s v="TRASPASO"/>
    <d v="2022-12-31T00:00:00"/>
    <n v="12"/>
    <x v="1"/>
    <x v="26"/>
    <x v="13"/>
    <m/>
    <n v="15400"/>
    <n v="-15400"/>
    <x v="0"/>
    <x v="0"/>
    <m/>
    <x v="0"/>
    <s v="SEGURO INVALIDEZ"/>
  </r>
  <r>
    <m/>
    <s v="EGRESO"/>
    <d v="2022-01-31T00:00:00"/>
    <n v="1"/>
    <x v="1"/>
    <x v="23"/>
    <x v="14"/>
    <n v="1119206"/>
    <m/>
    <n v="1119206"/>
    <x v="0"/>
    <x v="0"/>
    <m/>
    <x v="0"/>
    <s v="REMUNERACIONES POR PAGAR 202201"/>
  </r>
  <r>
    <m/>
    <s v="EGRESO"/>
    <d v="2022-01-31T00:00:00"/>
    <n v="1"/>
    <x v="0"/>
    <x v="0"/>
    <x v="14"/>
    <m/>
    <n v="1119206"/>
    <n v="-1119206"/>
    <x v="0"/>
    <x v="0"/>
    <m/>
    <x v="0"/>
    <s v="REMUNERACIONES POR PAGAR 202201"/>
  </r>
  <r>
    <m/>
    <s v="EGRESO"/>
    <d v="2022-02-28T00:00:00"/>
    <n v="2"/>
    <x v="1"/>
    <x v="23"/>
    <x v="14"/>
    <n v="1117775"/>
    <m/>
    <n v="1117775"/>
    <x v="0"/>
    <x v="0"/>
    <m/>
    <x v="0"/>
    <s v="REMUNERACIONES POR PAGAR 202202"/>
  </r>
  <r>
    <m/>
    <s v="EGRESO"/>
    <d v="2022-02-28T00:00:00"/>
    <n v="2"/>
    <x v="0"/>
    <x v="0"/>
    <x v="14"/>
    <m/>
    <n v="1117775"/>
    <n v="-1117775"/>
    <x v="0"/>
    <x v="0"/>
    <m/>
    <x v="0"/>
    <s v="REMUNERACIONES POR PAGAR 202202"/>
  </r>
  <r>
    <m/>
    <s v="EGRESO"/>
    <d v="2022-03-31T00:00:00"/>
    <n v="3"/>
    <x v="1"/>
    <x v="23"/>
    <x v="14"/>
    <n v="1116947"/>
    <m/>
    <n v="1116947"/>
    <x v="0"/>
    <x v="0"/>
    <m/>
    <x v="0"/>
    <s v="REMUNERACIONES POR PAGAR 202203"/>
  </r>
  <r>
    <m/>
    <s v="EGRESO"/>
    <d v="2022-03-31T00:00:00"/>
    <n v="3"/>
    <x v="0"/>
    <x v="0"/>
    <x v="14"/>
    <m/>
    <n v="1116947"/>
    <n v="-1116947"/>
    <x v="0"/>
    <x v="0"/>
    <m/>
    <x v="0"/>
    <s v="REMUNERACIONES POR PAGAR 202203"/>
  </r>
  <r>
    <m/>
    <s v="EGRESO"/>
    <d v="2022-04-30T00:00:00"/>
    <n v="4"/>
    <x v="1"/>
    <x v="23"/>
    <x v="14"/>
    <n v="722905"/>
    <m/>
    <n v="722905"/>
    <x v="0"/>
    <x v="0"/>
    <m/>
    <x v="0"/>
    <s v="REMUNERACIONES POR PAGAR 202204"/>
  </r>
  <r>
    <m/>
    <s v="EGRESO"/>
    <d v="2022-04-30T00:00:00"/>
    <n v="4"/>
    <x v="0"/>
    <x v="0"/>
    <x v="14"/>
    <m/>
    <n v="722905"/>
    <n v="-722905"/>
    <x v="0"/>
    <x v="0"/>
    <m/>
    <x v="0"/>
    <s v="REMUNERACIONES POR PAGAR 202204"/>
  </r>
  <r>
    <m/>
    <s v="EGRESO"/>
    <d v="2022-05-31T00:00:00"/>
    <n v="5"/>
    <x v="1"/>
    <x v="23"/>
    <x v="14"/>
    <n v="783310"/>
    <m/>
    <n v="783310"/>
    <x v="0"/>
    <x v="0"/>
    <m/>
    <x v="0"/>
    <s v="REMUNERACIONES POR PAGAR 202205"/>
  </r>
  <r>
    <m/>
    <s v="EGRESO"/>
    <d v="2022-05-31T00:00:00"/>
    <n v="5"/>
    <x v="0"/>
    <x v="0"/>
    <x v="14"/>
    <m/>
    <n v="783310"/>
    <n v="-783310"/>
    <x v="0"/>
    <x v="0"/>
    <m/>
    <x v="0"/>
    <s v="REMUNERACIONES POR PAGAR 202205"/>
  </r>
  <r>
    <m/>
    <s v="EGRESO"/>
    <d v="2022-06-30T00:00:00"/>
    <n v="6"/>
    <x v="1"/>
    <x v="23"/>
    <x v="14"/>
    <n v="765590"/>
    <m/>
    <n v="765590"/>
    <x v="0"/>
    <x v="0"/>
    <m/>
    <x v="0"/>
    <s v="REMUNERACIONES POR PAGAR 202206"/>
  </r>
  <r>
    <m/>
    <s v="EGRESO"/>
    <d v="2022-06-30T00:00:00"/>
    <n v="6"/>
    <x v="0"/>
    <x v="0"/>
    <x v="14"/>
    <m/>
    <n v="765590"/>
    <n v="-765590"/>
    <x v="0"/>
    <x v="0"/>
    <m/>
    <x v="0"/>
    <s v="REMUNERACIONES POR PAGAR 202206"/>
  </r>
  <r>
    <m/>
    <s v="EGRESO"/>
    <d v="2022-07-31T00:00:00"/>
    <n v="7"/>
    <x v="1"/>
    <x v="23"/>
    <x v="14"/>
    <n v="764149"/>
    <m/>
    <n v="764149"/>
    <x v="0"/>
    <x v="0"/>
    <m/>
    <x v="0"/>
    <s v="REMUNERACIONES POR PAGAR 202207"/>
  </r>
  <r>
    <m/>
    <s v="EGRESO"/>
    <d v="2022-07-31T00:00:00"/>
    <n v="7"/>
    <x v="0"/>
    <x v="0"/>
    <x v="14"/>
    <m/>
    <n v="764149"/>
    <n v="-764149"/>
    <x v="0"/>
    <x v="0"/>
    <m/>
    <x v="0"/>
    <s v="REMUNERACIONES POR PAGAR 202207"/>
  </r>
  <r>
    <m/>
    <s v="EGRESO"/>
    <d v="2022-08-31T00:00:00"/>
    <n v="8"/>
    <x v="1"/>
    <x v="23"/>
    <x v="14"/>
    <n v="803891"/>
    <m/>
    <n v="803891"/>
    <x v="0"/>
    <x v="0"/>
    <m/>
    <x v="0"/>
    <s v="REMUNERACIONES POR PAGAR 202208"/>
  </r>
  <r>
    <m/>
    <s v="EGRESO"/>
    <d v="2022-08-31T00:00:00"/>
    <n v="8"/>
    <x v="0"/>
    <x v="0"/>
    <x v="14"/>
    <m/>
    <n v="803891"/>
    <n v="-803891"/>
    <x v="0"/>
    <x v="0"/>
    <m/>
    <x v="0"/>
    <s v="REMUNERACIONES POR PAGAR 202208"/>
  </r>
  <r>
    <m/>
    <s v="EGRESO"/>
    <d v="2022-09-30T00:00:00"/>
    <n v="9"/>
    <x v="1"/>
    <x v="23"/>
    <x v="14"/>
    <n v="802053"/>
    <m/>
    <n v="802053"/>
    <x v="0"/>
    <x v="0"/>
    <m/>
    <x v="0"/>
    <s v="REMUNERACIONES POR PAGAR 202209"/>
  </r>
  <r>
    <m/>
    <s v="EGRESO"/>
    <d v="2022-09-30T00:00:00"/>
    <n v="9"/>
    <x v="0"/>
    <x v="0"/>
    <x v="14"/>
    <m/>
    <n v="802053"/>
    <n v="-802053"/>
    <x v="0"/>
    <x v="0"/>
    <m/>
    <x v="0"/>
    <s v="REMUNERACIONES POR PAGAR 202209"/>
  </r>
  <r>
    <m/>
    <s v="EGRESO"/>
    <d v="2022-10-31T00:00:00"/>
    <n v="10"/>
    <x v="1"/>
    <x v="23"/>
    <x v="14"/>
    <n v="799588"/>
    <m/>
    <n v="799588"/>
    <x v="0"/>
    <x v="0"/>
    <m/>
    <x v="0"/>
    <s v="REMUNERACIONES POR PAGAR 202210"/>
  </r>
  <r>
    <m/>
    <s v="EGRESO"/>
    <d v="2022-10-31T00:00:00"/>
    <n v="10"/>
    <x v="0"/>
    <x v="0"/>
    <x v="14"/>
    <m/>
    <n v="799588"/>
    <n v="-799588"/>
    <x v="0"/>
    <x v="0"/>
    <m/>
    <x v="0"/>
    <s v="REMUNERACIONES POR PAGAR 202210"/>
  </r>
  <r>
    <m/>
    <s v="EGRESO"/>
    <d v="2022-11-30T00:00:00"/>
    <n v="11"/>
    <x v="1"/>
    <x v="23"/>
    <x v="14"/>
    <n v="667374"/>
    <m/>
    <n v="667374"/>
    <x v="0"/>
    <x v="0"/>
    <m/>
    <x v="0"/>
    <s v="REMUNERACIONES POR PAGAR 202211"/>
  </r>
  <r>
    <m/>
    <s v="EGRESO"/>
    <d v="2022-11-30T00:00:00"/>
    <n v="11"/>
    <x v="0"/>
    <x v="0"/>
    <x v="14"/>
    <m/>
    <n v="667374"/>
    <n v="-667374"/>
    <x v="0"/>
    <x v="0"/>
    <m/>
    <x v="0"/>
    <s v="REMUNERACIONES POR PAGAR 202211"/>
  </r>
  <r>
    <m/>
    <s v="EGRESO"/>
    <d v="2022-12-31T00:00:00"/>
    <n v="12"/>
    <x v="1"/>
    <x v="23"/>
    <x v="14"/>
    <n v="731924"/>
    <m/>
    <n v="731924"/>
    <x v="0"/>
    <x v="0"/>
    <m/>
    <x v="0"/>
    <s v="REMUNERACIONES POR PAGAR 202212"/>
  </r>
  <r>
    <m/>
    <s v="EGRESO"/>
    <d v="2022-12-31T00:00:00"/>
    <n v="12"/>
    <x v="0"/>
    <x v="0"/>
    <x v="14"/>
    <m/>
    <n v="731924"/>
    <n v="-731924"/>
    <x v="0"/>
    <x v="0"/>
    <m/>
    <x v="0"/>
    <s v="REMUNERACIONES POR PAGAR 202212"/>
  </r>
  <r>
    <m/>
    <s v="EGRESO"/>
    <d v="2022-02-12T00:00:00"/>
    <n v="2"/>
    <x v="1"/>
    <x v="21"/>
    <x v="15"/>
    <n v="104944"/>
    <n v="0"/>
    <n v="104944"/>
    <x v="0"/>
    <x v="0"/>
    <m/>
    <x v="0"/>
    <s v="AFP  PROVIDA"/>
  </r>
  <r>
    <m/>
    <s v="EGRESO"/>
    <d v="2022-02-12T00:00:00"/>
    <n v="2"/>
    <x v="1"/>
    <x v="21"/>
    <x v="15"/>
    <n v="50050"/>
    <n v="0"/>
    <n v="50050"/>
    <x v="0"/>
    <x v="0"/>
    <m/>
    <x v="0"/>
    <s v="AFP  CAPITAL"/>
  </r>
  <r>
    <m/>
    <s v="EGRESO"/>
    <d v="2022-02-12T00:00:00"/>
    <n v="2"/>
    <x v="1"/>
    <x v="22"/>
    <x v="15"/>
    <n v="30625"/>
    <n v="0"/>
    <n v="30625"/>
    <x v="1"/>
    <x v="0"/>
    <m/>
    <x v="0"/>
    <s v="SALUD  FONASA"/>
  </r>
  <r>
    <m/>
    <s v="EGRESO"/>
    <d v="2022-02-12T00:00:00"/>
    <n v="2"/>
    <x v="1"/>
    <x v="22"/>
    <x v="15"/>
    <n v="141144"/>
    <n v="0"/>
    <n v="141144"/>
    <x v="0"/>
    <x v="0"/>
    <m/>
    <x v="0"/>
    <s v="SALUD  VIDA TRES"/>
  </r>
  <r>
    <m/>
    <s v="EGRESO"/>
    <d v="2022-02-12T00:00:00"/>
    <n v="2"/>
    <x v="1"/>
    <x v="21"/>
    <x v="15"/>
    <n v="8124"/>
    <n v="0"/>
    <n v="8124"/>
    <x v="0"/>
    <x v="0"/>
    <m/>
    <x v="0"/>
    <s v="AFC TRABAJADOR"/>
  </r>
  <r>
    <m/>
    <s v="EGRESO"/>
    <d v="2022-02-12T00:00:00"/>
    <n v="2"/>
    <x v="1"/>
    <x v="21"/>
    <x v="15"/>
    <n v="32497"/>
    <n v="0"/>
    <n v="32497"/>
    <x v="0"/>
    <x v="0"/>
    <m/>
    <x v="0"/>
    <s v="AFC EMPLEADOR"/>
  </r>
  <r>
    <m/>
    <s v="EGRESO"/>
    <d v="2022-02-12T00:00:00"/>
    <n v="2"/>
    <x v="1"/>
    <x v="25"/>
    <x v="15"/>
    <n v="12593"/>
    <n v="0"/>
    <n v="12593"/>
    <x v="1"/>
    <x v="0"/>
    <m/>
    <x v="0"/>
    <s v="SEGURO ACCIDENTE"/>
  </r>
  <r>
    <m/>
    <s v="EGRESO"/>
    <d v="2022-02-12T00:00:00"/>
    <n v="2"/>
    <x v="1"/>
    <x v="26"/>
    <x v="15"/>
    <n v="20987"/>
    <n v="0"/>
    <n v="20987"/>
    <x v="2"/>
    <x v="0"/>
    <m/>
    <x v="0"/>
    <s v="SEGURO INVALIDEZ"/>
  </r>
  <r>
    <m/>
    <s v="EGRESO"/>
    <d v="2022-02-12T00:00:00"/>
    <n v="2"/>
    <x v="3"/>
    <x v="18"/>
    <x v="15"/>
    <m/>
    <n v="12543"/>
    <n v="-12543"/>
    <x v="0"/>
    <x v="0"/>
    <m/>
    <x v="0"/>
    <m/>
  </r>
  <r>
    <m/>
    <s v="EGRESO"/>
    <d v="2022-02-12T00:00:00"/>
    <n v="2"/>
    <x v="0"/>
    <x v="0"/>
    <x v="15"/>
    <m/>
    <n v="388421"/>
    <n v="-388421"/>
    <x v="0"/>
    <x v="0"/>
    <m/>
    <x v="0"/>
    <m/>
  </r>
  <r>
    <m/>
    <s v="EGRESO"/>
    <d v="2022-03-12T00:00:00"/>
    <n v="3"/>
    <x v="1"/>
    <x v="21"/>
    <x v="15"/>
    <n v="104944"/>
    <n v="0"/>
    <n v="104944"/>
    <x v="0"/>
    <x v="0"/>
    <m/>
    <x v="0"/>
    <s v="AFP  PROVIDA"/>
  </r>
  <r>
    <m/>
    <s v="EGRESO"/>
    <d v="2022-03-12T00:00:00"/>
    <n v="3"/>
    <x v="1"/>
    <x v="21"/>
    <x v="15"/>
    <n v="50050"/>
    <n v="0"/>
    <n v="50050"/>
    <x v="0"/>
    <x v="0"/>
    <m/>
    <x v="0"/>
    <s v="AFP  CAPITAL"/>
  </r>
  <r>
    <m/>
    <s v="EGRESO"/>
    <d v="2022-03-12T00:00:00"/>
    <n v="3"/>
    <x v="1"/>
    <x v="22"/>
    <x v="15"/>
    <n v="30625"/>
    <n v="0"/>
    <n v="30625"/>
    <x v="0"/>
    <x v="0"/>
    <m/>
    <x v="0"/>
    <s v="SALUD  FONASA"/>
  </r>
  <r>
    <m/>
    <s v="EGRESO"/>
    <d v="2022-03-12T00:00:00"/>
    <n v="3"/>
    <x v="1"/>
    <x v="22"/>
    <x v="15"/>
    <n v="142620"/>
    <n v="0"/>
    <n v="142620"/>
    <x v="0"/>
    <x v="0"/>
    <m/>
    <x v="0"/>
    <s v="SALUD  VIDA TRES"/>
  </r>
  <r>
    <m/>
    <s v="EGRESO"/>
    <d v="2022-03-12T00:00:00"/>
    <n v="3"/>
    <x v="1"/>
    <x v="21"/>
    <x v="15"/>
    <n v="8124"/>
    <n v="0"/>
    <n v="8124"/>
    <x v="0"/>
    <x v="0"/>
    <m/>
    <x v="0"/>
    <s v="AFC TRABAJADOR"/>
  </r>
  <r>
    <m/>
    <s v="EGRESO"/>
    <d v="2022-03-12T00:00:00"/>
    <n v="3"/>
    <x v="1"/>
    <x v="21"/>
    <x v="15"/>
    <n v="32497"/>
    <n v="0"/>
    <n v="32497"/>
    <x v="0"/>
    <x v="0"/>
    <m/>
    <x v="0"/>
    <s v="AFC EMPLEADOR"/>
  </r>
  <r>
    <m/>
    <s v="EGRESO"/>
    <d v="2022-03-12T00:00:00"/>
    <n v="3"/>
    <x v="1"/>
    <x v="25"/>
    <x v="15"/>
    <n v="12593"/>
    <n v="0"/>
    <n v="12593"/>
    <x v="0"/>
    <x v="0"/>
    <m/>
    <x v="0"/>
    <s v="SEGURO ACCIDENTE"/>
  </r>
  <r>
    <m/>
    <s v="EGRESO"/>
    <d v="2022-03-12T00:00:00"/>
    <n v="3"/>
    <x v="1"/>
    <x v="26"/>
    <x v="15"/>
    <n v="20987"/>
    <n v="0"/>
    <n v="20987"/>
    <x v="0"/>
    <x v="0"/>
    <m/>
    <x v="0"/>
    <s v="SEGURO INVALIDEZ"/>
  </r>
  <r>
    <m/>
    <s v="EGRESO"/>
    <d v="2022-03-12T00:00:00"/>
    <n v="3"/>
    <x v="3"/>
    <x v="18"/>
    <x v="15"/>
    <m/>
    <n v="12716"/>
    <n v="-12716"/>
    <x v="0"/>
    <x v="0"/>
    <m/>
    <x v="0"/>
    <m/>
  </r>
  <r>
    <m/>
    <s v="EGRESO"/>
    <d v="2022-03-12T00:00:00"/>
    <n v="3"/>
    <x v="0"/>
    <x v="0"/>
    <x v="15"/>
    <m/>
    <n v="389724"/>
    <n v="-389724"/>
    <x v="0"/>
    <x v="0"/>
    <m/>
    <x v="0"/>
    <m/>
  </r>
  <r>
    <m/>
    <s v="EGRESO"/>
    <d v="2022-04-12T00:00:00"/>
    <n v="4"/>
    <x v="1"/>
    <x v="21"/>
    <x v="15"/>
    <n v="104944"/>
    <n v="0"/>
    <n v="104944"/>
    <x v="3"/>
    <x v="0"/>
    <m/>
    <x v="0"/>
    <s v="AFP  PROVIDA"/>
  </r>
  <r>
    <m/>
    <s v="EGRESO"/>
    <d v="2022-04-12T00:00:00"/>
    <n v="4"/>
    <x v="1"/>
    <x v="21"/>
    <x v="15"/>
    <n v="50050"/>
    <n v="0"/>
    <n v="50050"/>
    <x v="0"/>
    <x v="0"/>
    <m/>
    <x v="0"/>
    <s v="AFP  CAPITAL"/>
  </r>
  <r>
    <m/>
    <s v="EGRESO"/>
    <d v="2022-04-12T00:00:00"/>
    <n v="4"/>
    <x v="1"/>
    <x v="22"/>
    <x v="15"/>
    <n v="30625"/>
    <n v="0"/>
    <n v="30625"/>
    <x v="0"/>
    <x v="0"/>
    <m/>
    <x v="0"/>
    <s v="SALUD  FONASA"/>
  </r>
  <r>
    <m/>
    <s v="EGRESO"/>
    <d v="2022-04-12T00:00:00"/>
    <n v="4"/>
    <x v="1"/>
    <x v="22"/>
    <x v="15"/>
    <n v="143473"/>
    <n v="0"/>
    <n v="143473"/>
    <x v="0"/>
    <x v="4"/>
    <m/>
    <x v="0"/>
    <s v="SALUD  VIDA TRES"/>
  </r>
  <r>
    <m/>
    <s v="EGRESO"/>
    <d v="2022-04-12T00:00:00"/>
    <n v="4"/>
    <x v="1"/>
    <x v="21"/>
    <x v="15"/>
    <n v="8124"/>
    <n v="0"/>
    <n v="8124"/>
    <x v="0"/>
    <x v="0"/>
    <m/>
    <x v="0"/>
    <s v="AFC TRABAJADOR"/>
  </r>
  <r>
    <m/>
    <s v="EGRESO"/>
    <d v="2022-04-12T00:00:00"/>
    <n v="4"/>
    <x v="1"/>
    <x v="21"/>
    <x v="15"/>
    <n v="32497"/>
    <n v="0"/>
    <n v="32497"/>
    <x v="0"/>
    <x v="0"/>
    <m/>
    <x v="0"/>
    <s v="AFC EMPLEADOR"/>
  </r>
  <r>
    <m/>
    <s v="EGRESO"/>
    <d v="2022-04-12T00:00:00"/>
    <n v="4"/>
    <x v="1"/>
    <x v="25"/>
    <x v="15"/>
    <n v="12593"/>
    <n v="0"/>
    <n v="12593"/>
    <x v="0"/>
    <x v="0"/>
    <m/>
    <x v="0"/>
    <s v="SEGURO ACCIDENTE"/>
  </r>
  <r>
    <m/>
    <s v="EGRESO"/>
    <d v="2022-04-12T00:00:00"/>
    <n v="4"/>
    <x v="1"/>
    <x v="26"/>
    <x v="15"/>
    <n v="20987"/>
    <n v="0"/>
    <n v="20987"/>
    <x v="0"/>
    <x v="0"/>
    <m/>
    <x v="0"/>
    <s v="SEGURO INVALIDEZ"/>
  </r>
  <r>
    <m/>
    <s v="EGRESO"/>
    <d v="2022-04-12T00:00:00"/>
    <n v="4"/>
    <x v="3"/>
    <x v="18"/>
    <x v="15"/>
    <n v="4063"/>
    <n v="16879"/>
    <n v="-12816"/>
    <x v="0"/>
    <x v="0"/>
    <m/>
    <x v="0"/>
    <m/>
  </r>
  <r>
    <m/>
    <s v="EGRESO"/>
    <d v="2022-04-12T00:00:00"/>
    <n v="4"/>
    <x v="0"/>
    <x v="0"/>
    <x v="15"/>
    <m/>
    <n v="390477"/>
    <n v="-390477"/>
    <x v="0"/>
    <x v="0"/>
    <m/>
    <x v="0"/>
    <m/>
  </r>
  <r>
    <m/>
    <s v="EGRESO"/>
    <d v="2022-05-12T00:00:00"/>
    <n v="5"/>
    <x v="1"/>
    <x v="21"/>
    <x v="15"/>
    <n v="50094"/>
    <n v="0"/>
    <n v="50094"/>
    <x v="0"/>
    <x v="0"/>
    <m/>
    <x v="0"/>
    <s v="AFP  PROVIDA"/>
  </r>
  <r>
    <m/>
    <s v="EGRESO"/>
    <d v="2022-05-12T00:00:00"/>
    <n v="5"/>
    <x v="1"/>
    <x v="21"/>
    <x v="15"/>
    <n v="50050"/>
    <n v="0"/>
    <n v="50050"/>
    <x v="0"/>
    <x v="0"/>
    <m/>
    <x v="0"/>
    <s v="AFP  CAPITAL"/>
  </r>
  <r>
    <m/>
    <s v="EGRESO"/>
    <d v="2022-05-12T00:00:00"/>
    <n v="5"/>
    <x v="1"/>
    <x v="22"/>
    <x v="15"/>
    <n v="30625"/>
    <n v="0"/>
    <n v="30625"/>
    <x v="0"/>
    <x v="0"/>
    <m/>
    <x v="0"/>
    <s v="SALUD  FONASA"/>
  </r>
  <r>
    <m/>
    <s v="EGRESO"/>
    <d v="2022-05-12T00:00:00"/>
    <n v="5"/>
    <x v="1"/>
    <x v="22"/>
    <x v="15"/>
    <n v="128384"/>
    <n v="0"/>
    <n v="128384"/>
    <x v="0"/>
    <x v="0"/>
    <m/>
    <x v="0"/>
    <s v="SALUD  VIDA TRES"/>
  </r>
  <r>
    <m/>
    <s v="EGRESO"/>
    <d v="2022-05-12T00:00:00"/>
    <n v="5"/>
    <x v="1"/>
    <x v="21"/>
    <x v="15"/>
    <n v="5250"/>
    <n v="0"/>
    <n v="5250"/>
    <x v="0"/>
    <x v="0"/>
    <m/>
    <x v="0"/>
    <s v="AFC TRABAJADOR"/>
  </r>
  <r>
    <m/>
    <s v="EGRESO"/>
    <d v="2022-05-12T00:00:00"/>
    <n v="5"/>
    <x v="1"/>
    <x v="21"/>
    <x v="15"/>
    <n v="21000"/>
    <n v="0"/>
    <n v="21000"/>
    <x v="0"/>
    <x v="0"/>
    <m/>
    <x v="0"/>
    <s v="AFC EMPLEADOR"/>
  </r>
  <r>
    <m/>
    <s v="EGRESO"/>
    <d v="2022-05-12T00:00:00"/>
    <n v="5"/>
    <x v="1"/>
    <x v="25"/>
    <x v="15"/>
    <n v="8138"/>
    <n v="0"/>
    <n v="8138"/>
    <x v="0"/>
    <x v="0"/>
    <m/>
    <x v="0"/>
    <s v="SEGURO ACCIDENTE"/>
  </r>
  <r>
    <m/>
    <s v="EGRESO"/>
    <d v="2022-05-12T00:00:00"/>
    <n v="5"/>
    <x v="1"/>
    <x v="26"/>
    <x v="15"/>
    <n v="16274"/>
    <n v="0"/>
    <n v="16274"/>
    <x v="0"/>
    <x v="0"/>
    <m/>
    <x v="0"/>
    <s v="SEGURO INVALIDEZ"/>
  </r>
  <r>
    <m/>
    <s v="EGRESO"/>
    <d v="2022-05-12T00:00:00"/>
    <n v="5"/>
    <x v="0"/>
    <x v="0"/>
    <x v="15"/>
    <m/>
    <n v="309815"/>
    <n v="-309815"/>
    <x v="0"/>
    <x v="0"/>
    <m/>
    <x v="0"/>
    <m/>
  </r>
  <r>
    <m/>
    <s v="EGRESO"/>
    <d v="2022-06-12T00:00:00"/>
    <n v="6"/>
    <x v="1"/>
    <x v="21"/>
    <x v="15"/>
    <n v="54388"/>
    <n v="0"/>
    <n v="54388"/>
    <x v="1"/>
    <x v="0"/>
    <m/>
    <x v="0"/>
    <s v="AFP  PROVIDA"/>
  </r>
  <r>
    <m/>
    <s v="EGRESO"/>
    <d v="2022-06-12T00:00:00"/>
    <n v="6"/>
    <x v="1"/>
    <x v="21"/>
    <x v="15"/>
    <n v="54340"/>
    <n v="0"/>
    <n v="54340"/>
    <x v="1"/>
    <x v="0"/>
    <m/>
    <x v="0"/>
    <s v="AFP  CAPITAL"/>
  </r>
  <r>
    <m/>
    <s v="EGRESO"/>
    <d v="2022-06-12T00:00:00"/>
    <n v="6"/>
    <x v="1"/>
    <x v="22"/>
    <x v="15"/>
    <n v="33250"/>
    <n v="0"/>
    <n v="33250"/>
    <x v="1"/>
    <x v="0"/>
    <m/>
    <x v="0"/>
    <s v="SALUD  FONASA"/>
  </r>
  <r>
    <m/>
    <s v="EGRESO"/>
    <d v="2022-06-12T00:00:00"/>
    <n v="6"/>
    <x v="1"/>
    <x v="22"/>
    <x v="15"/>
    <n v="130391"/>
    <n v="0"/>
    <n v="130391"/>
    <x v="0"/>
    <x v="5"/>
    <m/>
    <x v="0"/>
    <s v="SALUD  VIDA TRES"/>
  </r>
  <r>
    <m/>
    <s v="EGRESO"/>
    <d v="2022-06-12T00:00:00"/>
    <n v="6"/>
    <x v="1"/>
    <x v="21"/>
    <x v="15"/>
    <n v="5700"/>
    <n v="0"/>
    <n v="5700"/>
    <x v="1"/>
    <x v="0"/>
    <m/>
    <x v="0"/>
    <s v="AFC TRABAJADOR"/>
  </r>
  <r>
    <m/>
    <s v="EGRESO"/>
    <d v="2022-06-12T00:00:00"/>
    <n v="6"/>
    <x v="1"/>
    <x v="21"/>
    <x v="15"/>
    <n v="22800"/>
    <n v="0"/>
    <n v="22800"/>
    <x v="1"/>
    <x v="0"/>
    <m/>
    <x v="0"/>
    <s v="AFC EMPLEADOR"/>
  </r>
  <r>
    <m/>
    <s v="EGRESO"/>
    <d v="2022-06-12T00:00:00"/>
    <n v="6"/>
    <x v="1"/>
    <x v="25"/>
    <x v="15"/>
    <n v="8836"/>
    <n v="0"/>
    <n v="8836"/>
    <x v="1"/>
    <x v="0"/>
    <m/>
    <x v="0"/>
    <s v="SEGURO ACCIDENTE"/>
  </r>
  <r>
    <m/>
    <s v="EGRESO"/>
    <d v="2022-06-12T00:00:00"/>
    <n v="6"/>
    <x v="1"/>
    <x v="26"/>
    <x v="15"/>
    <n v="17670"/>
    <n v="0"/>
    <n v="17670"/>
    <x v="1"/>
    <x v="0"/>
    <m/>
    <x v="0"/>
    <s v="SEGURO INVALIDEZ"/>
  </r>
  <r>
    <m/>
    <s v="EGRESO"/>
    <d v="2022-06-12T00:00:00"/>
    <n v="6"/>
    <x v="3"/>
    <x v="18"/>
    <x v="15"/>
    <n v="18268"/>
    <m/>
    <n v="18268"/>
    <x v="0"/>
    <x v="6"/>
    <m/>
    <x v="0"/>
    <m/>
  </r>
  <r>
    <m/>
    <s v="EGRESO"/>
    <d v="2022-06-12T00:00:00"/>
    <n v="6"/>
    <x v="0"/>
    <x v="0"/>
    <x v="15"/>
    <m/>
    <n v="345643"/>
    <n v="-345643"/>
    <x v="0"/>
    <x v="0"/>
    <m/>
    <x v="0"/>
    <m/>
  </r>
  <r>
    <m/>
    <s v="EGRESO"/>
    <d v="2022-07-12T00:00:00"/>
    <n v="7"/>
    <x v="1"/>
    <x v="21"/>
    <x v="15"/>
    <n v="54388"/>
    <n v="0"/>
    <n v="54388"/>
    <x v="0"/>
    <x v="0"/>
    <m/>
    <x v="0"/>
    <s v="AFP  PROVIDA"/>
  </r>
  <r>
    <m/>
    <s v="EGRESO"/>
    <d v="2022-07-12T00:00:00"/>
    <n v="7"/>
    <x v="1"/>
    <x v="21"/>
    <x v="15"/>
    <n v="54340"/>
    <n v="0"/>
    <n v="54340"/>
    <x v="0"/>
    <x v="0"/>
    <m/>
    <x v="0"/>
    <s v="AFP  CAPITAL"/>
  </r>
  <r>
    <m/>
    <s v="EGRESO"/>
    <d v="2022-07-12T00:00:00"/>
    <n v="7"/>
    <x v="1"/>
    <x v="22"/>
    <x v="15"/>
    <n v="33250"/>
    <n v="0"/>
    <n v="33250"/>
    <x v="0"/>
    <x v="0"/>
    <m/>
    <x v="0"/>
    <s v="SALUD  FONASA"/>
  </r>
  <r>
    <m/>
    <s v="EGRESO"/>
    <d v="2022-07-12T00:00:00"/>
    <n v="7"/>
    <x v="1"/>
    <x v="22"/>
    <x v="15"/>
    <n v="148659"/>
    <n v="0"/>
    <n v="148659"/>
    <x v="0"/>
    <x v="0"/>
    <m/>
    <x v="0"/>
    <s v="SALUD  VIDA TRES"/>
  </r>
  <r>
    <m/>
    <s v="EGRESO"/>
    <d v="2022-07-12T00:00:00"/>
    <n v="7"/>
    <x v="1"/>
    <x v="21"/>
    <x v="15"/>
    <n v="5700"/>
    <n v="0"/>
    <n v="5700"/>
    <x v="0"/>
    <x v="0"/>
    <m/>
    <x v="0"/>
    <s v="AFC TRABAJADOR"/>
  </r>
  <r>
    <m/>
    <s v="EGRESO"/>
    <d v="2022-07-12T00:00:00"/>
    <n v="7"/>
    <x v="1"/>
    <x v="21"/>
    <x v="15"/>
    <n v="22800"/>
    <n v="0"/>
    <n v="22800"/>
    <x v="0"/>
    <x v="0"/>
    <m/>
    <x v="0"/>
    <s v="AFC EMPLEADOR"/>
  </r>
  <r>
    <m/>
    <s v="EGRESO"/>
    <d v="2022-07-12T00:00:00"/>
    <n v="7"/>
    <x v="1"/>
    <x v="25"/>
    <x v="15"/>
    <n v="8836"/>
    <n v="0"/>
    <n v="8836"/>
    <x v="0"/>
    <x v="0"/>
    <m/>
    <x v="0"/>
    <s v="SEGURO ACCIDENTE"/>
  </r>
  <r>
    <m/>
    <s v="EGRESO"/>
    <d v="2022-07-12T00:00:00"/>
    <n v="7"/>
    <x v="1"/>
    <x v="26"/>
    <x v="15"/>
    <n v="17670"/>
    <n v="0"/>
    <n v="17670"/>
    <x v="0"/>
    <x v="0"/>
    <m/>
    <x v="0"/>
    <s v="SEGURO INVALIDEZ"/>
  </r>
  <r>
    <m/>
    <s v="EGRESO"/>
    <d v="2022-07-12T00:00:00"/>
    <n v="7"/>
    <x v="0"/>
    <x v="0"/>
    <x v="15"/>
    <m/>
    <n v="345643"/>
    <n v="-345643"/>
    <x v="0"/>
    <x v="0"/>
    <m/>
    <x v="0"/>
    <m/>
  </r>
  <r>
    <m/>
    <s v="EGRESO"/>
    <d v="2022-08-12T00:00:00"/>
    <n v="8"/>
    <x v="1"/>
    <x v="21"/>
    <x v="15"/>
    <n v="54388"/>
    <n v="0"/>
    <n v="54388"/>
    <x v="0"/>
    <x v="0"/>
    <m/>
    <x v="0"/>
    <s v="AFP  PROVIDA"/>
  </r>
  <r>
    <m/>
    <s v="EGRESO"/>
    <d v="2022-08-12T00:00:00"/>
    <n v="8"/>
    <x v="1"/>
    <x v="21"/>
    <x v="15"/>
    <n v="54340"/>
    <n v="0"/>
    <n v="54340"/>
    <x v="0"/>
    <x v="0"/>
    <m/>
    <x v="0"/>
    <s v="AFP  CAPITAL"/>
  </r>
  <r>
    <m/>
    <s v="EGRESO"/>
    <d v="2022-08-12T00:00:00"/>
    <n v="8"/>
    <x v="1"/>
    <x v="22"/>
    <x v="15"/>
    <n v="33250"/>
    <n v="0"/>
    <n v="33250"/>
    <x v="0"/>
    <x v="0"/>
    <m/>
    <x v="0"/>
    <s v="SALUD  FONASA"/>
  </r>
  <r>
    <m/>
    <s v="EGRESO"/>
    <d v="2022-08-12T00:00:00"/>
    <n v="8"/>
    <x v="1"/>
    <x v="22"/>
    <x v="15"/>
    <n v="150144"/>
    <n v="0"/>
    <n v="150144"/>
    <x v="0"/>
    <x v="0"/>
    <m/>
    <x v="0"/>
    <s v="SALUD  VIDA TRES"/>
  </r>
  <r>
    <m/>
    <s v="EGRESO"/>
    <d v="2022-08-12T00:00:00"/>
    <n v="8"/>
    <x v="1"/>
    <x v="21"/>
    <x v="15"/>
    <n v="5700"/>
    <n v="0"/>
    <n v="5700"/>
    <x v="0"/>
    <x v="0"/>
    <m/>
    <x v="0"/>
    <s v="AFC TRABAJADOR"/>
  </r>
  <r>
    <m/>
    <s v="EGRESO"/>
    <d v="2022-08-12T00:00:00"/>
    <n v="8"/>
    <x v="1"/>
    <x v="21"/>
    <x v="15"/>
    <n v="22800"/>
    <n v="0"/>
    <n v="22800"/>
    <x v="0"/>
    <x v="0"/>
    <m/>
    <x v="0"/>
    <s v="AFC EMPLEADOR"/>
  </r>
  <r>
    <m/>
    <s v="EGRESO"/>
    <d v="2022-08-12T00:00:00"/>
    <n v="8"/>
    <x v="1"/>
    <x v="25"/>
    <x v="15"/>
    <n v="8836"/>
    <n v="0"/>
    <n v="8836"/>
    <x v="0"/>
    <x v="0"/>
    <m/>
    <x v="0"/>
    <s v="SEGURO ACCIDENTE"/>
  </r>
  <r>
    <m/>
    <s v="EGRESO"/>
    <d v="2022-08-12T00:00:00"/>
    <n v="8"/>
    <x v="1"/>
    <x v="26"/>
    <x v="15"/>
    <n v="17480"/>
    <n v="0"/>
    <n v="17480"/>
    <x v="0"/>
    <x v="0"/>
    <m/>
    <x v="0"/>
    <s v="SEGURO INVALIDEZ"/>
  </r>
  <r>
    <m/>
    <s v="EGRESO"/>
    <d v="2022-08-12T00:00:00"/>
    <n v="8"/>
    <x v="0"/>
    <x v="0"/>
    <x v="15"/>
    <m/>
    <n v="346938"/>
    <n v="-346938"/>
    <x v="0"/>
    <x v="0"/>
    <m/>
    <x v="0"/>
    <m/>
  </r>
  <r>
    <m/>
    <s v="EGRESO"/>
    <d v="2022-09-12T00:00:00"/>
    <n v="9"/>
    <x v="1"/>
    <x v="21"/>
    <x v="15"/>
    <n v="57250"/>
    <n v="0"/>
    <n v="57250"/>
    <x v="0"/>
    <x v="0"/>
    <m/>
    <x v="0"/>
    <s v="AFP  PROVIDA"/>
  </r>
  <r>
    <m/>
    <s v="EGRESO"/>
    <d v="2022-09-12T00:00:00"/>
    <n v="9"/>
    <x v="1"/>
    <x v="21"/>
    <x v="15"/>
    <n v="57200"/>
    <n v="0"/>
    <n v="57200"/>
    <x v="0"/>
    <x v="0"/>
    <m/>
    <x v="0"/>
    <s v="AFP  CAPITAL"/>
  </r>
  <r>
    <m/>
    <s v="EGRESO"/>
    <d v="2022-09-12T00:00:00"/>
    <n v="9"/>
    <x v="1"/>
    <x v="22"/>
    <x v="15"/>
    <n v="35000"/>
    <n v="0"/>
    <n v="35000"/>
    <x v="0"/>
    <x v="0"/>
    <m/>
    <x v="0"/>
    <s v="SALUD  FONASA"/>
  </r>
  <r>
    <m/>
    <s v="EGRESO"/>
    <d v="2022-09-12T00:00:00"/>
    <n v="9"/>
    <x v="1"/>
    <x v="22"/>
    <x v="15"/>
    <n v="152027"/>
    <n v="0"/>
    <n v="152027"/>
    <x v="0"/>
    <x v="0"/>
    <m/>
    <x v="0"/>
    <s v="SALUD  VIDA TRES"/>
  </r>
  <r>
    <m/>
    <s v="EGRESO"/>
    <d v="2022-09-12T00:00:00"/>
    <n v="9"/>
    <x v="1"/>
    <x v="21"/>
    <x v="15"/>
    <n v="6000"/>
    <n v="0"/>
    <n v="6000"/>
    <x v="0"/>
    <x v="0"/>
    <m/>
    <x v="0"/>
    <s v="AFC TRABAJADOR"/>
  </r>
  <r>
    <m/>
    <s v="EGRESO"/>
    <d v="2022-09-12T00:00:00"/>
    <n v="9"/>
    <x v="1"/>
    <x v="21"/>
    <x v="15"/>
    <n v="24000"/>
    <n v="0"/>
    <n v="24000"/>
    <x v="0"/>
    <x v="0"/>
    <m/>
    <x v="0"/>
    <s v="AFC EMPLEADOR"/>
  </r>
  <r>
    <m/>
    <s v="EGRESO"/>
    <d v="2022-09-12T00:00:00"/>
    <n v="9"/>
    <x v="1"/>
    <x v="25"/>
    <x v="15"/>
    <n v="9300"/>
    <n v="0"/>
    <n v="9300"/>
    <x v="0"/>
    <x v="0"/>
    <m/>
    <x v="0"/>
    <s v="SEGURO ACCIDENTE"/>
  </r>
  <r>
    <m/>
    <s v="EGRESO"/>
    <d v="2022-09-12T00:00:00"/>
    <n v="9"/>
    <x v="1"/>
    <x v="26"/>
    <x v="15"/>
    <n v="18400"/>
    <n v="0"/>
    <n v="18400"/>
    <x v="0"/>
    <x v="0"/>
    <m/>
    <x v="0"/>
    <s v="SEGURO INVALIDEZ"/>
  </r>
  <r>
    <m/>
    <s v="EGRESO"/>
    <d v="2022-09-12T00:00:00"/>
    <n v="9"/>
    <x v="0"/>
    <x v="0"/>
    <x v="15"/>
    <m/>
    <n v="359177"/>
    <n v="-359177"/>
    <x v="0"/>
    <x v="0"/>
    <m/>
    <x v="0"/>
    <m/>
  </r>
  <r>
    <m/>
    <s v="EGRESO"/>
    <d v="2022-10-12T00:00:00"/>
    <n v="10"/>
    <x v="1"/>
    <x v="21"/>
    <x v="15"/>
    <n v="57250"/>
    <n v="0"/>
    <n v="57250"/>
    <x v="0"/>
    <x v="0"/>
    <m/>
    <x v="0"/>
    <s v="AFP  PROVIDA"/>
  </r>
  <r>
    <m/>
    <s v="EGRESO"/>
    <d v="2022-10-12T00:00:00"/>
    <n v="10"/>
    <x v="1"/>
    <x v="21"/>
    <x v="15"/>
    <n v="57200"/>
    <n v="0"/>
    <n v="57200"/>
    <x v="0"/>
    <x v="0"/>
    <m/>
    <x v="0"/>
    <s v="AFP  CAPITAL"/>
  </r>
  <r>
    <m/>
    <s v="EGRESO"/>
    <d v="2022-10-12T00:00:00"/>
    <n v="10"/>
    <x v="1"/>
    <x v="22"/>
    <x v="15"/>
    <n v="35000"/>
    <n v="0"/>
    <n v="35000"/>
    <x v="0"/>
    <x v="0"/>
    <m/>
    <x v="0"/>
    <s v="SALUD  FONASA"/>
  </r>
  <r>
    <m/>
    <s v="EGRESO"/>
    <d v="2022-10-12T00:00:00"/>
    <n v="10"/>
    <x v="1"/>
    <x v="22"/>
    <x v="15"/>
    <n v="153922"/>
    <n v="0"/>
    <n v="153922"/>
    <x v="0"/>
    <x v="0"/>
    <m/>
    <x v="0"/>
    <s v="SALUD  VIDA TRES"/>
  </r>
  <r>
    <m/>
    <s v="EGRESO"/>
    <d v="2022-10-12T00:00:00"/>
    <n v="10"/>
    <x v="1"/>
    <x v="21"/>
    <x v="15"/>
    <n v="6000"/>
    <n v="0"/>
    <n v="6000"/>
    <x v="0"/>
    <x v="0"/>
    <m/>
    <x v="0"/>
    <s v="AFC TRABAJADOR"/>
  </r>
  <r>
    <m/>
    <s v="EGRESO"/>
    <d v="2022-10-12T00:00:00"/>
    <n v="10"/>
    <x v="1"/>
    <x v="21"/>
    <x v="15"/>
    <n v="24000"/>
    <n v="0"/>
    <n v="24000"/>
    <x v="0"/>
    <x v="0"/>
    <m/>
    <x v="0"/>
    <s v="AFC EMPLEADOR"/>
  </r>
  <r>
    <m/>
    <s v="EGRESO"/>
    <d v="2022-10-12T00:00:00"/>
    <n v="10"/>
    <x v="1"/>
    <x v="25"/>
    <x v="15"/>
    <n v="9300"/>
    <n v="0"/>
    <n v="9300"/>
    <x v="0"/>
    <x v="0"/>
    <m/>
    <x v="0"/>
    <s v="SEGURO ACCIDENTE"/>
  </r>
  <r>
    <m/>
    <s v="EGRESO"/>
    <d v="2022-10-12T00:00:00"/>
    <n v="10"/>
    <x v="1"/>
    <x v="26"/>
    <x v="15"/>
    <n v="18400"/>
    <n v="0"/>
    <n v="18400"/>
    <x v="0"/>
    <x v="0"/>
    <m/>
    <x v="0"/>
    <s v="SEGURO INVALIDEZ"/>
  </r>
  <r>
    <m/>
    <s v="EGRESO"/>
    <d v="2022-10-12T00:00:00"/>
    <n v="10"/>
    <x v="0"/>
    <x v="0"/>
    <x v="15"/>
    <m/>
    <n v="361072"/>
    <n v="-361072"/>
    <x v="0"/>
    <x v="0"/>
    <m/>
    <x v="0"/>
    <m/>
  </r>
  <r>
    <m/>
    <s v="EGRESO"/>
    <d v="2022-11-12T00:00:00"/>
    <n v="11"/>
    <x v="1"/>
    <x v="21"/>
    <x v="15"/>
    <n v="57250"/>
    <n v="0"/>
    <n v="57250"/>
    <x v="0"/>
    <x v="0"/>
    <m/>
    <x v="0"/>
    <s v="AFP  PROVIDA"/>
  </r>
  <r>
    <m/>
    <s v="EGRESO"/>
    <d v="2022-11-12T00:00:00"/>
    <n v="11"/>
    <x v="1"/>
    <x v="21"/>
    <x v="15"/>
    <n v="57200"/>
    <n v="0"/>
    <n v="57200"/>
    <x v="0"/>
    <x v="0"/>
    <m/>
    <x v="0"/>
    <s v="AFP  CAPITAL"/>
  </r>
  <r>
    <m/>
    <s v="EGRESO"/>
    <d v="2022-11-12T00:00:00"/>
    <n v="11"/>
    <x v="1"/>
    <x v="22"/>
    <x v="15"/>
    <n v="35000"/>
    <n v="0"/>
    <n v="35000"/>
    <x v="0"/>
    <x v="0"/>
    <m/>
    <x v="0"/>
    <s v="SALUD  FONASA"/>
  </r>
  <r>
    <m/>
    <s v="EGRESO"/>
    <d v="2022-11-12T00:00:00"/>
    <n v="11"/>
    <x v="1"/>
    <x v="22"/>
    <x v="15"/>
    <n v="156463"/>
    <n v="0"/>
    <n v="156463"/>
    <x v="0"/>
    <x v="0"/>
    <m/>
    <x v="0"/>
    <s v="SALUD  VIDA TRES"/>
  </r>
  <r>
    <m/>
    <s v="EGRESO"/>
    <d v="2022-11-12T00:00:00"/>
    <n v="11"/>
    <x v="1"/>
    <x v="21"/>
    <x v="15"/>
    <n v="6000"/>
    <n v="0"/>
    <n v="6000"/>
    <x v="0"/>
    <x v="0"/>
    <m/>
    <x v="0"/>
    <s v="AFC TRABAJADOR"/>
  </r>
  <r>
    <m/>
    <s v="EGRESO"/>
    <d v="2022-11-12T00:00:00"/>
    <n v="11"/>
    <x v="1"/>
    <x v="21"/>
    <x v="15"/>
    <n v="24000"/>
    <n v="0"/>
    <n v="24000"/>
    <x v="0"/>
    <x v="0"/>
    <m/>
    <x v="0"/>
    <s v="AFC EMPLEADOR"/>
  </r>
  <r>
    <m/>
    <s v="EGRESO"/>
    <d v="2022-11-12T00:00:00"/>
    <n v="11"/>
    <x v="1"/>
    <x v="25"/>
    <x v="15"/>
    <n v="9300"/>
    <n v="0"/>
    <n v="9300"/>
    <x v="0"/>
    <x v="0"/>
    <m/>
    <x v="0"/>
    <s v="SEGURO ACCIDENTE"/>
  </r>
  <r>
    <m/>
    <s v="EGRESO"/>
    <d v="2022-11-12T00:00:00"/>
    <n v="11"/>
    <x v="1"/>
    <x v="26"/>
    <x v="15"/>
    <n v="15400"/>
    <n v="0"/>
    <n v="15400"/>
    <x v="0"/>
    <x v="0"/>
    <m/>
    <x v="0"/>
    <s v="SEGURO INVALIDEZ"/>
  </r>
  <r>
    <m/>
    <s v="EGRESO"/>
    <d v="2022-11-12T00:00:00"/>
    <n v="11"/>
    <x v="0"/>
    <x v="0"/>
    <x v="15"/>
    <m/>
    <n v="360613"/>
    <n v="-360613"/>
    <x v="0"/>
    <x v="0"/>
    <m/>
    <x v="0"/>
    <m/>
  </r>
  <r>
    <m/>
    <s v="EGRESO"/>
    <d v="2022-12-12T00:00:00"/>
    <n v="12"/>
    <x v="1"/>
    <x v="21"/>
    <x v="15"/>
    <n v="38167"/>
    <n v="0"/>
    <n v="38167"/>
    <x v="0"/>
    <x v="0"/>
    <m/>
    <x v="0"/>
    <s v="AFP  PROVIDA"/>
  </r>
  <r>
    <m/>
    <s v="EGRESO"/>
    <d v="2022-12-12T00:00:00"/>
    <n v="12"/>
    <x v="1"/>
    <x v="21"/>
    <x v="15"/>
    <n v="57200"/>
    <n v="0"/>
    <n v="57200"/>
    <x v="0"/>
    <x v="0"/>
    <m/>
    <x v="0"/>
    <s v="AFP  CAPITAL"/>
  </r>
  <r>
    <m/>
    <s v="EGRESO"/>
    <d v="2022-12-12T00:00:00"/>
    <n v="12"/>
    <x v="1"/>
    <x v="22"/>
    <x v="15"/>
    <n v="35000"/>
    <n v="0"/>
    <n v="35000"/>
    <x v="0"/>
    <x v="0"/>
    <m/>
    <x v="0"/>
    <s v="SALUD  FONASA"/>
  </r>
  <r>
    <m/>
    <s v="EGRESO"/>
    <d v="2022-12-12T00:00:00"/>
    <n v="12"/>
    <x v="1"/>
    <x v="22"/>
    <x v="15"/>
    <n v="104946"/>
    <n v="0"/>
    <n v="104946"/>
    <x v="0"/>
    <x v="0"/>
    <m/>
    <x v="0"/>
    <s v="SALUD  VIDA TRES"/>
  </r>
  <r>
    <m/>
    <s v="EGRESO"/>
    <d v="2022-12-12T00:00:00"/>
    <n v="12"/>
    <x v="1"/>
    <x v="21"/>
    <x v="15"/>
    <n v="5000"/>
    <n v="0"/>
    <n v="5000"/>
    <x v="0"/>
    <x v="0"/>
    <m/>
    <x v="0"/>
    <s v="AFC TRABAJADOR"/>
  </r>
  <r>
    <m/>
    <s v="EGRESO"/>
    <d v="2022-12-12T00:00:00"/>
    <n v="12"/>
    <x v="1"/>
    <x v="21"/>
    <x v="15"/>
    <n v="24000"/>
    <n v="0"/>
    <n v="24000"/>
    <x v="0"/>
    <x v="0"/>
    <m/>
    <x v="0"/>
    <s v="AFC EMPLEADOR"/>
  </r>
  <r>
    <m/>
    <s v="EGRESO"/>
    <d v="2022-12-12T00:00:00"/>
    <n v="12"/>
    <x v="1"/>
    <x v="25"/>
    <x v="15"/>
    <n v="7800"/>
    <n v="0"/>
    <n v="7800"/>
    <x v="0"/>
    <x v="0"/>
    <m/>
    <x v="0"/>
    <s v="SEGURO ACCIDENTE"/>
  </r>
  <r>
    <m/>
    <s v="EGRESO"/>
    <d v="2022-12-12T00:00:00"/>
    <n v="12"/>
    <x v="1"/>
    <x v="26"/>
    <x v="15"/>
    <n v="15400"/>
    <n v="0"/>
    <n v="15400"/>
    <x v="0"/>
    <x v="0"/>
    <m/>
    <x v="0"/>
    <s v="SEGURO INVALIDEZ"/>
  </r>
  <r>
    <m/>
    <s v="EGRESO"/>
    <d v="2022-12-12T00:00:00"/>
    <n v="12"/>
    <x v="0"/>
    <x v="0"/>
    <x v="15"/>
    <m/>
    <n v="287513"/>
    <n v="-287513"/>
    <x v="0"/>
    <x v="0"/>
    <m/>
    <x v="0"/>
    <m/>
  </r>
  <r>
    <m/>
    <m/>
    <m/>
    <m/>
    <x v="6"/>
    <x v="27"/>
    <x v="16"/>
    <m/>
    <m/>
    <m/>
    <x v="0"/>
    <x v="0"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504CC-9FF3-2649-9E40-E4F452AF5D2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D42" firstHeaderRow="0" firstDataRow="1" firstDataCol="1"/>
  <pivotFields count="15">
    <pivotField showAll="0"/>
    <pivotField showAll="0"/>
    <pivotField showAll="0"/>
    <pivotField showAll="0"/>
    <pivotField showAll="0">
      <items count="8">
        <item x="0"/>
        <item x="1"/>
        <item x="4"/>
        <item x="3"/>
        <item x="2"/>
        <item x="5"/>
        <item x="6"/>
        <item t="default"/>
      </items>
    </pivotField>
    <pivotField showAll="0">
      <items count="29">
        <item x="21"/>
        <item x="0"/>
        <item x="6"/>
        <item x="19"/>
        <item x="10"/>
        <item x="13"/>
        <item x="7"/>
        <item x="9"/>
        <item x="3"/>
        <item x="11"/>
        <item x="14"/>
        <item x="24"/>
        <item x="4"/>
        <item x="20"/>
        <item x="25"/>
        <item x="1"/>
        <item x="16"/>
        <item x="12"/>
        <item x="17"/>
        <item x="2"/>
        <item x="18"/>
        <item x="23"/>
        <item x="5"/>
        <item x="8"/>
        <item x="22"/>
        <item x="26"/>
        <item x="15"/>
        <item x="27"/>
        <item t="default"/>
      </items>
    </pivotField>
    <pivotField axis="axisRow" showAll="0">
      <items count="18">
        <item x="12"/>
        <item x="0"/>
        <item x="3"/>
        <item x="6"/>
        <item x="13"/>
        <item x="8"/>
        <item x="1"/>
        <item x="10"/>
        <item x="4"/>
        <item x="9"/>
        <item x="5"/>
        <item x="15"/>
        <item x="14"/>
        <item x="11"/>
        <item x="7"/>
        <item x="2"/>
        <item x="16"/>
        <item t="default"/>
      </items>
    </pivotField>
    <pivotField dataField="1" showAll="0"/>
    <pivotField dataField="1"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>
      <items count="8">
        <item x="1"/>
        <item x="3"/>
        <item x="2"/>
        <item x="4"/>
        <item x="5"/>
        <item x="6"/>
        <item x="0"/>
        <item t="default"/>
      </items>
    </pivotField>
    <pivotField showAll="0"/>
    <pivotField showAll="0">
      <items count="121">
        <item x="30"/>
        <item x="85"/>
        <item x="76"/>
        <item x="1"/>
        <item x="68"/>
        <item x="104"/>
        <item x="43"/>
        <item x="28"/>
        <item x="61"/>
        <item x="106"/>
        <item x="70"/>
        <item x="108"/>
        <item x="99"/>
        <item x="100"/>
        <item x="119"/>
        <item x="102"/>
        <item x="79"/>
        <item x="81"/>
        <item x="78"/>
        <item x="65"/>
        <item x="101"/>
        <item x="93"/>
        <item x="20"/>
        <item x="115"/>
        <item x="15"/>
        <item x="31"/>
        <item x="34"/>
        <item x="66"/>
        <item x="3"/>
        <item x="23"/>
        <item x="87"/>
        <item x="69"/>
        <item x="45"/>
        <item x="75"/>
        <item x="18"/>
        <item x="74"/>
        <item x="105"/>
        <item x="62"/>
        <item x="48"/>
        <item x="29"/>
        <item x="94"/>
        <item x="2"/>
        <item x="95"/>
        <item x="8"/>
        <item x="40"/>
        <item x="6"/>
        <item x="57"/>
        <item x="55"/>
        <item x="4"/>
        <item x="90"/>
        <item x="97"/>
        <item x="36"/>
        <item x="33"/>
        <item x="103"/>
        <item x="14"/>
        <item x="77"/>
        <item x="64"/>
        <item x="41"/>
        <item x="27"/>
        <item x="82"/>
        <item x="13"/>
        <item x="11"/>
        <item x="110"/>
        <item x="47"/>
        <item x="51"/>
        <item x="60"/>
        <item x="42"/>
        <item x="49"/>
        <item x="56"/>
        <item x="112"/>
        <item x="53"/>
        <item x="21"/>
        <item x="46"/>
        <item x="86"/>
        <item x="113"/>
        <item x="89"/>
        <item x="72"/>
        <item x="71"/>
        <item x="114"/>
        <item x="80"/>
        <item x="91"/>
        <item x="98"/>
        <item x="16"/>
        <item x="59"/>
        <item x="63"/>
        <item x="32"/>
        <item x="50"/>
        <item x="44"/>
        <item x="24"/>
        <item x="84"/>
        <item x="96"/>
        <item x="117"/>
        <item x="37"/>
        <item x="111"/>
        <item x="58"/>
        <item x="10"/>
        <item x="107"/>
        <item x="22"/>
        <item x="17"/>
        <item x="88"/>
        <item x="26"/>
        <item x="83"/>
        <item x="38"/>
        <item x="35"/>
        <item x="9"/>
        <item x="5"/>
        <item x="19"/>
        <item x="12"/>
        <item x="39"/>
        <item x="109"/>
        <item x="67"/>
        <item x="7"/>
        <item x="25"/>
        <item x="118"/>
        <item x="52"/>
        <item x="116"/>
        <item x="54"/>
        <item x="73"/>
        <item x="92"/>
        <item x="0"/>
        <item t="default"/>
      </items>
    </pivotField>
    <pivotField showAll="0"/>
  </pivotFields>
  <rowFields count="2">
    <field x="6"/>
    <field x="10"/>
  </rowFields>
  <rowItems count="38">
    <i>
      <x/>
    </i>
    <i r="1">
      <x v="3"/>
    </i>
    <i>
      <x v="1"/>
    </i>
    <i r="1">
      <x v="3"/>
    </i>
    <i>
      <x v="2"/>
    </i>
    <i r="1">
      <x v="3"/>
    </i>
    <i>
      <x v="3"/>
    </i>
    <i r="1">
      <x v="3"/>
    </i>
    <i>
      <x v="4"/>
    </i>
    <i r="1">
      <x v="3"/>
    </i>
    <i>
      <x v="5"/>
    </i>
    <i r="1">
      <x v="3"/>
    </i>
    <i>
      <x v="6"/>
    </i>
    <i r="1">
      <x v="3"/>
    </i>
    <i>
      <x v="7"/>
    </i>
    <i r="1">
      <x v="3"/>
    </i>
    <i>
      <x v="8"/>
    </i>
    <i r="1">
      <x v="3"/>
    </i>
    <i>
      <x v="9"/>
    </i>
    <i r="1">
      <x v="3"/>
    </i>
    <i>
      <x v="10"/>
    </i>
    <i r="1">
      <x v="3"/>
    </i>
    <i>
      <x v="11"/>
    </i>
    <i r="1">
      <x/>
    </i>
    <i r="1">
      <x v="1"/>
    </i>
    <i r="1">
      <x v="2"/>
    </i>
    <i r="1">
      <x v="3"/>
    </i>
    <i>
      <x v="12"/>
    </i>
    <i r="1">
      <x v="3"/>
    </i>
    <i>
      <x v="13"/>
    </i>
    <i r="1">
      <x v="3"/>
    </i>
    <i>
      <x v="14"/>
    </i>
    <i r="1">
      <x v="3"/>
    </i>
    <i>
      <x v="15"/>
    </i>
    <i r="1">
      <x v="3"/>
    </i>
    <i>
      <x v="16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DEBE " fld="7" baseField="0" baseItem="0"/>
    <dataField name="Suma de HABER 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D3E2-A22D-6A45-95E8-E2D89F52B313}">
  <dimension ref="A1:O2717"/>
  <sheetViews>
    <sheetView zoomScale="112" workbookViewId="0">
      <pane ySplit="1" topLeftCell="A2" activePane="bottomLeft" state="frozen"/>
      <selection pane="bottomLeft" activeCell="E2" sqref="E2"/>
    </sheetView>
  </sheetViews>
  <sheetFormatPr baseColWidth="10" defaultRowHeight="15.75" x14ac:dyDescent="0.25"/>
  <cols>
    <col min="1" max="1" width="8.5" bestFit="1" customWidth="1"/>
    <col min="2" max="2" width="10.25" bestFit="1" customWidth="1"/>
    <col min="3" max="3" width="10.375" style="4" bestFit="1" customWidth="1"/>
    <col min="4" max="4" width="5" bestFit="1" customWidth="1"/>
    <col min="5" max="5" width="8.625" bestFit="1" customWidth="1"/>
    <col min="6" max="6" width="27.5" bestFit="1" customWidth="1"/>
    <col min="7" max="7" width="35.125" bestFit="1" customWidth="1"/>
    <col min="9" max="9" width="10.875" bestFit="1" customWidth="1"/>
    <col min="10" max="10" width="11.5" bestFit="1" customWidth="1"/>
    <col min="11" max="11" width="15.125" bestFit="1" customWidth="1"/>
    <col min="12" max="12" width="9.5" bestFit="1" customWidth="1"/>
    <col min="13" max="13" width="9.375" bestFit="1" customWidth="1"/>
    <col min="14" max="14" width="11" bestFit="1" customWidth="1"/>
    <col min="15" max="15" width="27" customWidth="1"/>
  </cols>
  <sheetData>
    <row r="1" spans="1:15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B2" t="s">
        <v>15</v>
      </c>
      <c r="C2" s="4">
        <v>44927</v>
      </c>
      <c r="E2" t="s">
        <v>16</v>
      </c>
      <c r="F2" t="s">
        <v>17</v>
      </c>
      <c r="G2" t="s">
        <v>18</v>
      </c>
      <c r="H2" s="5"/>
      <c r="I2" s="5">
        <v>25246657</v>
      </c>
      <c r="J2" s="5">
        <f t="shared" ref="J2:J14" si="0">+H2-I2</f>
        <v>-25246657</v>
      </c>
    </row>
    <row r="3" spans="1:15" x14ac:dyDescent="0.25">
      <c r="B3" t="s">
        <v>15</v>
      </c>
      <c r="C3" s="4">
        <v>44927</v>
      </c>
      <c r="E3" t="s">
        <v>16</v>
      </c>
      <c r="F3" t="s">
        <v>19</v>
      </c>
      <c r="G3" t="s">
        <v>18</v>
      </c>
      <c r="H3" s="5">
        <v>28879</v>
      </c>
      <c r="I3" s="5"/>
      <c r="J3" s="5">
        <f t="shared" si="0"/>
        <v>28879</v>
      </c>
    </row>
    <row r="4" spans="1:15" x14ac:dyDescent="0.25">
      <c r="B4" t="s">
        <v>15</v>
      </c>
      <c r="C4" s="4">
        <v>44927</v>
      </c>
      <c r="E4" t="s">
        <v>16</v>
      </c>
      <c r="F4" t="s">
        <v>20</v>
      </c>
      <c r="G4" t="s">
        <v>18</v>
      </c>
      <c r="H4" s="5">
        <v>2452081</v>
      </c>
      <c r="I4" s="5"/>
      <c r="J4" s="5">
        <f t="shared" si="0"/>
        <v>2452081</v>
      </c>
    </row>
    <row r="5" spans="1:15" x14ac:dyDescent="0.25">
      <c r="B5" t="s">
        <v>15</v>
      </c>
      <c r="C5" s="4">
        <v>44927</v>
      </c>
      <c r="E5" t="s">
        <v>21</v>
      </c>
      <c r="F5" t="s">
        <v>22</v>
      </c>
      <c r="G5" t="s">
        <v>18</v>
      </c>
      <c r="H5" s="5"/>
      <c r="I5" s="5">
        <v>22988</v>
      </c>
      <c r="J5" s="5">
        <f t="shared" si="0"/>
        <v>-22988</v>
      </c>
    </row>
    <row r="6" spans="1:15" x14ac:dyDescent="0.25">
      <c r="B6" t="s">
        <v>15</v>
      </c>
      <c r="C6" s="4">
        <v>44927</v>
      </c>
      <c r="E6" t="s">
        <v>21</v>
      </c>
      <c r="F6" t="s">
        <v>23</v>
      </c>
      <c r="G6" t="s">
        <v>18</v>
      </c>
      <c r="H6" s="5"/>
      <c r="I6" s="5">
        <v>298265</v>
      </c>
      <c r="J6" s="5">
        <f t="shared" si="0"/>
        <v>-298265</v>
      </c>
    </row>
    <row r="7" spans="1:15" x14ac:dyDescent="0.25">
      <c r="B7" t="s">
        <v>15</v>
      </c>
      <c r="C7" s="4">
        <v>44927</v>
      </c>
      <c r="E7" t="s">
        <v>21</v>
      </c>
      <c r="F7" t="s">
        <v>24</v>
      </c>
      <c r="G7" t="s">
        <v>18</v>
      </c>
      <c r="H7" s="5">
        <v>23086950</v>
      </c>
      <c r="I7" s="5"/>
      <c r="J7" s="5">
        <f t="shared" si="0"/>
        <v>23086950</v>
      </c>
    </row>
    <row r="8" spans="1:15" x14ac:dyDescent="0.25">
      <c r="B8" t="s">
        <v>15</v>
      </c>
      <c r="C8" s="4">
        <v>44927</v>
      </c>
      <c r="E8" t="s">
        <v>16</v>
      </c>
      <c r="F8" t="s">
        <v>19</v>
      </c>
      <c r="G8" t="s">
        <v>25</v>
      </c>
      <c r="H8" s="5"/>
      <c r="I8" s="5">
        <v>28879</v>
      </c>
      <c r="J8" s="5">
        <f t="shared" si="0"/>
        <v>-28879</v>
      </c>
    </row>
    <row r="9" spans="1:15" x14ac:dyDescent="0.25">
      <c r="B9" t="s">
        <v>15</v>
      </c>
      <c r="C9" s="4">
        <v>44927</v>
      </c>
      <c r="E9" t="s">
        <v>21</v>
      </c>
      <c r="F9" t="s">
        <v>22</v>
      </c>
      <c r="G9" t="s">
        <v>25</v>
      </c>
      <c r="H9" s="5">
        <v>22988</v>
      </c>
      <c r="I9" s="5"/>
      <c r="J9" s="5">
        <f t="shared" si="0"/>
        <v>22988</v>
      </c>
    </row>
    <row r="10" spans="1:15" x14ac:dyDescent="0.25">
      <c r="B10" t="s">
        <v>15</v>
      </c>
      <c r="C10" s="4">
        <v>44927</v>
      </c>
      <c r="E10" t="s">
        <v>16</v>
      </c>
      <c r="F10" t="s">
        <v>17</v>
      </c>
      <c r="G10" t="s">
        <v>25</v>
      </c>
      <c r="H10" s="5">
        <v>5891</v>
      </c>
      <c r="I10" s="5"/>
      <c r="J10" s="5">
        <f t="shared" si="0"/>
        <v>5891</v>
      </c>
    </row>
    <row r="11" spans="1:15" x14ac:dyDescent="0.25">
      <c r="B11" t="s">
        <v>15</v>
      </c>
      <c r="C11" s="4">
        <v>44927</v>
      </c>
      <c r="E11" t="s">
        <v>16</v>
      </c>
      <c r="F11" t="s">
        <v>17</v>
      </c>
      <c r="G11" t="s">
        <v>26</v>
      </c>
      <c r="H11" s="5"/>
      <c r="I11" s="6">
        <v>23470857</v>
      </c>
      <c r="J11" s="5">
        <f t="shared" si="0"/>
        <v>-23470857</v>
      </c>
    </row>
    <row r="12" spans="1:15" x14ac:dyDescent="0.25">
      <c r="B12" t="s">
        <v>15</v>
      </c>
      <c r="C12" s="4">
        <v>44927</v>
      </c>
      <c r="E12" t="s">
        <v>21</v>
      </c>
      <c r="F12" t="s">
        <v>24</v>
      </c>
      <c r="G12" t="s">
        <v>26</v>
      </c>
      <c r="H12" s="6">
        <v>23470857</v>
      </c>
      <c r="I12" s="5"/>
      <c r="J12" s="5">
        <f t="shared" si="0"/>
        <v>23470857</v>
      </c>
    </row>
    <row r="13" spans="1:15" x14ac:dyDescent="0.25">
      <c r="B13" t="s">
        <v>15</v>
      </c>
      <c r="C13" s="4">
        <v>44927</v>
      </c>
      <c r="E13" t="s">
        <v>16</v>
      </c>
      <c r="F13" t="s">
        <v>17</v>
      </c>
      <c r="G13" t="s">
        <v>27</v>
      </c>
      <c r="H13" s="5">
        <v>1000000</v>
      </c>
      <c r="I13" s="5"/>
      <c r="J13" s="5">
        <f t="shared" si="0"/>
        <v>1000000</v>
      </c>
    </row>
    <row r="14" spans="1:15" x14ac:dyDescent="0.25">
      <c r="B14" t="s">
        <v>15</v>
      </c>
      <c r="C14" s="4">
        <v>44927</v>
      </c>
      <c r="E14" t="s">
        <v>21</v>
      </c>
      <c r="F14" t="s">
        <v>28</v>
      </c>
      <c r="G14" t="s">
        <v>27</v>
      </c>
      <c r="H14" s="5"/>
      <c r="I14" s="5">
        <v>1000000</v>
      </c>
      <c r="J14" s="5">
        <f t="shared" si="0"/>
        <v>-1000000</v>
      </c>
    </row>
    <row r="15" spans="1:15" x14ac:dyDescent="0.25">
      <c r="B15" t="s">
        <v>15</v>
      </c>
      <c r="C15" s="4">
        <v>44592</v>
      </c>
      <c r="D15">
        <f t="shared" ref="D15:D74" si="1">MONTH(C15)</f>
        <v>1</v>
      </c>
      <c r="E15" t="s">
        <v>29</v>
      </c>
      <c r="F15" t="s">
        <v>30</v>
      </c>
      <c r="G15" t="s">
        <v>31</v>
      </c>
      <c r="H15" s="5">
        <v>50000</v>
      </c>
      <c r="I15" s="5">
        <v>0</v>
      </c>
      <c r="J15" s="5">
        <f>+H15-I15</f>
        <v>50000</v>
      </c>
      <c r="M15">
        <v>90</v>
      </c>
      <c r="N15" t="s">
        <v>32</v>
      </c>
      <c r="O15" t="s">
        <v>33</v>
      </c>
    </row>
    <row r="16" spans="1:15" x14ac:dyDescent="0.25">
      <c r="B16" t="s">
        <v>15</v>
      </c>
      <c r="C16" s="4">
        <f>+C15</f>
        <v>44592</v>
      </c>
      <c r="D16">
        <f t="shared" si="1"/>
        <v>1</v>
      </c>
      <c r="E16" t="s">
        <v>21</v>
      </c>
      <c r="F16" t="s">
        <v>34</v>
      </c>
      <c r="G16" t="s">
        <v>31</v>
      </c>
      <c r="H16" s="5">
        <v>0</v>
      </c>
      <c r="I16" s="5">
        <v>6125</v>
      </c>
      <c r="J16" s="5">
        <f t="shared" ref="J16:J19" si="2">+H16-I16</f>
        <v>-6125</v>
      </c>
      <c r="M16">
        <f>+M15</f>
        <v>90</v>
      </c>
      <c r="N16" t="str">
        <f>+N15</f>
        <v>15635361-2</v>
      </c>
      <c r="O16" t="str">
        <f>+O15</f>
        <v xml:space="preserve">Jorge Godoy </v>
      </c>
    </row>
    <row r="17" spans="2:15" x14ac:dyDescent="0.25">
      <c r="B17" t="s">
        <v>15</v>
      </c>
      <c r="C17" s="4">
        <f>+C16</f>
        <v>44592</v>
      </c>
      <c r="D17">
        <f t="shared" si="1"/>
        <v>1</v>
      </c>
      <c r="E17" t="s">
        <v>21</v>
      </c>
      <c r="F17" t="s">
        <v>35</v>
      </c>
      <c r="G17" t="s">
        <v>31</v>
      </c>
      <c r="H17" s="5">
        <v>0</v>
      </c>
      <c r="I17" s="5">
        <v>43875</v>
      </c>
      <c r="J17" s="5">
        <f t="shared" si="2"/>
        <v>-43875</v>
      </c>
      <c r="M17">
        <f t="shared" ref="M17:O19" si="3">+M16</f>
        <v>90</v>
      </c>
      <c r="N17" t="str">
        <f t="shared" si="3"/>
        <v>15635361-2</v>
      </c>
      <c r="O17" t="str">
        <f t="shared" si="3"/>
        <v xml:space="preserve">Jorge Godoy </v>
      </c>
    </row>
    <row r="18" spans="2:15" x14ac:dyDescent="0.25">
      <c r="B18" t="s">
        <v>36</v>
      </c>
      <c r="C18" s="4">
        <f t="shared" ref="C18:C19" si="4">+C17</f>
        <v>44592</v>
      </c>
      <c r="D18">
        <f t="shared" si="1"/>
        <v>1</v>
      </c>
      <c r="E18" t="s">
        <v>21</v>
      </c>
      <c r="F18" t="s">
        <v>35</v>
      </c>
      <c r="G18" t="s">
        <v>37</v>
      </c>
      <c r="H18" s="7">
        <v>43875</v>
      </c>
      <c r="I18" s="5">
        <v>0</v>
      </c>
      <c r="J18" s="5">
        <f t="shared" si="2"/>
        <v>43875</v>
      </c>
      <c r="M18">
        <f t="shared" si="3"/>
        <v>90</v>
      </c>
      <c r="N18" t="str">
        <f t="shared" si="3"/>
        <v>15635361-2</v>
      </c>
      <c r="O18" t="str">
        <f t="shared" si="3"/>
        <v xml:space="preserve">Jorge Godoy </v>
      </c>
    </row>
    <row r="19" spans="2:15" x14ac:dyDescent="0.25">
      <c r="B19" t="s">
        <v>36</v>
      </c>
      <c r="C19" s="4">
        <f t="shared" si="4"/>
        <v>44592</v>
      </c>
      <c r="D19">
        <f t="shared" si="1"/>
        <v>1</v>
      </c>
      <c r="E19" t="s">
        <v>16</v>
      </c>
      <c r="F19" t="s">
        <v>17</v>
      </c>
      <c r="G19" t="s">
        <v>37</v>
      </c>
      <c r="H19" s="7">
        <v>0</v>
      </c>
      <c r="I19" s="7">
        <v>43875</v>
      </c>
      <c r="J19" s="5">
        <f t="shared" si="2"/>
        <v>-43875</v>
      </c>
      <c r="M19">
        <f t="shared" si="3"/>
        <v>90</v>
      </c>
      <c r="N19" t="str">
        <f t="shared" si="3"/>
        <v>15635361-2</v>
      </c>
      <c r="O19" t="str">
        <f t="shared" si="3"/>
        <v xml:space="preserve">Jorge Godoy </v>
      </c>
    </row>
    <row r="20" spans="2:15" x14ac:dyDescent="0.25">
      <c r="B20" t="s">
        <v>15</v>
      </c>
      <c r="C20" s="4">
        <v>44620</v>
      </c>
      <c r="D20">
        <f t="shared" si="1"/>
        <v>2</v>
      </c>
      <c r="E20" t="s">
        <v>29</v>
      </c>
      <c r="F20" t="s">
        <v>30</v>
      </c>
      <c r="G20" t="s">
        <v>31</v>
      </c>
      <c r="H20" s="5">
        <v>55000</v>
      </c>
      <c r="I20" s="5">
        <v>0</v>
      </c>
      <c r="J20" s="5">
        <f>+H20-I20</f>
        <v>55000</v>
      </c>
      <c r="M20">
        <v>91</v>
      </c>
      <c r="N20" t="s">
        <v>32</v>
      </c>
      <c r="O20" t="s">
        <v>33</v>
      </c>
    </row>
    <row r="21" spans="2:15" x14ac:dyDescent="0.25">
      <c r="B21" t="s">
        <v>15</v>
      </c>
      <c r="C21" s="4">
        <f>+C20</f>
        <v>44620</v>
      </c>
      <c r="D21">
        <f t="shared" si="1"/>
        <v>2</v>
      </c>
      <c r="E21" t="s">
        <v>21</v>
      </c>
      <c r="F21" t="s">
        <v>34</v>
      </c>
      <c r="G21" t="s">
        <v>31</v>
      </c>
      <c r="H21" s="5">
        <v>0</v>
      </c>
      <c r="I21" s="5">
        <v>6738</v>
      </c>
      <c r="J21" s="5">
        <f t="shared" ref="J21:J24" si="5">+H21-I21</f>
        <v>-6738</v>
      </c>
      <c r="M21">
        <f>+M20</f>
        <v>91</v>
      </c>
      <c r="N21" t="str">
        <f>+N20</f>
        <v>15635361-2</v>
      </c>
      <c r="O21" t="str">
        <f>+O20</f>
        <v xml:space="preserve">Jorge Godoy </v>
      </c>
    </row>
    <row r="22" spans="2:15" x14ac:dyDescent="0.25">
      <c r="B22" t="s">
        <v>15</v>
      </c>
      <c r="C22" s="4">
        <f>+C21</f>
        <v>44620</v>
      </c>
      <c r="D22">
        <f t="shared" si="1"/>
        <v>2</v>
      </c>
      <c r="E22" t="s">
        <v>21</v>
      </c>
      <c r="F22" t="s">
        <v>35</v>
      </c>
      <c r="G22" t="s">
        <v>31</v>
      </c>
      <c r="H22" s="5">
        <v>0</v>
      </c>
      <c r="I22" s="5">
        <v>48262</v>
      </c>
      <c r="J22" s="5">
        <f t="shared" si="5"/>
        <v>-48262</v>
      </c>
      <c r="M22">
        <f t="shared" ref="M22:O24" si="6">+M21</f>
        <v>91</v>
      </c>
      <c r="N22" t="str">
        <f t="shared" si="6"/>
        <v>15635361-2</v>
      </c>
      <c r="O22" t="str">
        <f t="shared" si="6"/>
        <v xml:space="preserve">Jorge Godoy </v>
      </c>
    </row>
    <row r="23" spans="2:15" x14ac:dyDescent="0.25">
      <c r="B23" t="s">
        <v>36</v>
      </c>
      <c r="C23" s="4">
        <f t="shared" ref="C23:C24" si="7">+C22</f>
        <v>44620</v>
      </c>
      <c r="D23">
        <f t="shared" si="1"/>
        <v>2</v>
      </c>
      <c r="E23" t="s">
        <v>21</v>
      </c>
      <c r="F23" t="s">
        <v>35</v>
      </c>
      <c r="G23" t="s">
        <v>37</v>
      </c>
      <c r="H23" s="7">
        <v>48262</v>
      </c>
      <c r="I23" s="5">
        <v>0</v>
      </c>
      <c r="J23" s="5">
        <f t="shared" si="5"/>
        <v>48262</v>
      </c>
      <c r="M23">
        <f t="shared" si="6"/>
        <v>91</v>
      </c>
      <c r="N23" t="str">
        <f t="shared" si="6"/>
        <v>15635361-2</v>
      </c>
      <c r="O23" t="str">
        <f t="shared" si="6"/>
        <v xml:space="preserve">Jorge Godoy </v>
      </c>
    </row>
    <row r="24" spans="2:15" x14ac:dyDescent="0.25">
      <c r="B24" t="s">
        <v>36</v>
      </c>
      <c r="C24" s="4">
        <f t="shared" si="7"/>
        <v>44620</v>
      </c>
      <c r="D24">
        <f t="shared" si="1"/>
        <v>2</v>
      </c>
      <c r="E24" t="s">
        <v>16</v>
      </c>
      <c r="F24" t="s">
        <v>17</v>
      </c>
      <c r="G24" t="s">
        <v>37</v>
      </c>
      <c r="H24" s="7">
        <v>0</v>
      </c>
      <c r="I24" s="7">
        <v>48262</v>
      </c>
      <c r="J24" s="5">
        <f t="shared" si="5"/>
        <v>-48262</v>
      </c>
      <c r="M24">
        <f t="shared" si="6"/>
        <v>91</v>
      </c>
      <c r="N24" t="str">
        <f t="shared" si="6"/>
        <v>15635361-2</v>
      </c>
      <c r="O24" t="str">
        <f t="shared" si="6"/>
        <v xml:space="preserve">Jorge Godoy </v>
      </c>
    </row>
    <row r="25" spans="2:15" x14ac:dyDescent="0.25">
      <c r="B25" t="s">
        <v>15</v>
      </c>
      <c r="C25" s="4">
        <v>44650</v>
      </c>
      <c r="D25">
        <f t="shared" si="1"/>
        <v>3</v>
      </c>
      <c r="E25" t="s">
        <v>29</v>
      </c>
      <c r="F25" t="s">
        <v>30</v>
      </c>
      <c r="G25" t="s">
        <v>31</v>
      </c>
      <c r="H25" s="5">
        <v>55000</v>
      </c>
      <c r="I25" s="5">
        <v>0</v>
      </c>
      <c r="J25" s="5">
        <f>+H25-I25</f>
        <v>55000</v>
      </c>
      <c r="M25">
        <v>92</v>
      </c>
      <c r="N25" t="s">
        <v>32</v>
      </c>
      <c r="O25" t="s">
        <v>33</v>
      </c>
    </row>
    <row r="26" spans="2:15" x14ac:dyDescent="0.25">
      <c r="B26" t="s">
        <v>15</v>
      </c>
      <c r="C26" s="4">
        <f>+C25</f>
        <v>44650</v>
      </c>
      <c r="D26">
        <f t="shared" si="1"/>
        <v>3</v>
      </c>
      <c r="E26" t="s">
        <v>21</v>
      </c>
      <c r="F26" t="s">
        <v>34</v>
      </c>
      <c r="G26" t="s">
        <v>31</v>
      </c>
      <c r="H26" s="5">
        <v>0</v>
      </c>
      <c r="I26" s="5">
        <v>6738</v>
      </c>
      <c r="J26" s="5">
        <f t="shared" ref="J26:J29" si="8">+H26-I26</f>
        <v>-6738</v>
      </c>
      <c r="M26">
        <f>+M25</f>
        <v>92</v>
      </c>
      <c r="N26" t="str">
        <f>+N25</f>
        <v>15635361-2</v>
      </c>
      <c r="O26" t="str">
        <f>+O25</f>
        <v xml:space="preserve">Jorge Godoy </v>
      </c>
    </row>
    <row r="27" spans="2:15" x14ac:dyDescent="0.25">
      <c r="B27" t="s">
        <v>15</v>
      </c>
      <c r="C27" s="4">
        <f>+C26</f>
        <v>44650</v>
      </c>
      <c r="D27">
        <f t="shared" si="1"/>
        <v>3</v>
      </c>
      <c r="E27" t="s">
        <v>21</v>
      </c>
      <c r="F27" t="s">
        <v>35</v>
      </c>
      <c r="G27" t="s">
        <v>31</v>
      </c>
      <c r="H27" s="5">
        <v>0</v>
      </c>
      <c r="I27" s="5">
        <v>48262</v>
      </c>
      <c r="J27" s="5">
        <f t="shared" si="8"/>
        <v>-48262</v>
      </c>
      <c r="M27">
        <f t="shared" ref="M27:O29" si="9">+M26</f>
        <v>92</v>
      </c>
      <c r="N27" t="str">
        <f t="shared" si="9"/>
        <v>15635361-2</v>
      </c>
      <c r="O27" t="str">
        <f t="shared" si="9"/>
        <v xml:space="preserve">Jorge Godoy </v>
      </c>
    </row>
    <row r="28" spans="2:15" x14ac:dyDescent="0.25">
      <c r="B28" t="s">
        <v>36</v>
      </c>
      <c r="C28" s="4">
        <f t="shared" ref="C28:C29" si="10">+C27</f>
        <v>44650</v>
      </c>
      <c r="D28">
        <f t="shared" si="1"/>
        <v>3</v>
      </c>
      <c r="E28" t="s">
        <v>21</v>
      </c>
      <c r="F28" t="s">
        <v>35</v>
      </c>
      <c r="G28" t="s">
        <v>37</v>
      </c>
      <c r="H28" s="7">
        <v>48262</v>
      </c>
      <c r="I28" s="5">
        <v>0</v>
      </c>
      <c r="J28" s="5">
        <f t="shared" si="8"/>
        <v>48262</v>
      </c>
      <c r="M28">
        <f t="shared" si="9"/>
        <v>92</v>
      </c>
      <c r="N28" t="str">
        <f t="shared" si="9"/>
        <v>15635361-2</v>
      </c>
      <c r="O28" t="str">
        <f t="shared" si="9"/>
        <v xml:space="preserve">Jorge Godoy </v>
      </c>
    </row>
    <row r="29" spans="2:15" x14ac:dyDescent="0.25">
      <c r="B29" t="s">
        <v>36</v>
      </c>
      <c r="C29" s="4">
        <f t="shared" si="10"/>
        <v>44650</v>
      </c>
      <c r="D29">
        <f t="shared" si="1"/>
        <v>3</v>
      </c>
      <c r="E29" t="s">
        <v>16</v>
      </c>
      <c r="F29" t="s">
        <v>17</v>
      </c>
      <c r="G29" t="s">
        <v>37</v>
      </c>
      <c r="H29" s="7">
        <v>0</v>
      </c>
      <c r="I29" s="7">
        <v>48262</v>
      </c>
      <c r="J29" s="5">
        <f t="shared" si="8"/>
        <v>-48262</v>
      </c>
      <c r="M29">
        <f t="shared" si="9"/>
        <v>92</v>
      </c>
      <c r="N29" t="str">
        <f t="shared" si="9"/>
        <v>15635361-2</v>
      </c>
      <c r="O29" t="str">
        <f t="shared" si="9"/>
        <v xml:space="preserve">Jorge Godoy </v>
      </c>
    </row>
    <row r="30" spans="2:15" x14ac:dyDescent="0.25">
      <c r="B30" t="s">
        <v>15</v>
      </c>
      <c r="C30" s="4">
        <v>44680</v>
      </c>
      <c r="D30">
        <f t="shared" si="1"/>
        <v>4</v>
      </c>
      <c r="E30" t="s">
        <v>29</v>
      </c>
      <c r="F30" t="s">
        <v>30</v>
      </c>
      <c r="G30" t="s">
        <v>31</v>
      </c>
      <c r="H30" s="5">
        <v>55000</v>
      </c>
      <c r="I30" s="5">
        <v>0</v>
      </c>
      <c r="J30" s="5">
        <f>+H30-I30</f>
        <v>55000</v>
      </c>
      <c r="M30">
        <v>93</v>
      </c>
      <c r="N30" t="s">
        <v>32</v>
      </c>
      <c r="O30" t="s">
        <v>33</v>
      </c>
    </row>
    <row r="31" spans="2:15" x14ac:dyDescent="0.25">
      <c r="B31" t="s">
        <v>15</v>
      </c>
      <c r="C31" s="4">
        <f>+C30</f>
        <v>44680</v>
      </c>
      <c r="D31">
        <f t="shared" si="1"/>
        <v>4</v>
      </c>
      <c r="E31" t="s">
        <v>21</v>
      </c>
      <c r="F31" t="s">
        <v>34</v>
      </c>
      <c r="G31" t="s">
        <v>31</v>
      </c>
      <c r="H31" s="5">
        <v>0</v>
      </c>
      <c r="I31" s="5">
        <v>6738</v>
      </c>
      <c r="J31" s="5">
        <f t="shared" ref="J31:J34" si="11">+H31-I31</f>
        <v>-6738</v>
      </c>
      <c r="M31">
        <f>+M30</f>
        <v>93</v>
      </c>
      <c r="N31" t="str">
        <f>+N30</f>
        <v>15635361-2</v>
      </c>
      <c r="O31" t="str">
        <f>+O30</f>
        <v xml:space="preserve">Jorge Godoy </v>
      </c>
    </row>
    <row r="32" spans="2:15" x14ac:dyDescent="0.25">
      <c r="B32" t="s">
        <v>15</v>
      </c>
      <c r="C32" s="4">
        <f>+C31</f>
        <v>44680</v>
      </c>
      <c r="D32">
        <f t="shared" si="1"/>
        <v>4</v>
      </c>
      <c r="E32" t="s">
        <v>21</v>
      </c>
      <c r="F32" t="s">
        <v>35</v>
      </c>
      <c r="G32" t="s">
        <v>31</v>
      </c>
      <c r="H32" s="5">
        <v>0</v>
      </c>
      <c r="I32" s="5">
        <v>48262</v>
      </c>
      <c r="J32" s="5">
        <f t="shared" si="11"/>
        <v>-48262</v>
      </c>
      <c r="M32">
        <f t="shared" ref="M32:O34" si="12">+M31</f>
        <v>93</v>
      </c>
      <c r="N32" t="str">
        <f t="shared" si="12"/>
        <v>15635361-2</v>
      </c>
      <c r="O32" t="str">
        <f t="shared" si="12"/>
        <v xml:space="preserve">Jorge Godoy </v>
      </c>
    </row>
    <row r="33" spans="2:15" x14ac:dyDescent="0.25">
      <c r="B33" t="s">
        <v>36</v>
      </c>
      <c r="C33" s="4">
        <f t="shared" ref="C33:C34" si="13">+C32</f>
        <v>44680</v>
      </c>
      <c r="D33">
        <f t="shared" si="1"/>
        <v>4</v>
      </c>
      <c r="E33" t="s">
        <v>21</v>
      </c>
      <c r="F33" t="s">
        <v>35</v>
      </c>
      <c r="G33" t="s">
        <v>37</v>
      </c>
      <c r="H33" s="7">
        <v>48262</v>
      </c>
      <c r="I33" s="5">
        <v>0</v>
      </c>
      <c r="J33" s="5">
        <f t="shared" si="11"/>
        <v>48262</v>
      </c>
      <c r="M33">
        <f t="shared" si="12"/>
        <v>93</v>
      </c>
      <c r="N33" t="str">
        <f t="shared" si="12"/>
        <v>15635361-2</v>
      </c>
      <c r="O33" t="str">
        <f t="shared" si="12"/>
        <v xml:space="preserve">Jorge Godoy </v>
      </c>
    </row>
    <row r="34" spans="2:15" x14ac:dyDescent="0.25">
      <c r="B34" t="s">
        <v>36</v>
      </c>
      <c r="C34" s="4">
        <f t="shared" si="13"/>
        <v>44680</v>
      </c>
      <c r="D34">
        <f t="shared" si="1"/>
        <v>4</v>
      </c>
      <c r="E34" t="s">
        <v>16</v>
      </c>
      <c r="F34" t="s">
        <v>17</v>
      </c>
      <c r="G34" t="s">
        <v>37</v>
      </c>
      <c r="H34" s="7">
        <v>0</v>
      </c>
      <c r="I34" s="7">
        <v>48262</v>
      </c>
      <c r="J34" s="5">
        <f t="shared" si="11"/>
        <v>-48262</v>
      </c>
      <c r="M34">
        <f t="shared" si="12"/>
        <v>93</v>
      </c>
      <c r="N34" t="str">
        <f t="shared" si="12"/>
        <v>15635361-2</v>
      </c>
      <c r="O34" t="str">
        <f t="shared" si="12"/>
        <v xml:space="preserve">Jorge Godoy </v>
      </c>
    </row>
    <row r="35" spans="2:15" x14ac:dyDescent="0.25">
      <c r="B35" t="s">
        <v>15</v>
      </c>
      <c r="C35" s="4">
        <v>44712</v>
      </c>
      <c r="D35">
        <f t="shared" si="1"/>
        <v>5</v>
      </c>
      <c r="E35" t="s">
        <v>29</v>
      </c>
      <c r="F35" t="s">
        <v>30</v>
      </c>
      <c r="G35" t="s">
        <v>31</v>
      </c>
      <c r="H35" s="5">
        <v>55000</v>
      </c>
      <c r="I35" s="5">
        <v>0</v>
      </c>
      <c r="J35" s="5">
        <f>+H35-I35</f>
        <v>55000</v>
      </c>
      <c r="M35">
        <v>94</v>
      </c>
      <c r="N35" t="s">
        <v>32</v>
      </c>
      <c r="O35" t="s">
        <v>33</v>
      </c>
    </row>
    <row r="36" spans="2:15" x14ac:dyDescent="0.25">
      <c r="B36" t="s">
        <v>15</v>
      </c>
      <c r="C36" s="4">
        <f>+C35</f>
        <v>44712</v>
      </c>
      <c r="D36">
        <f t="shared" si="1"/>
        <v>5</v>
      </c>
      <c r="E36" t="s">
        <v>21</v>
      </c>
      <c r="F36" t="s">
        <v>34</v>
      </c>
      <c r="G36" t="s">
        <v>31</v>
      </c>
      <c r="H36" s="5">
        <v>0</v>
      </c>
      <c r="I36" s="5">
        <v>6738</v>
      </c>
      <c r="J36" s="5">
        <f t="shared" ref="J36:J39" si="14">+H36-I36</f>
        <v>-6738</v>
      </c>
      <c r="M36">
        <f>+M35</f>
        <v>94</v>
      </c>
      <c r="N36" t="str">
        <f>+N35</f>
        <v>15635361-2</v>
      </c>
      <c r="O36" t="str">
        <f>+O35</f>
        <v xml:space="preserve">Jorge Godoy </v>
      </c>
    </row>
    <row r="37" spans="2:15" x14ac:dyDescent="0.25">
      <c r="B37" t="s">
        <v>15</v>
      </c>
      <c r="C37" s="4">
        <f>+C36</f>
        <v>44712</v>
      </c>
      <c r="D37">
        <f t="shared" si="1"/>
        <v>5</v>
      </c>
      <c r="E37" t="s">
        <v>21</v>
      </c>
      <c r="F37" t="s">
        <v>35</v>
      </c>
      <c r="G37" t="s">
        <v>31</v>
      </c>
      <c r="H37" s="5">
        <v>0</v>
      </c>
      <c r="I37" s="5">
        <v>48262</v>
      </c>
      <c r="J37" s="5">
        <f t="shared" si="14"/>
        <v>-48262</v>
      </c>
      <c r="M37">
        <f t="shared" ref="M37:O39" si="15">+M36</f>
        <v>94</v>
      </c>
      <c r="N37" t="str">
        <f t="shared" si="15"/>
        <v>15635361-2</v>
      </c>
      <c r="O37" t="str">
        <f t="shared" si="15"/>
        <v xml:space="preserve">Jorge Godoy </v>
      </c>
    </row>
    <row r="38" spans="2:15" x14ac:dyDescent="0.25">
      <c r="B38" t="s">
        <v>36</v>
      </c>
      <c r="C38" s="4">
        <f t="shared" ref="C38:C39" si="16">+C37</f>
        <v>44712</v>
      </c>
      <c r="D38">
        <f t="shared" si="1"/>
        <v>5</v>
      </c>
      <c r="E38" t="s">
        <v>21</v>
      </c>
      <c r="F38" t="s">
        <v>35</v>
      </c>
      <c r="G38" t="s">
        <v>37</v>
      </c>
      <c r="H38" s="7">
        <v>48262</v>
      </c>
      <c r="I38" s="5">
        <v>0</v>
      </c>
      <c r="J38" s="5">
        <f t="shared" si="14"/>
        <v>48262</v>
      </c>
      <c r="M38">
        <f t="shared" si="15"/>
        <v>94</v>
      </c>
      <c r="N38" t="str">
        <f t="shared" si="15"/>
        <v>15635361-2</v>
      </c>
      <c r="O38" t="str">
        <f t="shared" si="15"/>
        <v xml:space="preserve">Jorge Godoy </v>
      </c>
    </row>
    <row r="39" spans="2:15" x14ac:dyDescent="0.25">
      <c r="B39" t="s">
        <v>36</v>
      </c>
      <c r="C39" s="4">
        <f t="shared" si="16"/>
        <v>44712</v>
      </c>
      <c r="D39">
        <f t="shared" si="1"/>
        <v>5</v>
      </c>
      <c r="E39" t="s">
        <v>16</v>
      </c>
      <c r="F39" t="s">
        <v>17</v>
      </c>
      <c r="G39" t="s">
        <v>37</v>
      </c>
      <c r="H39" s="7">
        <v>0</v>
      </c>
      <c r="I39" s="7">
        <v>48262</v>
      </c>
      <c r="J39" s="5">
        <f t="shared" si="14"/>
        <v>-48262</v>
      </c>
      <c r="M39">
        <f t="shared" si="15"/>
        <v>94</v>
      </c>
      <c r="N39" t="str">
        <f t="shared" si="15"/>
        <v>15635361-2</v>
      </c>
      <c r="O39" t="str">
        <f t="shared" si="15"/>
        <v xml:space="preserve">Jorge Godoy </v>
      </c>
    </row>
    <row r="40" spans="2:15" x14ac:dyDescent="0.25">
      <c r="B40" t="s">
        <v>15</v>
      </c>
      <c r="C40" s="4">
        <v>44742</v>
      </c>
      <c r="D40">
        <f t="shared" si="1"/>
        <v>6</v>
      </c>
      <c r="E40" t="s">
        <v>29</v>
      </c>
      <c r="F40" t="s">
        <v>30</v>
      </c>
      <c r="G40" t="s">
        <v>31</v>
      </c>
      <c r="H40" s="5">
        <v>55000</v>
      </c>
      <c r="I40" s="5">
        <v>0</v>
      </c>
      <c r="J40" s="5">
        <f>+H40-I40</f>
        <v>55000</v>
      </c>
      <c r="M40">
        <v>95</v>
      </c>
      <c r="N40" t="s">
        <v>32</v>
      </c>
      <c r="O40" t="s">
        <v>33</v>
      </c>
    </row>
    <row r="41" spans="2:15" x14ac:dyDescent="0.25">
      <c r="B41" t="s">
        <v>15</v>
      </c>
      <c r="C41" s="4">
        <f>+C40</f>
        <v>44742</v>
      </c>
      <c r="D41">
        <f t="shared" si="1"/>
        <v>6</v>
      </c>
      <c r="E41" t="s">
        <v>21</v>
      </c>
      <c r="F41" t="s">
        <v>34</v>
      </c>
      <c r="G41" t="s">
        <v>31</v>
      </c>
      <c r="H41" s="5">
        <v>0</v>
      </c>
      <c r="I41" s="5">
        <v>6738</v>
      </c>
      <c r="J41" s="5">
        <f t="shared" ref="J41:J44" si="17">+H41-I41</f>
        <v>-6738</v>
      </c>
      <c r="M41">
        <f>+M40</f>
        <v>95</v>
      </c>
      <c r="N41" t="str">
        <f>+N40</f>
        <v>15635361-2</v>
      </c>
      <c r="O41" t="str">
        <f>+O40</f>
        <v xml:space="preserve">Jorge Godoy </v>
      </c>
    </row>
    <row r="42" spans="2:15" x14ac:dyDescent="0.25">
      <c r="B42" t="s">
        <v>15</v>
      </c>
      <c r="C42" s="4">
        <f>+C41</f>
        <v>44742</v>
      </c>
      <c r="D42">
        <f t="shared" si="1"/>
        <v>6</v>
      </c>
      <c r="E42" t="s">
        <v>21</v>
      </c>
      <c r="F42" t="s">
        <v>35</v>
      </c>
      <c r="G42" t="s">
        <v>31</v>
      </c>
      <c r="H42" s="5">
        <v>0</v>
      </c>
      <c r="I42" s="5">
        <v>48262</v>
      </c>
      <c r="J42" s="5">
        <f t="shared" si="17"/>
        <v>-48262</v>
      </c>
      <c r="M42">
        <f t="shared" ref="M42:O44" si="18">+M41</f>
        <v>95</v>
      </c>
      <c r="N42" t="str">
        <f t="shared" si="18"/>
        <v>15635361-2</v>
      </c>
      <c r="O42" t="str">
        <f t="shared" si="18"/>
        <v xml:space="preserve">Jorge Godoy </v>
      </c>
    </row>
    <row r="43" spans="2:15" x14ac:dyDescent="0.25">
      <c r="B43" t="s">
        <v>36</v>
      </c>
      <c r="C43" s="4">
        <f t="shared" ref="C43:C44" si="19">+C42</f>
        <v>44742</v>
      </c>
      <c r="D43">
        <f t="shared" si="1"/>
        <v>6</v>
      </c>
      <c r="E43" t="s">
        <v>21</v>
      </c>
      <c r="F43" t="s">
        <v>35</v>
      </c>
      <c r="G43" t="s">
        <v>37</v>
      </c>
      <c r="H43" s="7">
        <v>48262</v>
      </c>
      <c r="I43" s="5">
        <v>0</v>
      </c>
      <c r="J43" s="5">
        <f t="shared" si="17"/>
        <v>48262</v>
      </c>
      <c r="M43">
        <f t="shared" si="18"/>
        <v>95</v>
      </c>
      <c r="N43" t="str">
        <f t="shared" si="18"/>
        <v>15635361-2</v>
      </c>
      <c r="O43" t="str">
        <f t="shared" si="18"/>
        <v xml:space="preserve">Jorge Godoy </v>
      </c>
    </row>
    <row r="44" spans="2:15" x14ac:dyDescent="0.25">
      <c r="B44" t="s">
        <v>36</v>
      </c>
      <c r="C44" s="4">
        <f t="shared" si="19"/>
        <v>44742</v>
      </c>
      <c r="D44">
        <f t="shared" si="1"/>
        <v>6</v>
      </c>
      <c r="E44" t="s">
        <v>16</v>
      </c>
      <c r="F44" t="s">
        <v>17</v>
      </c>
      <c r="G44" t="s">
        <v>37</v>
      </c>
      <c r="H44" s="7">
        <v>0</v>
      </c>
      <c r="I44" s="7">
        <v>48262</v>
      </c>
      <c r="J44" s="5">
        <f t="shared" si="17"/>
        <v>-48262</v>
      </c>
      <c r="M44">
        <f t="shared" si="18"/>
        <v>95</v>
      </c>
      <c r="N44" t="str">
        <f t="shared" si="18"/>
        <v>15635361-2</v>
      </c>
      <c r="O44" t="str">
        <f t="shared" si="18"/>
        <v xml:space="preserve">Jorge Godoy </v>
      </c>
    </row>
    <row r="45" spans="2:15" x14ac:dyDescent="0.25">
      <c r="B45" t="s">
        <v>15</v>
      </c>
      <c r="C45" s="4">
        <v>44771</v>
      </c>
      <c r="D45">
        <f t="shared" si="1"/>
        <v>7</v>
      </c>
      <c r="E45" t="s">
        <v>29</v>
      </c>
      <c r="F45" t="s">
        <v>30</v>
      </c>
      <c r="G45" t="s">
        <v>31</v>
      </c>
      <c r="H45" s="5">
        <v>55000</v>
      </c>
      <c r="I45" s="5">
        <v>0</v>
      </c>
      <c r="J45" s="5">
        <f>+H45-I45</f>
        <v>55000</v>
      </c>
      <c r="M45">
        <v>96</v>
      </c>
      <c r="N45" t="s">
        <v>32</v>
      </c>
      <c r="O45" t="s">
        <v>33</v>
      </c>
    </row>
    <row r="46" spans="2:15" x14ac:dyDescent="0.25">
      <c r="B46" t="s">
        <v>15</v>
      </c>
      <c r="C46" s="4">
        <f>+C45</f>
        <v>44771</v>
      </c>
      <c r="D46">
        <f t="shared" si="1"/>
        <v>7</v>
      </c>
      <c r="E46" t="s">
        <v>21</v>
      </c>
      <c r="F46" t="s">
        <v>34</v>
      </c>
      <c r="G46" t="s">
        <v>31</v>
      </c>
      <c r="H46" s="5">
        <v>0</v>
      </c>
      <c r="I46" s="5">
        <v>6738</v>
      </c>
      <c r="J46" s="5">
        <f t="shared" ref="J46:J49" si="20">+H46-I46</f>
        <v>-6738</v>
      </c>
      <c r="M46">
        <f>+M45</f>
        <v>96</v>
      </c>
      <c r="N46" t="str">
        <f>+N45</f>
        <v>15635361-2</v>
      </c>
      <c r="O46" t="str">
        <f>+O45</f>
        <v xml:space="preserve">Jorge Godoy </v>
      </c>
    </row>
    <row r="47" spans="2:15" x14ac:dyDescent="0.25">
      <c r="B47" t="s">
        <v>15</v>
      </c>
      <c r="C47" s="4">
        <f>+C46</f>
        <v>44771</v>
      </c>
      <c r="D47">
        <f t="shared" si="1"/>
        <v>7</v>
      </c>
      <c r="E47" t="s">
        <v>21</v>
      </c>
      <c r="F47" t="s">
        <v>35</v>
      </c>
      <c r="G47" t="s">
        <v>31</v>
      </c>
      <c r="H47" s="5">
        <v>0</v>
      </c>
      <c r="I47" s="5">
        <v>48262</v>
      </c>
      <c r="J47" s="5">
        <f t="shared" si="20"/>
        <v>-48262</v>
      </c>
      <c r="M47">
        <f t="shared" ref="M47:O49" si="21">+M46</f>
        <v>96</v>
      </c>
      <c r="N47" t="str">
        <f t="shared" si="21"/>
        <v>15635361-2</v>
      </c>
      <c r="O47" t="str">
        <f t="shared" si="21"/>
        <v xml:space="preserve">Jorge Godoy </v>
      </c>
    </row>
    <row r="48" spans="2:15" x14ac:dyDescent="0.25">
      <c r="B48" t="s">
        <v>36</v>
      </c>
      <c r="C48" s="4">
        <f t="shared" ref="C48:C49" si="22">+C47</f>
        <v>44771</v>
      </c>
      <c r="D48">
        <f t="shared" si="1"/>
        <v>7</v>
      </c>
      <c r="E48" t="s">
        <v>21</v>
      </c>
      <c r="F48" t="s">
        <v>35</v>
      </c>
      <c r="G48" t="s">
        <v>37</v>
      </c>
      <c r="H48" s="7">
        <v>48262</v>
      </c>
      <c r="I48" s="5">
        <v>0</v>
      </c>
      <c r="J48" s="5">
        <f t="shared" si="20"/>
        <v>48262</v>
      </c>
      <c r="M48">
        <f t="shared" si="21"/>
        <v>96</v>
      </c>
      <c r="N48" t="str">
        <f t="shared" si="21"/>
        <v>15635361-2</v>
      </c>
      <c r="O48" t="str">
        <f t="shared" si="21"/>
        <v xml:space="preserve">Jorge Godoy </v>
      </c>
    </row>
    <row r="49" spans="2:15" x14ac:dyDescent="0.25">
      <c r="B49" t="s">
        <v>36</v>
      </c>
      <c r="C49" s="4">
        <f t="shared" si="22"/>
        <v>44771</v>
      </c>
      <c r="D49">
        <f t="shared" si="1"/>
        <v>7</v>
      </c>
      <c r="E49" t="s">
        <v>16</v>
      </c>
      <c r="F49" t="s">
        <v>17</v>
      </c>
      <c r="G49" t="s">
        <v>37</v>
      </c>
      <c r="H49" s="7">
        <v>0</v>
      </c>
      <c r="I49" s="7">
        <v>48262</v>
      </c>
      <c r="J49" s="5">
        <f t="shared" si="20"/>
        <v>-48262</v>
      </c>
      <c r="M49">
        <f t="shared" si="21"/>
        <v>96</v>
      </c>
      <c r="N49" t="str">
        <f t="shared" si="21"/>
        <v>15635361-2</v>
      </c>
      <c r="O49" t="str">
        <f t="shared" si="21"/>
        <v xml:space="preserve">Jorge Godoy </v>
      </c>
    </row>
    <row r="50" spans="2:15" x14ac:dyDescent="0.25">
      <c r="B50" t="s">
        <v>15</v>
      </c>
      <c r="C50" s="4">
        <v>44804</v>
      </c>
      <c r="D50">
        <f t="shared" si="1"/>
        <v>8</v>
      </c>
      <c r="E50" t="s">
        <v>29</v>
      </c>
      <c r="F50" t="s">
        <v>30</v>
      </c>
      <c r="G50" t="s">
        <v>31</v>
      </c>
      <c r="H50" s="5">
        <v>55000</v>
      </c>
      <c r="I50" s="5">
        <v>0</v>
      </c>
      <c r="J50" s="5">
        <f>+H50-I50</f>
        <v>55000</v>
      </c>
      <c r="M50">
        <v>97</v>
      </c>
      <c r="N50" t="s">
        <v>32</v>
      </c>
      <c r="O50" t="s">
        <v>33</v>
      </c>
    </row>
    <row r="51" spans="2:15" x14ac:dyDescent="0.25">
      <c r="B51" t="s">
        <v>15</v>
      </c>
      <c r="C51" s="4">
        <f>+C50</f>
        <v>44804</v>
      </c>
      <c r="D51">
        <f t="shared" si="1"/>
        <v>8</v>
      </c>
      <c r="E51" t="s">
        <v>21</v>
      </c>
      <c r="F51" t="s">
        <v>34</v>
      </c>
      <c r="G51" t="s">
        <v>31</v>
      </c>
      <c r="H51" s="5">
        <v>0</v>
      </c>
      <c r="I51" s="5">
        <v>6738</v>
      </c>
      <c r="J51" s="5">
        <f t="shared" ref="J51:J54" si="23">+H51-I51</f>
        <v>-6738</v>
      </c>
      <c r="M51">
        <f>+M50</f>
        <v>97</v>
      </c>
      <c r="N51" t="str">
        <f>+N50</f>
        <v>15635361-2</v>
      </c>
      <c r="O51" t="str">
        <f>+O50</f>
        <v xml:space="preserve">Jorge Godoy </v>
      </c>
    </row>
    <row r="52" spans="2:15" x14ac:dyDescent="0.25">
      <c r="B52" t="s">
        <v>15</v>
      </c>
      <c r="C52" s="4">
        <f>+C51</f>
        <v>44804</v>
      </c>
      <c r="D52">
        <f t="shared" si="1"/>
        <v>8</v>
      </c>
      <c r="E52" t="s">
        <v>21</v>
      </c>
      <c r="F52" t="s">
        <v>35</v>
      </c>
      <c r="G52" t="s">
        <v>31</v>
      </c>
      <c r="H52" s="5">
        <v>0</v>
      </c>
      <c r="I52" s="5">
        <v>48262</v>
      </c>
      <c r="J52" s="5">
        <f t="shared" si="23"/>
        <v>-48262</v>
      </c>
      <c r="M52">
        <f t="shared" ref="M52:O54" si="24">+M51</f>
        <v>97</v>
      </c>
      <c r="N52" t="str">
        <f t="shared" si="24"/>
        <v>15635361-2</v>
      </c>
      <c r="O52" t="str">
        <f t="shared" si="24"/>
        <v xml:space="preserve">Jorge Godoy </v>
      </c>
    </row>
    <row r="53" spans="2:15" x14ac:dyDescent="0.25">
      <c r="B53" t="s">
        <v>36</v>
      </c>
      <c r="C53" s="4">
        <f t="shared" ref="C53:C54" si="25">+C52</f>
        <v>44804</v>
      </c>
      <c r="D53">
        <f t="shared" si="1"/>
        <v>8</v>
      </c>
      <c r="E53" t="s">
        <v>21</v>
      </c>
      <c r="F53" t="s">
        <v>35</v>
      </c>
      <c r="G53" t="s">
        <v>37</v>
      </c>
      <c r="H53" s="7">
        <v>48262</v>
      </c>
      <c r="I53" s="5">
        <v>0</v>
      </c>
      <c r="J53" s="5">
        <f t="shared" si="23"/>
        <v>48262</v>
      </c>
      <c r="M53">
        <f t="shared" si="24"/>
        <v>97</v>
      </c>
      <c r="N53" t="str">
        <f t="shared" si="24"/>
        <v>15635361-2</v>
      </c>
      <c r="O53" t="str">
        <f t="shared" si="24"/>
        <v xml:space="preserve">Jorge Godoy </v>
      </c>
    </row>
    <row r="54" spans="2:15" x14ac:dyDescent="0.25">
      <c r="B54" t="s">
        <v>36</v>
      </c>
      <c r="C54" s="4">
        <f t="shared" si="25"/>
        <v>44804</v>
      </c>
      <c r="D54">
        <f t="shared" si="1"/>
        <v>8</v>
      </c>
      <c r="E54" t="s">
        <v>16</v>
      </c>
      <c r="F54" t="s">
        <v>17</v>
      </c>
      <c r="G54" t="s">
        <v>37</v>
      </c>
      <c r="H54" s="7">
        <v>0</v>
      </c>
      <c r="I54" s="7">
        <v>48262</v>
      </c>
      <c r="J54" s="5">
        <f t="shared" si="23"/>
        <v>-48262</v>
      </c>
      <c r="M54">
        <f t="shared" si="24"/>
        <v>97</v>
      </c>
      <c r="N54" t="str">
        <f t="shared" si="24"/>
        <v>15635361-2</v>
      </c>
      <c r="O54" t="str">
        <f t="shared" si="24"/>
        <v xml:space="preserve">Jorge Godoy </v>
      </c>
    </row>
    <row r="55" spans="2:15" x14ac:dyDescent="0.25">
      <c r="B55" t="s">
        <v>15</v>
      </c>
      <c r="C55" s="4">
        <v>44834</v>
      </c>
      <c r="D55">
        <f t="shared" si="1"/>
        <v>9</v>
      </c>
      <c r="E55" t="s">
        <v>29</v>
      </c>
      <c r="F55" t="s">
        <v>30</v>
      </c>
      <c r="G55" t="s">
        <v>31</v>
      </c>
      <c r="H55" s="5">
        <v>55000</v>
      </c>
      <c r="I55" s="5">
        <v>0</v>
      </c>
      <c r="J55" s="5">
        <f>+H55-I55</f>
        <v>55000</v>
      </c>
      <c r="M55">
        <v>98</v>
      </c>
      <c r="N55" t="s">
        <v>32</v>
      </c>
      <c r="O55" t="s">
        <v>33</v>
      </c>
    </row>
    <row r="56" spans="2:15" x14ac:dyDescent="0.25">
      <c r="B56" t="s">
        <v>15</v>
      </c>
      <c r="C56" s="4">
        <f>+C55</f>
        <v>44834</v>
      </c>
      <c r="D56">
        <f t="shared" si="1"/>
        <v>9</v>
      </c>
      <c r="E56" t="s">
        <v>21</v>
      </c>
      <c r="F56" t="s">
        <v>34</v>
      </c>
      <c r="G56" t="s">
        <v>31</v>
      </c>
      <c r="H56" s="5">
        <v>0</v>
      </c>
      <c r="I56" s="5">
        <v>6738</v>
      </c>
      <c r="J56" s="5">
        <f t="shared" ref="J56:J59" si="26">+H56-I56</f>
        <v>-6738</v>
      </c>
      <c r="M56">
        <f>+M55</f>
        <v>98</v>
      </c>
      <c r="N56" t="str">
        <f>+N55</f>
        <v>15635361-2</v>
      </c>
      <c r="O56" t="str">
        <f>+O55</f>
        <v xml:space="preserve">Jorge Godoy </v>
      </c>
    </row>
    <row r="57" spans="2:15" x14ac:dyDescent="0.25">
      <c r="B57" t="s">
        <v>15</v>
      </c>
      <c r="C57" s="4">
        <f>+C56</f>
        <v>44834</v>
      </c>
      <c r="D57">
        <f t="shared" si="1"/>
        <v>9</v>
      </c>
      <c r="E57" t="s">
        <v>21</v>
      </c>
      <c r="F57" t="s">
        <v>35</v>
      </c>
      <c r="G57" t="s">
        <v>31</v>
      </c>
      <c r="H57" s="5">
        <v>0</v>
      </c>
      <c r="I57" s="5">
        <v>48262</v>
      </c>
      <c r="J57" s="5">
        <f t="shared" si="26"/>
        <v>-48262</v>
      </c>
      <c r="M57">
        <f t="shared" ref="M57:O59" si="27">+M56</f>
        <v>98</v>
      </c>
      <c r="N57" t="str">
        <f t="shared" si="27"/>
        <v>15635361-2</v>
      </c>
      <c r="O57" t="str">
        <f t="shared" si="27"/>
        <v xml:space="preserve">Jorge Godoy </v>
      </c>
    </row>
    <row r="58" spans="2:15" x14ac:dyDescent="0.25">
      <c r="B58" t="s">
        <v>36</v>
      </c>
      <c r="C58" s="4">
        <f t="shared" ref="C58:C59" si="28">+C57</f>
        <v>44834</v>
      </c>
      <c r="D58">
        <f t="shared" si="1"/>
        <v>9</v>
      </c>
      <c r="E58" t="s">
        <v>21</v>
      </c>
      <c r="F58" t="s">
        <v>35</v>
      </c>
      <c r="G58" t="s">
        <v>37</v>
      </c>
      <c r="H58" s="7">
        <v>48262</v>
      </c>
      <c r="I58" s="5">
        <v>0</v>
      </c>
      <c r="J58" s="5">
        <f t="shared" si="26"/>
        <v>48262</v>
      </c>
      <c r="M58">
        <f t="shared" si="27"/>
        <v>98</v>
      </c>
      <c r="N58" t="str">
        <f t="shared" si="27"/>
        <v>15635361-2</v>
      </c>
      <c r="O58" t="str">
        <f t="shared" si="27"/>
        <v xml:space="preserve">Jorge Godoy </v>
      </c>
    </row>
    <row r="59" spans="2:15" x14ac:dyDescent="0.25">
      <c r="B59" t="s">
        <v>36</v>
      </c>
      <c r="C59" s="4">
        <f t="shared" si="28"/>
        <v>44834</v>
      </c>
      <c r="D59">
        <f t="shared" si="1"/>
        <v>9</v>
      </c>
      <c r="E59" t="s">
        <v>16</v>
      </c>
      <c r="F59" t="s">
        <v>17</v>
      </c>
      <c r="G59" t="s">
        <v>37</v>
      </c>
      <c r="H59" s="7">
        <v>0</v>
      </c>
      <c r="I59" s="7">
        <v>48262</v>
      </c>
      <c r="J59" s="5">
        <f t="shared" si="26"/>
        <v>-48262</v>
      </c>
      <c r="M59">
        <f t="shared" si="27"/>
        <v>98</v>
      </c>
      <c r="N59" t="str">
        <f t="shared" si="27"/>
        <v>15635361-2</v>
      </c>
      <c r="O59" t="str">
        <f t="shared" si="27"/>
        <v xml:space="preserve">Jorge Godoy </v>
      </c>
    </row>
    <row r="60" spans="2:15" x14ac:dyDescent="0.25">
      <c r="B60" t="s">
        <v>15</v>
      </c>
      <c r="C60" s="4">
        <v>44862</v>
      </c>
      <c r="D60">
        <f t="shared" si="1"/>
        <v>10</v>
      </c>
      <c r="E60" t="s">
        <v>29</v>
      </c>
      <c r="F60" t="s">
        <v>30</v>
      </c>
      <c r="G60" t="s">
        <v>31</v>
      </c>
      <c r="H60" s="5">
        <v>55000</v>
      </c>
      <c r="I60" s="5">
        <v>0</v>
      </c>
      <c r="J60" s="5">
        <f>+H60-I60</f>
        <v>55000</v>
      </c>
      <c r="M60">
        <v>99</v>
      </c>
      <c r="N60" t="s">
        <v>32</v>
      </c>
      <c r="O60" t="s">
        <v>33</v>
      </c>
    </row>
    <row r="61" spans="2:15" x14ac:dyDescent="0.25">
      <c r="B61" t="s">
        <v>15</v>
      </c>
      <c r="C61" s="4">
        <f>+C60</f>
        <v>44862</v>
      </c>
      <c r="D61">
        <f t="shared" si="1"/>
        <v>10</v>
      </c>
      <c r="E61" t="s">
        <v>21</v>
      </c>
      <c r="F61" t="s">
        <v>34</v>
      </c>
      <c r="G61" t="s">
        <v>31</v>
      </c>
      <c r="H61" s="5">
        <v>0</v>
      </c>
      <c r="I61" s="5">
        <v>6738</v>
      </c>
      <c r="J61" s="5">
        <f t="shared" ref="J61:J64" si="29">+H61-I61</f>
        <v>-6738</v>
      </c>
      <c r="M61">
        <f>+M60</f>
        <v>99</v>
      </c>
      <c r="N61" t="str">
        <f>+N60</f>
        <v>15635361-2</v>
      </c>
      <c r="O61" t="str">
        <f>+O60</f>
        <v xml:space="preserve">Jorge Godoy </v>
      </c>
    </row>
    <row r="62" spans="2:15" x14ac:dyDescent="0.25">
      <c r="B62" t="s">
        <v>15</v>
      </c>
      <c r="C62" s="4">
        <f>+C61</f>
        <v>44862</v>
      </c>
      <c r="D62">
        <f t="shared" si="1"/>
        <v>10</v>
      </c>
      <c r="E62" t="s">
        <v>21</v>
      </c>
      <c r="F62" t="s">
        <v>35</v>
      </c>
      <c r="G62" t="s">
        <v>31</v>
      </c>
      <c r="H62" s="5">
        <v>0</v>
      </c>
      <c r="I62" s="5">
        <v>48262</v>
      </c>
      <c r="J62" s="5">
        <f t="shared" si="29"/>
        <v>-48262</v>
      </c>
      <c r="M62">
        <f t="shared" ref="M62:O64" si="30">+M61</f>
        <v>99</v>
      </c>
      <c r="N62" t="str">
        <f t="shared" si="30"/>
        <v>15635361-2</v>
      </c>
      <c r="O62" t="str">
        <f t="shared" si="30"/>
        <v xml:space="preserve">Jorge Godoy </v>
      </c>
    </row>
    <row r="63" spans="2:15" x14ac:dyDescent="0.25">
      <c r="B63" t="s">
        <v>36</v>
      </c>
      <c r="C63" s="4">
        <f t="shared" ref="C63:C64" si="31">+C62</f>
        <v>44862</v>
      </c>
      <c r="D63">
        <f t="shared" si="1"/>
        <v>10</v>
      </c>
      <c r="E63" t="s">
        <v>21</v>
      </c>
      <c r="F63" t="s">
        <v>35</v>
      </c>
      <c r="G63" t="s">
        <v>37</v>
      </c>
      <c r="H63" s="7">
        <v>48262</v>
      </c>
      <c r="I63" s="5">
        <v>0</v>
      </c>
      <c r="J63" s="5">
        <f t="shared" si="29"/>
        <v>48262</v>
      </c>
      <c r="M63">
        <f t="shared" si="30"/>
        <v>99</v>
      </c>
      <c r="N63" t="str">
        <f t="shared" si="30"/>
        <v>15635361-2</v>
      </c>
      <c r="O63" t="str">
        <f t="shared" si="30"/>
        <v xml:space="preserve">Jorge Godoy </v>
      </c>
    </row>
    <row r="64" spans="2:15" x14ac:dyDescent="0.25">
      <c r="B64" t="s">
        <v>36</v>
      </c>
      <c r="C64" s="4">
        <f t="shared" si="31"/>
        <v>44862</v>
      </c>
      <c r="D64">
        <f t="shared" si="1"/>
        <v>10</v>
      </c>
      <c r="E64" t="s">
        <v>16</v>
      </c>
      <c r="F64" t="s">
        <v>17</v>
      </c>
      <c r="G64" t="s">
        <v>37</v>
      </c>
      <c r="H64" s="7">
        <v>0</v>
      </c>
      <c r="I64" s="7">
        <v>48262</v>
      </c>
      <c r="J64" s="5">
        <f t="shared" si="29"/>
        <v>-48262</v>
      </c>
      <c r="M64">
        <f t="shared" si="30"/>
        <v>99</v>
      </c>
      <c r="N64" t="str">
        <f t="shared" si="30"/>
        <v>15635361-2</v>
      </c>
      <c r="O64" t="str">
        <f t="shared" si="30"/>
        <v xml:space="preserve">Jorge Godoy </v>
      </c>
    </row>
    <row r="65" spans="2:15" x14ac:dyDescent="0.25">
      <c r="B65" t="s">
        <v>15</v>
      </c>
      <c r="C65" s="4">
        <v>44895</v>
      </c>
      <c r="D65">
        <f t="shared" si="1"/>
        <v>11</v>
      </c>
      <c r="E65" t="s">
        <v>29</v>
      </c>
      <c r="F65" t="s">
        <v>30</v>
      </c>
      <c r="G65" t="s">
        <v>31</v>
      </c>
      <c r="H65" s="5">
        <v>55000</v>
      </c>
      <c r="I65" s="5">
        <v>0</v>
      </c>
      <c r="J65" s="5">
        <f>+H65-I65</f>
        <v>55000</v>
      </c>
      <c r="M65">
        <v>100</v>
      </c>
      <c r="N65" t="s">
        <v>32</v>
      </c>
      <c r="O65" t="s">
        <v>33</v>
      </c>
    </row>
    <row r="66" spans="2:15" x14ac:dyDescent="0.25">
      <c r="B66" t="s">
        <v>15</v>
      </c>
      <c r="C66" s="4">
        <f>+C65</f>
        <v>44895</v>
      </c>
      <c r="D66">
        <f t="shared" si="1"/>
        <v>11</v>
      </c>
      <c r="E66" t="s">
        <v>21</v>
      </c>
      <c r="F66" t="s">
        <v>34</v>
      </c>
      <c r="G66" t="s">
        <v>31</v>
      </c>
      <c r="H66" s="5">
        <v>0</v>
      </c>
      <c r="I66" s="5">
        <v>6738</v>
      </c>
      <c r="J66" s="5">
        <f t="shared" ref="J66:J69" si="32">+H66-I66</f>
        <v>-6738</v>
      </c>
      <c r="M66">
        <f>+M65</f>
        <v>100</v>
      </c>
      <c r="N66" t="str">
        <f>+N65</f>
        <v>15635361-2</v>
      </c>
      <c r="O66" t="str">
        <f>+O65</f>
        <v xml:space="preserve">Jorge Godoy </v>
      </c>
    </row>
    <row r="67" spans="2:15" x14ac:dyDescent="0.25">
      <c r="B67" t="s">
        <v>15</v>
      </c>
      <c r="C67" s="4">
        <f>+C66</f>
        <v>44895</v>
      </c>
      <c r="D67">
        <f t="shared" si="1"/>
        <v>11</v>
      </c>
      <c r="E67" t="s">
        <v>21</v>
      </c>
      <c r="F67" t="s">
        <v>35</v>
      </c>
      <c r="G67" t="s">
        <v>31</v>
      </c>
      <c r="H67" s="5">
        <v>0</v>
      </c>
      <c r="I67" s="5">
        <v>48262</v>
      </c>
      <c r="J67" s="5">
        <f t="shared" si="32"/>
        <v>-48262</v>
      </c>
      <c r="M67">
        <f t="shared" ref="M67:O69" si="33">+M66</f>
        <v>100</v>
      </c>
      <c r="N67" t="str">
        <f t="shared" si="33"/>
        <v>15635361-2</v>
      </c>
      <c r="O67" t="str">
        <f t="shared" si="33"/>
        <v xml:space="preserve">Jorge Godoy </v>
      </c>
    </row>
    <row r="68" spans="2:15" x14ac:dyDescent="0.25">
      <c r="B68" t="s">
        <v>36</v>
      </c>
      <c r="C68" s="4">
        <f t="shared" ref="C68:C69" si="34">+C67</f>
        <v>44895</v>
      </c>
      <c r="D68">
        <f t="shared" si="1"/>
        <v>11</v>
      </c>
      <c r="E68" t="s">
        <v>21</v>
      </c>
      <c r="F68" t="s">
        <v>35</v>
      </c>
      <c r="G68" t="s">
        <v>37</v>
      </c>
      <c r="H68" s="7">
        <v>48262</v>
      </c>
      <c r="I68" s="5">
        <v>0</v>
      </c>
      <c r="J68" s="5">
        <f t="shared" si="32"/>
        <v>48262</v>
      </c>
      <c r="M68">
        <f t="shared" si="33"/>
        <v>100</v>
      </c>
      <c r="N68" t="str">
        <f t="shared" si="33"/>
        <v>15635361-2</v>
      </c>
      <c r="O68" t="str">
        <f t="shared" si="33"/>
        <v xml:space="preserve">Jorge Godoy </v>
      </c>
    </row>
    <row r="69" spans="2:15" x14ac:dyDescent="0.25">
      <c r="B69" t="s">
        <v>36</v>
      </c>
      <c r="C69" s="4">
        <f t="shared" si="34"/>
        <v>44895</v>
      </c>
      <c r="D69">
        <f t="shared" si="1"/>
        <v>11</v>
      </c>
      <c r="E69" t="s">
        <v>16</v>
      </c>
      <c r="F69" t="s">
        <v>17</v>
      </c>
      <c r="G69" t="s">
        <v>37</v>
      </c>
      <c r="H69" s="7">
        <v>0</v>
      </c>
      <c r="I69" s="7">
        <v>48262</v>
      </c>
      <c r="J69" s="5">
        <f t="shared" si="32"/>
        <v>-48262</v>
      </c>
      <c r="M69">
        <f t="shared" si="33"/>
        <v>100</v>
      </c>
      <c r="N69" t="str">
        <f t="shared" si="33"/>
        <v>15635361-2</v>
      </c>
      <c r="O69" t="str">
        <f t="shared" si="33"/>
        <v xml:space="preserve">Jorge Godoy </v>
      </c>
    </row>
    <row r="70" spans="2:15" x14ac:dyDescent="0.25">
      <c r="B70" t="s">
        <v>15</v>
      </c>
      <c r="C70" s="4">
        <v>44924</v>
      </c>
      <c r="D70">
        <f t="shared" si="1"/>
        <v>12</v>
      </c>
      <c r="E70" t="s">
        <v>29</v>
      </c>
      <c r="F70" t="s">
        <v>30</v>
      </c>
      <c r="G70" t="s">
        <v>31</v>
      </c>
      <c r="H70" s="5">
        <v>55000</v>
      </c>
      <c r="I70" s="5">
        <v>0</v>
      </c>
      <c r="J70" s="5">
        <f>+H70-I70</f>
        <v>55000</v>
      </c>
      <c r="M70">
        <v>101</v>
      </c>
      <c r="N70" t="s">
        <v>32</v>
      </c>
      <c r="O70" t="s">
        <v>33</v>
      </c>
    </row>
    <row r="71" spans="2:15" x14ac:dyDescent="0.25">
      <c r="B71" t="s">
        <v>15</v>
      </c>
      <c r="C71" s="4">
        <f>+C70</f>
        <v>44924</v>
      </c>
      <c r="D71">
        <f t="shared" si="1"/>
        <v>12</v>
      </c>
      <c r="E71" t="s">
        <v>21</v>
      </c>
      <c r="F71" t="s">
        <v>34</v>
      </c>
      <c r="G71" t="s">
        <v>31</v>
      </c>
      <c r="H71" s="5">
        <v>0</v>
      </c>
      <c r="I71" s="5">
        <v>6738</v>
      </c>
      <c r="J71" s="5">
        <f t="shared" ref="J71:J74" si="35">+H71-I71</f>
        <v>-6738</v>
      </c>
      <c r="M71">
        <f>+M70</f>
        <v>101</v>
      </c>
      <c r="N71" t="str">
        <f>+N70</f>
        <v>15635361-2</v>
      </c>
      <c r="O71" t="str">
        <f>+O70</f>
        <v xml:space="preserve">Jorge Godoy </v>
      </c>
    </row>
    <row r="72" spans="2:15" x14ac:dyDescent="0.25">
      <c r="B72" t="s">
        <v>15</v>
      </c>
      <c r="C72" s="4">
        <f>+C71</f>
        <v>44924</v>
      </c>
      <c r="D72">
        <f t="shared" si="1"/>
        <v>12</v>
      </c>
      <c r="E72" t="s">
        <v>21</v>
      </c>
      <c r="F72" t="s">
        <v>35</v>
      </c>
      <c r="G72" t="s">
        <v>31</v>
      </c>
      <c r="H72" s="5">
        <v>0</v>
      </c>
      <c r="I72" s="5">
        <v>48262</v>
      </c>
      <c r="J72" s="5">
        <f t="shared" si="35"/>
        <v>-48262</v>
      </c>
      <c r="M72">
        <f t="shared" ref="M72:O74" si="36">+M71</f>
        <v>101</v>
      </c>
      <c r="N72" t="str">
        <f t="shared" si="36"/>
        <v>15635361-2</v>
      </c>
      <c r="O72" t="str">
        <f t="shared" si="36"/>
        <v xml:space="preserve">Jorge Godoy </v>
      </c>
    </row>
    <row r="73" spans="2:15" x14ac:dyDescent="0.25">
      <c r="B73" t="s">
        <v>36</v>
      </c>
      <c r="C73" s="4">
        <f t="shared" ref="C73:C74" si="37">+C72</f>
        <v>44924</v>
      </c>
      <c r="D73">
        <f t="shared" si="1"/>
        <v>12</v>
      </c>
      <c r="E73" t="s">
        <v>21</v>
      </c>
      <c r="F73" t="s">
        <v>35</v>
      </c>
      <c r="G73" t="s">
        <v>37</v>
      </c>
      <c r="H73" s="7">
        <v>48262</v>
      </c>
      <c r="I73" s="5">
        <v>0</v>
      </c>
      <c r="J73" s="5">
        <f t="shared" si="35"/>
        <v>48262</v>
      </c>
      <c r="M73">
        <f t="shared" si="36"/>
        <v>101</v>
      </c>
      <c r="N73" t="str">
        <f t="shared" si="36"/>
        <v>15635361-2</v>
      </c>
      <c r="O73" t="str">
        <f t="shared" si="36"/>
        <v xml:space="preserve">Jorge Godoy </v>
      </c>
    </row>
    <row r="74" spans="2:15" x14ac:dyDescent="0.25">
      <c r="B74" t="s">
        <v>36</v>
      </c>
      <c r="C74" s="4">
        <f t="shared" si="37"/>
        <v>44924</v>
      </c>
      <c r="D74">
        <f t="shared" si="1"/>
        <v>12</v>
      </c>
      <c r="E74" t="s">
        <v>16</v>
      </c>
      <c r="F74" t="s">
        <v>17</v>
      </c>
      <c r="G74" t="s">
        <v>37</v>
      </c>
      <c r="H74" s="7">
        <v>0</v>
      </c>
      <c r="I74" s="7">
        <v>48262</v>
      </c>
      <c r="J74" s="5">
        <f t="shared" si="35"/>
        <v>-48262</v>
      </c>
      <c r="M74">
        <f t="shared" si="36"/>
        <v>101</v>
      </c>
      <c r="N74" t="str">
        <f t="shared" si="36"/>
        <v>15635361-2</v>
      </c>
      <c r="O74" t="str">
        <f t="shared" si="36"/>
        <v xml:space="preserve">Jorge Godoy </v>
      </c>
    </row>
    <row r="75" spans="2:15" x14ac:dyDescent="0.25">
      <c r="B75" t="s">
        <v>15</v>
      </c>
      <c r="C75" s="4">
        <v>44557</v>
      </c>
      <c r="D75">
        <v>1</v>
      </c>
      <c r="E75" t="s">
        <v>38</v>
      </c>
      <c r="F75" t="s">
        <v>39</v>
      </c>
      <c r="G75" t="s">
        <v>40</v>
      </c>
      <c r="H75">
        <v>51387</v>
      </c>
      <c r="I75">
        <v>0</v>
      </c>
      <c r="J75">
        <v>51387</v>
      </c>
      <c r="L75">
        <v>33</v>
      </c>
      <c r="M75">
        <v>63348</v>
      </c>
      <c r="N75" t="s">
        <v>41</v>
      </c>
      <c r="O75" t="s">
        <v>42</v>
      </c>
    </row>
    <row r="76" spans="2:15" x14ac:dyDescent="0.25">
      <c r="B76" t="s">
        <v>15</v>
      </c>
      <c r="C76" s="4">
        <v>44557</v>
      </c>
      <c r="D76">
        <v>1</v>
      </c>
      <c r="E76" t="s">
        <v>16</v>
      </c>
      <c r="F76" t="s">
        <v>43</v>
      </c>
      <c r="G76" t="s">
        <v>40</v>
      </c>
      <c r="H76">
        <v>9763</v>
      </c>
      <c r="I76">
        <v>0</v>
      </c>
      <c r="J76">
        <v>9763</v>
      </c>
      <c r="L76">
        <v>33</v>
      </c>
      <c r="M76">
        <v>63348</v>
      </c>
      <c r="N76" t="s">
        <v>41</v>
      </c>
      <c r="O76" t="s">
        <v>42</v>
      </c>
    </row>
    <row r="77" spans="2:15" x14ac:dyDescent="0.25">
      <c r="B77" t="s">
        <v>15</v>
      </c>
      <c r="C77" s="4">
        <v>44557</v>
      </c>
      <c r="D77">
        <v>1</v>
      </c>
      <c r="E77" t="s">
        <v>21</v>
      </c>
      <c r="F77" t="s">
        <v>44</v>
      </c>
      <c r="G77" t="s">
        <v>40</v>
      </c>
      <c r="H77">
        <v>0</v>
      </c>
      <c r="I77">
        <v>61150</v>
      </c>
      <c r="J77">
        <v>-61150</v>
      </c>
      <c r="L77">
        <v>33</v>
      </c>
      <c r="M77">
        <v>63348</v>
      </c>
      <c r="N77" t="s">
        <v>41</v>
      </c>
      <c r="O77" t="s">
        <v>42</v>
      </c>
    </row>
    <row r="78" spans="2:15" x14ac:dyDescent="0.25">
      <c r="B78" t="s">
        <v>15</v>
      </c>
      <c r="C78" s="4">
        <v>44557</v>
      </c>
      <c r="D78">
        <v>1</v>
      </c>
      <c r="E78" t="s">
        <v>38</v>
      </c>
      <c r="F78" t="s">
        <v>39</v>
      </c>
      <c r="G78" t="s">
        <v>40</v>
      </c>
      <c r="H78">
        <v>30252</v>
      </c>
      <c r="I78">
        <v>0</v>
      </c>
      <c r="J78">
        <v>30252</v>
      </c>
      <c r="L78">
        <v>33</v>
      </c>
      <c r="M78">
        <v>146696</v>
      </c>
      <c r="N78" t="s">
        <v>45</v>
      </c>
      <c r="O78" t="s">
        <v>46</v>
      </c>
    </row>
    <row r="79" spans="2:15" x14ac:dyDescent="0.25">
      <c r="B79" t="s">
        <v>15</v>
      </c>
      <c r="C79" s="4">
        <v>44557</v>
      </c>
      <c r="D79">
        <v>1</v>
      </c>
      <c r="E79" t="s">
        <v>16</v>
      </c>
      <c r="F79" t="s">
        <v>43</v>
      </c>
      <c r="G79" t="s">
        <v>40</v>
      </c>
      <c r="H79">
        <v>5748</v>
      </c>
      <c r="I79">
        <v>0</v>
      </c>
      <c r="J79">
        <v>5748</v>
      </c>
      <c r="L79">
        <v>33</v>
      </c>
      <c r="M79">
        <v>146696</v>
      </c>
      <c r="N79" t="s">
        <v>45</v>
      </c>
      <c r="O79" t="s">
        <v>46</v>
      </c>
    </row>
    <row r="80" spans="2:15" x14ac:dyDescent="0.25">
      <c r="B80" t="s">
        <v>15</v>
      </c>
      <c r="C80" s="4">
        <v>44557</v>
      </c>
      <c r="D80">
        <v>1</v>
      </c>
      <c r="E80" t="s">
        <v>21</v>
      </c>
      <c r="F80" t="s">
        <v>44</v>
      </c>
      <c r="G80" t="s">
        <v>40</v>
      </c>
      <c r="H80">
        <v>0</v>
      </c>
      <c r="I80">
        <v>36000</v>
      </c>
      <c r="J80">
        <v>-36000</v>
      </c>
      <c r="L80">
        <v>33</v>
      </c>
      <c r="M80">
        <v>146696</v>
      </c>
      <c r="N80" t="s">
        <v>45</v>
      </c>
      <c r="O80" t="s">
        <v>46</v>
      </c>
    </row>
    <row r="81" spans="2:15" x14ac:dyDescent="0.25">
      <c r="B81" t="s">
        <v>15</v>
      </c>
      <c r="C81" s="4">
        <v>44566</v>
      </c>
      <c r="D81">
        <v>1</v>
      </c>
      <c r="E81" t="s">
        <v>38</v>
      </c>
      <c r="F81" t="s">
        <v>39</v>
      </c>
      <c r="G81" t="s">
        <v>40</v>
      </c>
      <c r="H81">
        <v>6555</v>
      </c>
      <c r="I81">
        <v>0</v>
      </c>
      <c r="J81">
        <v>6555</v>
      </c>
      <c r="L81">
        <v>33</v>
      </c>
      <c r="M81">
        <v>178309</v>
      </c>
      <c r="N81" t="s">
        <v>47</v>
      </c>
      <c r="O81" t="s">
        <v>48</v>
      </c>
    </row>
    <row r="82" spans="2:15" x14ac:dyDescent="0.25">
      <c r="B82" t="s">
        <v>15</v>
      </c>
      <c r="C82" s="4">
        <v>44566</v>
      </c>
      <c r="D82">
        <v>1</v>
      </c>
      <c r="E82" t="s">
        <v>16</v>
      </c>
      <c r="F82" t="s">
        <v>43</v>
      </c>
      <c r="G82" t="s">
        <v>40</v>
      </c>
      <c r="H82">
        <v>1245</v>
      </c>
      <c r="I82">
        <v>0</v>
      </c>
      <c r="J82">
        <v>1245</v>
      </c>
      <c r="L82">
        <v>33</v>
      </c>
      <c r="M82">
        <v>178309</v>
      </c>
      <c r="N82" t="s">
        <v>47</v>
      </c>
      <c r="O82" t="s">
        <v>48</v>
      </c>
    </row>
    <row r="83" spans="2:15" x14ac:dyDescent="0.25">
      <c r="B83" t="s">
        <v>15</v>
      </c>
      <c r="C83" s="4">
        <v>44566</v>
      </c>
      <c r="D83">
        <v>1</v>
      </c>
      <c r="E83" t="s">
        <v>21</v>
      </c>
      <c r="F83" t="s">
        <v>44</v>
      </c>
      <c r="G83" t="s">
        <v>40</v>
      </c>
      <c r="H83">
        <v>0</v>
      </c>
      <c r="I83">
        <v>7800</v>
      </c>
      <c r="J83">
        <v>-7800</v>
      </c>
      <c r="L83">
        <v>33</v>
      </c>
      <c r="M83">
        <v>178309</v>
      </c>
      <c r="N83" t="s">
        <v>47</v>
      </c>
      <c r="O83" t="s">
        <v>48</v>
      </c>
    </row>
    <row r="84" spans="2:15" x14ac:dyDescent="0.25">
      <c r="B84" t="s">
        <v>15</v>
      </c>
      <c r="C84" s="4">
        <v>44566</v>
      </c>
      <c r="D84">
        <v>1</v>
      </c>
      <c r="E84" t="s">
        <v>38</v>
      </c>
      <c r="F84" t="s">
        <v>39</v>
      </c>
      <c r="G84" t="s">
        <v>40</v>
      </c>
      <c r="H84">
        <v>158144</v>
      </c>
      <c r="I84">
        <v>0</v>
      </c>
      <c r="J84">
        <v>158144</v>
      </c>
      <c r="L84">
        <v>33</v>
      </c>
      <c r="M84">
        <v>653595</v>
      </c>
      <c r="N84" t="s">
        <v>49</v>
      </c>
      <c r="O84" t="s">
        <v>50</v>
      </c>
    </row>
    <row r="85" spans="2:15" x14ac:dyDescent="0.25">
      <c r="B85" t="s">
        <v>15</v>
      </c>
      <c r="C85" s="4">
        <v>44566</v>
      </c>
      <c r="D85">
        <v>1</v>
      </c>
      <c r="E85" t="s">
        <v>16</v>
      </c>
      <c r="F85" t="s">
        <v>43</v>
      </c>
      <c r="G85" t="s">
        <v>40</v>
      </c>
      <c r="H85">
        <v>30047</v>
      </c>
      <c r="I85">
        <v>0</v>
      </c>
      <c r="J85">
        <v>30047</v>
      </c>
      <c r="L85">
        <v>33</v>
      </c>
      <c r="M85">
        <v>653595</v>
      </c>
      <c r="N85" t="s">
        <v>49</v>
      </c>
      <c r="O85" t="s">
        <v>50</v>
      </c>
    </row>
    <row r="86" spans="2:15" x14ac:dyDescent="0.25">
      <c r="B86" t="s">
        <v>15</v>
      </c>
      <c r="C86" s="4">
        <v>44566</v>
      </c>
      <c r="D86">
        <v>1</v>
      </c>
      <c r="E86" t="s">
        <v>21</v>
      </c>
      <c r="F86" t="s">
        <v>44</v>
      </c>
      <c r="G86" t="s">
        <v>40</v>
      </c>
      <c r="H86">
        <v>0</v>
      </c>
      <c r="I86">
        <v>188191</v>
      </c>
      <c r="J86">
        <v>-188191</v>
      </c>
      <c r="L86">
        <v>33</v>
      </c>
      <c r="M86">
        <v>653595</v>
      </c>
      <c r="N86" t="s">
        <v>49</v>
      </c>
      <c r="O86" t="s">
        <v>50</v>
      </c>
    </row>
    <row r="87" spans="2:15" x14ac:dyDescent="0.25">
      <c r="B87" t="s">
        <v>15</v>
      </c>
      <c r="C87" s="4">
        <v>44567</v>
      </c>
      <c r="D87">
        <v>1</v>
      </c>
      <c r="E87" t="s">
        <v>38</v>
      </c>
      <c r="F87" t="s">
        <v>39</v>
      </c>
      <c r="G87" t="s">
        <v>40</v>
      </c>
      <c r="H87">
        <v>34320</v>
      </c>
      <c r="I87">
        <v>0</v>
      </c>
      <c r="J87">
        <v>34320</v>
      </c>
      <c r="L87">
        <v>33</v>
      </c>
      <c r="M87">
        <v>361530</v>
      </c>
      <c r="N87" t="s">
        <v>51</v>
      </c>
      <c r="O87" t="s">
        <v>52</v>
      </c>
    </row>
    <row r="88" spans="2:15" x14ac:dyDescent="0.25">
      <c r="B88" t="s">
        <v>15</v>
      </c>
      <c r="C88" s="4">
        <v>44567</v>
      </c>
      <c r="D88">
        <v>1</v>
      </c>
      <c r="E88" t="s">
        <v>16</v>
      </c>
      <c r="F88" t="s">
        <v>43</v>
      </c>
      <c r="G88" t="s">
        <v>40</v>
      </c>
      <c r="H88">
        <v>6521</v>
      </c>
      <c r="I88">
        <v>0</v>
      </c>
      <c r="J88">
        <v>6521</v>
      </c>
      <c r="L88">
        <v>33</v>
      </c>
      <c r="M88">
        <v>361530</v>
      </c>
      <c r="N88" t="s">
        <v>51</v>
      </c>
      <c r="O88" t="s">
        <v>52</v>
      </c>
    </row>
    <row r="89" spans="2:15" x14ac:dyDescent="0.25">
      <c r="B89" t="s">
        <v>15</v>
      </c>
      <c r="C89" s="4">
        <v>44567</v>
      </c>
      <c r="D89">
        <v>1</v>
      </c>
      <c r="E89" t="s">
        <v>21</v>
      </c>
      <c r="F89" t="s">
        <v>44</v>
      </c>
      <c r="G89" t="s">
        <v>40</v>
      </c>
      <c r="H89">
        <v>0</v>
      </c>
      <c r="I89">
        <v>40841</v>
      </c>
      <c r="J89">
        <v>-40841</v>
      </c>
      <c r="L89">
        <v>33</v>
      </c>
      <c r="M89">
        <v>361530</v>
      </c>
      <c r="N89" t="s">
        <v>51</v>
      </c>
      <c r="O89" t="s">
        <v>52</v>
      </c>
    </row>
    <row r="90" spans="2:15" x14ac:dyDescent="0.25">
      <c r="B90" t="s">
        <v>15</v>
      </c>
      <c r="C90" s="4">
        <v>44567</v>
      </c>
      <c r="D90">
        <v>1</v>
      </c>
      <c r="E90" t="s">
        <v>38</v>
      </c>
      <c r="F90" t="s">
        <v>39</v>
      </c>
      <c r="G90" t="s">
        <v>40</v>
      </c>
      <c r="H90">
        <v>164745</v>
      </c>
      <c r="I90">
        <v>0</v>
      </c>
      <c r="J90">
        <v>164745</v>
      </c>
      <c r="L90">
        <v>33</v>
      </c>
      <c r="M90">
        <v>653902</v>
      </c>
      <c r="N90" t="s">
        <v>49</v>
      </c>
      <c r="O90" t="s">
        <v>50</v>
      </c>
    </row>
    <row r="91" spans="2:15" x14ac:dyDescent="0.25">
      <c r="B91" t="s">
        <v>15</v>
      </c>
      <c r="C91" s="4">
        <v>44567</v>
      </c>
      <c r="D91">
        <v>1</v>
      </c>
      <c r="E91" t="s">
        <v>16</v>
      </c>
      <c r="F91" t="s">
        <v>43</v>
      </c>
      <c r="G91" t="s">
        <v>40</v>
      </c>
      <c r="H91">
        <v>31302</v>
      </c>
      <c r="I91">
        <v>0</v>
      </c>
      <c r="J91">
        <v>31302</v>
      </c>
      <c r="L91">
        <v>33</v>
      </c>
      <c r="M91">
        <v>653902</v>
      </c>
      <c r="N91" t="s">
        <v>49</v>
      </c>
      <c r="O91" t="s">
        <v>50</v>
      </c>
    </row>
    <row r="92" spans="2:15" x14ac:dyDescent="0.25">
      <c r="B92" t="s">
        <v>15</v>
      </c>
      <c r="C92" s="4">
        <v>44567</v>
      </c>
      <c r="D92">
        <v>1</v>
      </c>
      <c r="E92" t="s">
        <v>21</v>
      </c>
      <c r="F92" t="s">
        <v>44</v>
      </c>
      <c r="G92" t="s">
        <v>40</v>
      </c>
      <c r="H92">
        <v>0</v>
      </c>
      <c r="I92">
        <v>196047</v>
      </c>
      <c r="J92">
        <v>-196047</v>
      </c>
      <c r="L92">
        <v>33</v>
      </c>
      <c r="M92">
        <v>653902</v>
      </c>
      <c r="N92" t="s">
        <v>49</v>
      </c>
      <c r="O92" t="s">
        <v>50</v>
      </c>
    </row>
    <row r="93" spans="2:15" x14ac:dyDescent="0.25">
      <c r="B93" t="s">
        <v>15</v>
      </c>
      <c r="C93" s="4">
        <v>44568</v>
      </c>
      <c r="D93">
        <v>1</v>
      </c>
      <c r="E93" t="s">
        <v>38</v>
      </c>
      <c r="F93" t="s">
        <v>39</v>
      </c>
      <c r="G93" t="s">
        <v>40</v>
      </c>
      <c r="H93">
        <v>93580</v>
      </c>
      <c r="I93">
        <v>0</v>
      </c>
      <c r="J93">
        <v>93580</v>
      </c>
      <c r="L93">
        <v>33</v>
      </c>
      <c r="M93">
        <v>361658</v>
      </c>
      <c r="N93" t="s">
        <v>51</v>
      </c>
      <c r="O93" t="s">
        <v>52</v>
      </c>
    </row>
    <row r="94" spans="2:15" x14ac:dyDescent="0.25">
      <c r="B94" t="s">
        <v>15</v>
      </c>
      <c r="C94" s="4">
        <v>44568</v>
      </c>
      <c r="D94">
        <v>1</v>
      </c>
      <c r="E94" t="s">
        <v>16</v>
      </c>
      <c r="F94" t="s">
        <v>43</v>
      </c>
      <c r="G94" t="s">
        <v>40</v>
      </c>
      <c r="H94">
        <v>17780</v>
      </c>
      <c r="I94">
        <v>0</v>
      </c>
      <c r="J94">
        <v>17780</v>
      </c>
      <c r="L94">
        <v>33</v>
      </c>
      <c r="M94">
        <v>361658</v>
      </c>
      <c r="N94" t="s">
        <v>51</v>
      </c>
      <c r="O94" t="s">
        <v>52</v>
      </c>
    </row>
    <row r="95" spans="2:15" x14ac:dyDescent="0.25">
      <c r="B95" t="s">
        <v>15</v>
      </c>
      <c r="C95" s="4">
        <v>44568</v>
      </c>
      <c r="D95">
        <v>1</v>
      </c>
      <c r="E95" t="s">
        <v>21</v>
      </c>
      <c r="F95" t="s">
        <v>44</v>
      </c>
      <c r="G95" t="s">
        <v>40</v>
      </c>
      <c r="H95">
        <v>0</v>
      </c>
      <c r="I95">
        <v>111360</v>
      </c>
      <c r="J95">
        <v>-111360</v>
      </c>
      <c r="L95">
        <v>33</v>
      </c>
      <c r="M95">
        <v>361658</v>
      </c>
      <c r="N95" t="s">
        <v>51</v>
      </c>
      <c r="O95" t="s">
        <v>52</v>
      </c>
    </row>
    <row r="96" spans="2:15" x14ac:dyDescent="0.25">
      <c r="B96" t="s">
        <v>15</v>
      </c>
      <c r="C96" s="4">
        <v>44571</v>
      </c>
      <c r="D96">
        <v>1</v>
      </c>
      <c r="E96" t="s">
        <v>38</v>
      </c>
      <c r="F96" t="s">
        <v>39</v>
      </c>
      <c r="G96" t="s">
        <v>40</v>
      </c>
      <c r="H96">
        <v>24840</v>
      </c>
      <c r="I96">
        <v>0</v>
      </c>
      <c r="J96">
        <v>24840</v>
      </c>
      <c r="L96">
        <v>33</v>
      </c>
      <c r="M96">
        <v>361760</v>
      </c>
      <c r="N96" t="s">
        <v>51</v>
      </c>
      <c r="O96" t="s">
        <v>52</v>
      </c>
    </row>
    <row r="97" spans="2:15" x14ac:dyDescent="0.25">
      <c r="B97" t="s">
        <v>15</v>
      </c>
      <c r="C97" s="4">
        <v>44571</v>
      </c>
      <c r="D97">
        <v>1</v>
      </c>
      <c r="E97" t="s">
        <v>16</v>
      </c>
      <c r="F97" t="s">
        <v>43</v>
      </c>
      <c r="G97" t="s">
        <v>40</v>
      </c>
      <c r="H97">
        <v>4720</v>
      </c>
      <c r="I97">
        <v>0</v>
      </c>
      <c r="J97">
        <v>4720</v>
      </c>
      <c r="L97">
        <v>33</v>
      </c>
      <c r="M97">
        <v>361760</v>
      </c>
      <c r="N97" t="s">
        <v>51</v>
      </c>
      <c r="O97" t="s">
        <v>52</v>
      </c>
    </row>
    <row r="98" spans="2:15" x14ac:dyDescent="0.25">
      <c r="B98" t="s">
        <v>15</v>
      </c>
      <c r="C98" s="4">
        <v>44571</v>
      </c>
      <c r="D98">
        <v>1</v>
      </c>
      <c r="E98" t="s">
        <v>21</v>
      </c>
      <c r="F98" t="s">
        <v>44</v>
      </c>
      <c r="G98" t="s">
        <v>40</v>
      </c>
      <c r="H98">
        <v>0</v>
      </c>
      <c r="I98">
        <v>29560</v>
      </c>
      <c r="J98">
        <v>-29560</v>
      </c>
      <c r="L98">
        <v>33</v>
      </c>
      <c r="M98">
        <v>361760</v>
      </c>
      <c r="N98" t="s">
        <v>51</v>
      </c>
      <c r="O98" t="s">
        <v>52</v>
      </c>
    </row>
    <row r="99" spans="2:15" x14ac:dyDescent="0.25">
      <c r="B99" t="s">
        <v>15</v>
      </c>
      <c r="C99" s="4">
        <v>44572</v>
      </c>
      <c r="D99">
        <v>1</v>
      </c>
      <c r="E99" t="s">
        <v>38</v>
      </c>
      <c r="F99" t="s">
        <v>39</v>
      </c>
      <c r="G99" t="s">
        <v>40</v>
      </c>
      <c r="H99">
        <v>428000</v>
      </c>
      <c r="I99">
        <v>0</v>
      </c>
      <c r="J99">
        <v>428000</v>
      </c>
      <c r="L99">
        <v>33</v>
      </c>
      <c r="M99">
        <v>166805</v>
      </c>
      <c r="N99" t="s">
        <v>53</v>
      </c>
      <c r="O99" t="s">
        <v>54</v>
      </c>
    </row>
    <row r="100" spans="2:15" x14ac:dyDescent="0.25">
      <c r="B100" t="s">
        <v>15</v>
      </c>
      <c r="C100" s="4">
        <v>44572</v>
      </c>
      <c r="D100">
        <v>1</v>
      </c>
      <c r="E100" t="s">
        <v>16</v>
      </c>
      <c r="F100" t="s">
        <v>43</v>
      </c>
      <c r="G100" t="s">
        <v>40</v>
      </c>
      <c r="H100">
        <v>81320</v>
      </c>
      <c r="I100">
        <v>0</v>
      </c>
      <c r="J100">
        <v>81320</v>
      </c>
      <c r="L100">
        <v>33</v>
      </c>
      <c r="M100">
        <v>166805</v>
      </c>
      <c r="N100" t="s">
        <v>53</v>
      </c>
      <c r="O100" t="s">
        <v>54</v>
      </c>
    </row>
    <row r="101" spans="2:15" x14ac:dyDescent="0.25">
      <c r="B101" t="s">
        <v>15</v>
      </c>
      <c r="C101" s="4">
        <v>44572</v>
      </c>
      <c r="D101">
        <v>1</v>
      </c>
      <c r="E101" t="s">
        <v>21</v>
      </c>
      <c r="F101" t="s">
        <v>44</v>
      </c>
      <c r="G101" t="s">
        <v>40</v>
      </c>
      <c r="H101">
        <v>0</v>
      </c>
      <c r="I101">
        <v>509320</v>
      </c>
      <c r="J101">
        <v>-509320</v>
      </c>
      <c r="L101">
        <v>33</v>
      </c>
      <c r="M101">
        <v>166805</v>
      </c>
      <c r="N101" t="s">
        <v>53</v>
      </c>
      <c r="O101" t="s">
        <v>54</v>
      </c>
    </row>
    <row r="102" spans="2:15" x14ac:dyDescent="0.25">
      <c r="B102" t="s">
        <v>15</v>
      </c>
      <c r="C102" s="4">
        <v>44573</v>
      </c>
      <c r="D102">
        <v>1</v>
      </c>
      <c r="E102" t="s">
        <v>38</v>
      </c>
      <c r="F102" t="s">
        <v>39</v>
      </c>
      <c r="G102" t="s">
        <v>40</v>
      </c>
      <c r="H102">
        <v>9914</v>
      </c>
      <c r="I102">
        <v>0</v>
      </c>
      <c r="J102">
        <v>9914</v>
      </c>
      <c r="L102">
        <v>33</v>
      </c>
      <c r="M102">
        <v>178879</v>
      </c>
      <c r="N102" t="s">
        <v>47</v>
      </c>
      <c r="O102" t="s">
        <v>48</v>
      </c>
    </row>
    <row r="103" spans="2:15" x14ac:dyDescent="0.25">
      <c r="B103" t="s">
        <v>15</v>
      </c>
      <c r="C103" s="4">
        <v>44573</v>
      </c>
      <c r="D103">
        <v>1</v>
      </c>
      <c r="E103" t="s">
        <v>16</v>
      </c>
      <c r="F103" t="s">
        <v>43</v>
      </c>
      <c r="G103" t="s">
        <v>40</v>
      </c>
      <c r="H103">
        <v>1884</v>
      </c>
      <c r="I103">
        <v>0</v>
      </c>
      <c r="J103">
        <v>1884</v>
      </c>
      <c r="L103">
        <v>33</v>
      </c>
      <c r="M103">
        <v>178879</v>
      </c>
      <c r="N103" t="s">
        <v>47</v>
      </c>
      <c r="O103" t="s">
        <v>48</v>
      </c>
    </row>
    <row r="104" spans="2:15" x14ac:dyDescent="0.25">
      <c r="B104" t="s">
        <v>15</v>
      </c>
      <c r="C104" s="4">
        <v>44573</v>
      </c>
      <c r="D104">
        <v>1</v>
      </c>
      <c r="E104" t="s">
        <v>21</v>
      </c>
      <c r="F104" t="s">
        <v>44</v>
      </c>
      <c r="G104" t="s">
        <v>40</v>
      </c>
      <c r="H104">
        <v>0</v>
      </c>
      <c r="I104">
        <v>11798</v>
      </c>
      <c r="J104">
        <v>-11798</v>
      </c>
      <c r="L104">
        <v>33</v>
      </c>
      <c r="M104">
        <v>178879</v>
      </c>
      <c r="N104" t="s">
        <v>47</v>
      </c>
      <c r="O104" t="s">
        <v>48</v>
      </c>
    </row>
    <row r="105" spans="2:15" x14ac:dyDescent="0.25">
      <c r="B105" t="s">
        <v>15</v>
      </c>
      <c r="C105" s="4">
        <v>44573</v>
      </c>
      <c r="D105">
        <v>1</v>
      </c>
      <c r="E105" t="s">
        <v>38</v>
      </c>
      <c r="F105" t="s">
        <v>39</v>
      </c>
      <c r="G105" t="s">
        <v>40</v>
      </c>
      <c r="H105">
        <v>57000</v>
      </c>
      <c r="I105">
        <v>0</v>
      </c>
      <c r="J105">
        <v>57000</v>
      </c>
      <c r="L105">
        <v>33</v>
      </c>
      <c r="M105">
        <v>51874</v>
      </c>
      <c r="N105" t="s">
        <v>55</v>
      </c>
      <c r="O105" t="s">
        <v>56</v>
      </c>
    </row>
    <row r="106" spans="2:15" x14ac:dyDescent="0.25">
      <c r="B106" t="s">
        <v>15</v>
      </c>
      <c r="C106" s="4">
        <v>44573</v>
      </c>
      <c r="D106">
        <v>1</v>
      </c>
      <c r="E106" t="s">
        <v>16</v>
      </c>
      <c r="F106" t="s">
        <v>43</v>
      </c>
      <c r="G106" t="s">
        <v>40</v>
      </c>
      <c r="H106">
        <v>10830</v>
      </c>
      <c r="I106">
        <v>0</v>
      </c>
      <c r="J106">
        <v>10830</v>
      </c>
      <c r="L106">
        <v>33</v>
      </c>
      <c r="M106">
        <v>51874</v>
      </c>
      <c r="N106" t="s">
        <v>55</v>
      </c>
      <c r="O106" t="s">
        <v>56</v>
      </c>
    </row>
    <row r="107" spans="2:15" x14ac:dyDescent="0.25">
      <c r="B107" t="s">
        <v>15</v>
      </c>
      <c r="C107" s="4">
        <v>44573</v>
      </c>
      <c r="D107">
        <v>1</v>
      </c>
      <c r="E107" t="s">
        <v>21</v>
      </c>
      <c r="F107" t="s">
        <v>44</v>
      </c>
      <c r="G107" t="s">
        <v>40</v>
      </c>
      <c r="H107">
        <v>0</v>
      </c>
      <c r="I107">
        <v>67830</v>
      </c>
      <c r="J107">
        <v>-67830</v>
      </c>
      <c r="L107">
        <v>33</v>
      </c>
      <c r="M107">
        <v>51874</v>
      </c>
      <c r="N107" t="s">
        <v>55</v>
      </c>
      <c r="O107" t="s">
        <v>56</v>
      </c>
    </row>
    <row r="108" spans="2:15" x14ac:dyDescent="0.25">
      <c r="B108" t="s">
        <v>15</v>
      </c>
      <c r="C108" s="4">
        <v>44574</v>
      </c>
      <c r="D108">
        <v>1</v>
      </c>
      <c r="E108" t="s">
        <v>38</v>
      </c>
      <c r="F108" t="s">
        <v>39</v>
      </c>
      <c r="G108" t="s">
        <v>40</v>
      </c>
      <c r="H108">
        <v>397000</v>
      </c>
      <c r="I108">
        <v>0</v>
      </c>
      <c r="J108">
        <v>397000</v>
      </c>
      <c r="L108">
        <v>33</v>
      </c>
      <c r="M108">
        <v>362309</v>
      </c>
      <c r="N108" t="s">
        <v>51</v>
      </c>
      <c r="O108" t="s">
        <v>52</v>
      </c>
    </row>
    <row r="109" spans="2:15" x14ac:dyDescent="0.25">
      <c r="B109" t="s">
        <v>15</v>
      </c>
      <c r="C109" s="4">
        <v>44574</v>
      </c>
      <c r="D109">
        <v>1</v>
      </c>
      <c r="E109" t="s">
        <v>16</v>
      </c>
      <c r="F109" t="s">
        <v>43</v>
      </c>
      <c r="G109" t="s">
        <v>40</v>
      </c>
      <c r="H109">
        <v>75430</v>
      </c>
      <c r="I109">
        <v>0</v>
      </c>
      <c r="J109">
        <v>75430</v>
      </c>
      <c r="L109">
        <v>33</v>
      </c>
      <c r="M109">
        <v>362309</v>
      </c>
      <c r="N109" t="s">
        <v>51</v>
      </c>
      <c r="O109" t="s">
        <v>52</v>
      </c>
    </row>
    <row r="110" spans="2:15" x14ac:dyDescent="0.25">
      <c r="B110" t="s">
        <v>15</v>
      </c>
      <c r="C110" s="4">
        <v>44574</v>
      </c>
      <c r="D110">
        <v>1</v>
      </c>
      <c r="E110" t="s">
        <v>21</v>
      </c>
      <c r="F110" t="s">
        <v>44</v>
      </c>
      <c r="G110" t="s">
        <v>40</v>
      </c>
      <c r="H110">
        <v>0</v>
      </c>
      <c r="I110">
        <v>472430</v>
      </c>
      <c r="J110">
        <v>-472430</v>
      </c>
      <c r="L110">
        <v>33</v>
      </c>
      <c r="M110">
        <v>362309</v>
      </c>
      <c r="N110" t="s">
        <v>51</v>
      </c>
      <c r="O110" t="s">
        <v>52</v>
      </c>
    </row>
    <row r="111" spans="2:15" x14ac:dyDescent="0.25">
      <c r="B111" t="s">
        <v>15</v>
      </c>
      <c r="C111" s="4">
        <v>44574</v>
      </c>
      <c r="D111">
        <v>1</v>
      </c>
      <c r="E111" t="s">
        <v>38</v>
      </c>
      <c r="F111" t="s">
        <v>39</v>
      </c>
      <c r="G111" t="s">
        <v>40</v>
      </c>
      <c r="H111">
        <v>156180</v>
      </c>
      <c r="I111">
        <v>0</v>
      </c>
      <c r="J111">
        <v>156180</v>
      </c>
      <c r="L111">
        <v>33</v>
      </c>
      <c r="M111">
        <v>362345</v>
      </c>
      <c r="N111" t="s">
        <v>51</v>
      </c>
      <c r="O111" t="s">
        <v>52</v>
      </c>
    </row>
    <row r="112" spans="2:15" x14ac:dyDescent="0.25">
      <c r="B112" t="s">
        <v>15</v>
      </c>
      <c r="C112" s="4">
        <v>44574</v>
      </c>
      <c r="D112">
        <v>1</v>
      </c>
      <c r="E112" t="s">
        <v>16</v>
      </c>
      <c r="F112" t="s">
        <v>43</v>
      </c>
      <c r="G112" t="s">
        <v>40</v>
      </c>
      <c r="H112">
        <v>29674</v>
      </c>
      <c r="I112">
        <v>0</v>
      </c>
      <c r="J112">
        <v>29674</v>
      </c>
      <c r="L112">
        <v>33</v>
      </c>
      <c r="M112">
        <v>362345</v>
      </c>
      <c r="N112" t="s">
        <v>51</v>
      </c>
      <c r="O112" t="s">
        <v>52</v>
      </c>
    </row>
    <row r="113" spans="2:15" x14ac:dyDescent="0.25">
      <c r="B113" t="s">
        <v>15</v>
      </c>
      <c r="C113" s="4">
        <v>44574</v>
      </c>
      <c r="D113">
        <v>1</v>
      </c>
      <c r="E113" t="s">
        <v>21</v>
      </c>
      <c r="F113" t="s">
        <v>44</v>
      </c>
      <c r="G113" t="s">
        <v>40</v>
      </c>
      <c r="H113">
        <v>0</v>
      </c>
      <c r="I113">
        <v>185854</v>
      </c>
      <c r="J113">
        <v>-185854</v>
      </c>
      <c r="L113">
        <v>33</v>
      </c>
      <c r="M113">
        <v>362345</v>
      </c>
      <c r="N113" t="s">
        <v>51</v>
      </c>
      <c r="O113" t="s">
        <v>52</v>
      </c>
    </row>
    <row r="114" spans="2:15" x14ac:dyDescent="0.25">
      <c r="B114" t="s">
        <v>15</v>
      </c>
      <c r="C114" s="4">
        <v>44575</v>
      </c>
      <c r="D114">
        <v>1</v>
      </c>
      <c r="E114" t="s">
        <v>38</v>
      </c>
      <c r="F114" t="s">
        <v>39</v>
      </c>
      <c r="G114" t="s">
        <v>40</v>
      </c>
      <c r="H114">
        <v>31010</v>
      </c>
      <c r="I114">
        <v>0</v>
      </c>
      <c r="J114">
        <v>31010</v>
      </c>
      <c r="L114">
        <v>33</v>
      </c>
      <c r="M114">
        <v>362536</v>
      </c>
      <c r="N114" t="s">
        <v>51</v>
      </c>
      <c r="O114" t="s">
        <v>52</v>
      </c>
    </row>
    <row r="115" spans="2:15" x14ac:dyDescent="0.25">
      <c r="B115" t="s">
        <v>15</v>
      </c>
      <c r="C115" s="4">
        <v>44575</v>
      </c>
      <c r="D115">
        <v>1</v>
      </c>
      <c r="E115" t="s">
        <v>16</v>
      </c>
      <c r="F115" t="s">
        <v>43</v>
      </c>
      <c r="G115" t="s">
        <v>40</v>
      </c>
      <c r="H115">
        <v>5892</v>
      </c>
      <c r="I115">
        <v>0</v>
      </c>
      <c r="J115">
        <v>5892</v>
      </c>
      <c r="L115">
        <v>33</v>
      </c>
      <c r="M115">
        <v>362536</v>
      </c>
      <c r="N115" t="s">
        <v>51</v>
      </c>
      <c r="O115" t="s">
        <v>52</v>
      </c>
    </row>
    <row r="116" spans="2:15" x14ac:dyDescent="0.25">
      <c r="B116" t="s">
        <v>15</v>
      </c>
      <c r="C116" s="4">
        <v>44575</v>
      </c>
      <c r="D116">
        <v>1</v>
      </c>
      <c r="E116" t="s">
        <v>21</v>
      </c>
      <c r="F116" t="s">
        <v>44</v>
      </c>
      <c r="G116" t="s">
        <v>40</v>
      </c>
      <c r="H116">
        <v>0</v>
      </c>
      <c r="I116">
        <v>36902</v>
      </c>
      <c r="J116">
        <v>-36902</v>
      </c>
      <c r="L116">
        <v>33</v>
      </c>
      <c r="M116">
        <v>362536</v>
      </c>
      <c r="N116" t="s">
        <v>51</v>
      </c>
      <c r="O116" t="s">
        <v>52</v>
      </c>
    </row>
    <row r="117" spans="2:15" x14ac:dyDescent="0.25">
      <c r="B117" t="s">
        <v>15</v>
      </c>
      <c r="C117" s="4">
        <v>44578</v>
      </c>
      <c r="D117">
        <v>1</v>
      </c>
      <c r="E117" t="s">
        <v>38</v>
      </c>
      <c r="F117" t="s">
        <v>39</v>
      </c>
      <c r="G117" t="s">
        <v>40</v>
      </c>
      <c r="H117">
        <v>40216</v>
      </c>
      <c r="I117">
        <v>0</v>
      </c>
      <c r="J117">
        <v>40216</v>
      </c>
      <c r="L117">
        <v>33</v>
      </c>
      <c r="M117">
        <v>655351</v>
      </c>
      <c r="N117" t="s">
        <v>49</v>
      </c>
      <c r="O117" t="s">
        <v>50</v>
      </c>
    </row>
    <row r="118" spans="2:15" x14ac:dyDescent="0.25">
      <c r="B118" t="s">
        <v>15</v>
      </c>
      <c r="C118" s="4">
        <v>44578</v>
      </c>
      <c r="D118">
        <v>1</v>
      </c>
      <c r="E118" t="s">
        <v>16</v>
      </c>
      <c r="F118" t="s">
        <v>43</v>
      </c>
      <c r="G118" t="s">
        <v>40</v>
      </c>
      <c r="H118">
        <v>7641</v>
      </c>
      <c r="I118">
        <v>0</v>
      </c>
      <c r="J118">
        <v>7641</v>
      </c>
      <c r="L118">
        <v>33</v>
      </c>
      <c r="M118">
        <v>655351</v>
      </c>
      <c r="N118" t="s">
        <v>49</v>
      </c>
      <c r="O118" t="s">
        <v>50</v>
      </c>
    </row>
    <row r="119" spans="2:15" x14ac:dyDescent="0.25">
      <c r="B119" t="s">
        <v>15</v>
      </c>
      <c r="C119" s="4">
        <v>44578</v>
      </c>
      <c r="D119">
        <v>1</v>
      </c>
      <c r="E119" t="s">
        <v>21</v>
      </c>
      <c r="F119" t="s">
        <v>44</v>
      </c>
      <c r="G119" t="s">
        <v>40</v>
      </c>
      <c r="H119">
        <v>0</v>
      </c>
      <c r="I119">
        <v>47857</v>
      </c>
      <c r="J119">
        <v>-47857</v>
      </c>
      <c r="L119">
        <v>33</v>
      </c>
      <c r="M119">
        <v>655351</v>
      </c>
      <c r="N119" t="s">
        <v>49</v>
      </c>
      <c r="O119" t="s">
        <v>50</v>
      </c>
    </row>
    <row r="120" spans="2:15" x14ac:dyDescent="0.25">
      <c r="B120" t="s">
        <v>15</v>
      </c>
      <c r="C120" s="4">
        <v>44578</v>
      </c>
      <c r="D120">
        <v>1</v>
      </c>
      <c r="E120" t="s">
        <v>38</v>
      </c>
      <c r="F120" t="s">
        <v>39</v>
      </c>
      <c r="G120" t="s">
        <v>40</v>
      </c>
      <c r="H120">
        <v>995351</v>
      </c>
      <c r="I120">
        <v>0</v>
      </c>
      <c r="J120">
        <v>995351</v>
      </c>
      <c r="L120">
        <v>33</v>
      </c>
      <c r="M120">
        <v>655353</v>
      </c>
      <c r="N120" t="s">
        <v>49</v>
      </c>
      <c r="O120" t="s">
        <v>50</v>
      </c>
    </row>
    <row r="121" spans="2:15" x14ac:dyDescent="0.25">
      <c r="B121" t="s">
        <v>15</v>
      </c>
      <c r="C121" s="4">
        <v>44578</v>
      </c>
      <c r="D121">
        <v>1</v>
      </c>
      <c r="E121" t="s">
        <v>16</v>
      </c>
      <c r="F121" t="s">
        <v>43</v>
      </c>
      <c r="G121" t="s">
        <v>40</v>
      </c>
      <c r="H121">
        <v>189117</v>
      </c>
      <c r="I121">
        <v>0</v>
      </c>
      <c r="J121">
        <v>189117</v>
      </c>
      <c r="L121">
        <v>33</v>
      </c>
      <c r="M121">
        <v>655353</v>
      </c>
      <c r="N121" t="s">
        <v>49</v>
      </c>
      <c r="O121" t="s">
        <v>50</v>
      </c>
    </row>
    <row r="122" spans="2:15" x14ac:dyDescent="0.25">
      <c r="B122" t="s">
        <v>15</v>
      </c>
      <c r="C122" s="4">
        <v>44578</v>
      </c>
      <c r="D122">
        <v>1</v>
      </c>
      <c r="E122" t="s">
        <v>21</v>
      </c>
      <c r="F122" t="s">
        <v>44</v>
      </c>
      <c r="G122" t="s">
        <v>40</v>
      </c>
      <c r="H122">
        <v>0</v>
      </c>
      <c r="I122">
        <v>1184468</v>
      </c>
      <c r="J122">
        <v>-1184468</v>
      </c>
      <c r="L122">
        <v>33</v>
      </c>
      <c r="M122">
        <v>655353</v>
      </c>
      <c r="N122" t="s">
        <v>49</v>
      </c>
      <c r="O122" t="s">
        <v>50</v>
      </c>
    </row>
    <row r="123" spans="2:15" x14ac:dyDescent="0.25">
      <c r="B123" t="s">
        <v>15</v>
      </c>
      <c r="C123" s="4">
        <v>44577</v>
      </c>
      <c r="D123">
        <v>1</v>
      </c>
      <c r="E123" t="s">
        <v>38</v>
      </c>
      <c r="F123" t="s">
        <v>39</v>
      </c>
      <c r="G123" t="s">
        <v>40</v>
      </c>
      <c r="H123">
        <v>35261</v>
      </c>
      <c r="I123">
        <v>0</v>
      </c>
      <c r="J123">
        <v>35261</v>
      </c>
      <c r="L123">
        <v>33</v>
      </c>
      <c r="M123">
        <v>9381468</v>
      </c>
      <c r="N123" t="s">
        <v>57</v>
      </c>
      <c r="O123" t="s">
        <v>58</v>
      </c>
    </row>
    <row r="124" spans="2:15" x14ac:dyDescent="0.25">
      <c r="B124" t="s">
        <v>15</v>
      </c>
      <c r="C124" s="4">
        <v>44577</v>
      </c>
      <c r="D124">
        <v>1</v>
      </c>
      <c r="E124" t="s">
        <v>16</v>
      </c>
      <c r="F124" t="s">
        <v>43</v>
      </c>
      <c r="G124" t="s">
        <v>40</v>
      </c>
      <c r="H124">
        <v>6699</v>
      </c>
      <c r="I124">
        <v>0</v>
      </c>
      <c r="J124">
        <v>6699</v>
      </c>
      <c r="L124">
        <v>33</v>
      </c>
      <c r="M124">
        <v>9381468</v>
      </c>
      <c r="N124" t="s">
        <v>57</v>
      </c>
      <c r="O124" t="s">
        <v>58</v>
      </c>
    </row>
    <row r="125" spans="2:15" x14ac:dyDescent="0.25">
      <c r="B125" t="s">
        <v>15</v>
      </c>
      <c r="C125" s="4">
        <v>44577</v>
      </c>
      <c r="D125">
        <v>1</v>
      </c>
      <c r="E125" t="s">
        <v>21</v>
      </c>
      <c r="F125" t="s">
        <v>44</v>
      </c>
      <c r="G125" t="s">
        <v>40</v>
      </c>
      <c r="H125">
        <v>0</v>
      </c>
      <c r="I125">
        <v>41960</v>
      </c>
      <c r="J125">
        <v>-41960</v>
      </c>
      <c r="L125">
        <v>33</v>
      </c>
      <c r="M125">
        <v>9381468</v>
      </c>
      <c r="N125" t="s">
        <v>57</v>
      </c>
      <c r="O125" t="s">
        <v>58</v>
      </c>
    </row>
    <row r="126" spans="2:15" x14ac:dyDescent="0.25">
      <c r="B126" t="s">
        <v>15</v>
      </c>
      <c r="C126" s="4">
        <v>44581</v>
      </c>
      <c r="D126">
        <v>1</v>
      </c>
      <c r="E126" t="s">
        <v>38</v>
      </c>
      <c r="F126" t="s">
        <v>39</v>
      </c>
      <c r="G126" t="s">
        <v>40</v>
      </c>
      <c r="H126">
        <v>80432</v>
      </c>
      <c r="I126">
        <v>0</v>
      </c>
      <c r="J126">
        <v>80432</v>
      </c>
      <c r="L126">
        <v>33</v>
      </c>
      <c r="M126">
        <v>655942</v>
      </c>
      <c r="N126" t="s">
        <v>49</v>
      </c>
      <c r="O126" t="s">
        <v>50</v>
      </c>
    </row>
    <row r="127" spans="2:15" x14ac:dyDescent="0.25">
      <c r="B127" t="s">
        <v>15</v>
      </c>
      <c r="C127" s="4">
        <v>44581</v>
      </c>
      <c r="D127">
        <v>1</v>
      </c>
      <c r="E127" t="s">
        <v>16</v>
      </c>
      <c r="F127" t="s">
        <v>43</v>
      </c>
      <c r="G127" t="s">
        <v>40</v>
      </c>
      <c r="H127">
        <v>15282</v>
      </c>
      <c r="I127">
        <v>0</v>
      </c>
      <c r="J127">
        <v>15282</v>
      </c>
      <c r="L127">
        <v>33</v>
      </c>
      <c r="M127">
        <v>655942</v>
      </c>
      <c r="N127" t="s">
        <v>49</v>
      </c>
      <c r="O127" t="s">
        <v>50</v>
      </c>
    </row>
    <row r="128" spans="2:15" x14ac:dyDescent="0.25">
      <c r="B128" t="s">
        <v>15</v>
      </c>
      <c r="C128" s="4">
        <v>44581</v>
      </c>
      <c r="D128">
        <v>1</v>
      </c>
      <c r="E128" t="s">
        <v>21</v>
      </c>
      <c r="F128" t="s">
        <v>44</v>
      </c>
      <c r="G128" t="s">
        <v>40</v>
      </c>
      <c r="H128">
        <v>0</v>
      </c>
      <c r="I128">
        <v>95714</v>
      </c>
      <c r="J128">
        <v>-95714</v>
      </c>
      <c r="L128">
        <v>33</v>
      </c>
      <c r="M128">
        <v>655942</v>
      </c>
      <c r="N128" t="s">
        <v>49</v>
      </c>
      <c r="O128" t="s">
        <v>50</v>
      </c>
    </row>
    <row r="129" spans="2:15" x14ac:dyDescent="0.25">
      <c r="B129" t="s">
        <v>15</v>
      </c>
      <c r="C129" s="4">
        <v>44587</v>
      </c>
      <c r="D129">
        <v>1</v>
      </c>
      <c r="E129" t="s">
        <v>38</v>
      </c>
      <c r="F129" t="s">
        <v>39</v>
      </c>
      <c r="G129" t="s">
        <v>40</v>
      </c>
      <c r="H129">
        <v>9914</v>
      </c>
      <c r="I129">
        <v>0</v>
      </c>
      <c r="J129">
        <v>9914</v>
      </c>
      <c r="L129">
        <v>33</v>
      </c>
      <c r="M129">
        <v>180116</v>
      </c>
      <c r="N129" t="s">
        <v>47</v>
      </c>
      <c r="O129" t="s">
        <v>48</v>
      </c>
    </row>
    <row r="130" spans="2:15" x14ac:dyDescent="0.25">
      <c r="B130" t="s">
        <v>15</v>
      </c>
      <c r="C130" s="4">
        <v>44587</v>
      </c>
      <c r="D130">
        <v>1</v>
      </c>
      <c r="E130" t="s">
        <v>16</v>
      </c>
      <c r="F130" t="s">
        <v>43</v>
      </c>
      <c r="G130" t="s">
        <v>40</v>
      </c>
      <c r="H130">
        <v>1884</v>
      </c>
      <c r="I130">
        <v>0</v>
      </c>
      <c r="J130">
        <v>1884</v>
      </c>
      <c r="L130">
        <v>33</v>
      </c>
      <c r="M130">
        <v>180116</v>
      </c>
      <c r="N130" t="s">
        <v>47</v>
      </c>
      <c r="O130" t="s">
        <v>48</v>
      </c>
    </row>
    <row r="131" spans="2:15" x14ac:dyDescent="0.25">
      <c r="B131" t="s">
        <v>15</v>
      </c>
      <c r="C131" s="4">
        <v>44587</v>
      </c>
      <c r="D131">
        <v>1</v>
      </c>
      <c r="E131" t="s">
        <v>21</v>
      </c>
      <c r="F131" t="s">
        <v>44</v>
      </c>
      <c r="G131" t="s">
        <v>40</v>
      </c>
      <c r="H131">
        <v>0</v>
      </c>
      <c r="I131">
        <v>11798</v>
      </c>
      <c r="J131">
        <v>-11798</v>
      </c>
      <c r="L131">
        <v>33</v>
      </c>
      <c r="M131">
        <v>180116</v>
      </c>
      <c r="N131" t="s">
        <v>47</v>
      </c>
      <c r="O131" t="s">
        <v>48</v>
      </c>
    </row>
    <row r="132" spans="2:15" x14ac:dyDescent="0.25">
      <c r="B132" t="s">
        <v>15</v>
      </c>
      <c r="C132" s="4">
        <v>44587</v>
      </c>
      <c r="D132">
        <v>1</v>
      </c>
      <c r="E132" t="s">
        <v>38</v>
      </c>
      <c r="F132" t="s">
        <v>39</v>
      </c>
      <c r="G132" t="s">
        <v>40</v>
      </c>
      <c r="H132">
        <v>71730</v>
      </c>
      <c r="I132">
        <v>0</v>
      </c>
      <c r="J132">
        <v>71730</v>
      </c>
      <c r="L132">
        <v>33</v>
      </c>
      <c r="M132">
        <v>656887</v>
      </c>
      <c r="N132" t="s">
        <v>49</v>
      </c>
      <c r="O132" t="s">
        <v>50</v>
      </c>
    </row>
    <row r="133" spans="2:15" x14ac:dyDescent="0.25">
      <c r="B133" t="s">
        <v>15</v>
      </c>
      <c r="C133" s="4">
        <v>44587</v>
      </c>
      <c r="D133">
        <v>1</v>
      </c>
      <c r="E133" t="s">
        <v>16</v>
      </c>
      <c r="F133" t="s">
        <v>43</v>
      </c>
      <c r="G133" t="s">
        <v>40</v>
      </c>
      <c r="H133">
        <v>13629</v>
      </c>
      <c r="I133">
        <v>0</v>
      </c>
      <c r="J133">
        <v>13629</v>
      </c>
      <c r="L133">
        <v>33</v>
      </c>
      <c r="M133">
        <v>656887</v>
      </c>
      <c r="N133" t="s">
        <v>49</v>
      </c>
      <c r="O133" t="s">
        <v>50</v>
      </c>
    </row>
    <row r="134" spans="2:15" x14ac:dyDescent="0.25">
      <c r="B134" t="s">
        <v>15</v>
      </c>
      <c r="C134" s="4">
        <v>44587</v>
      </c>
      <c r="D134">
        <v>1</v>
      </c>
      <c r="E134" t="s">
        <v>21</v>
      </c>
      <c r="F134" t="s">
        <v>44</v>
      </c>
      <c r="G134" t="s">
        <v>40</v>
      </c>
      <c r="H134">
        <v>0</v>
      </c>
      <c r="I134">
        <v>85359</v>
      </c>
      <c r="J134">
        <v>-85359</v>
      </c>
      <c r="L134">
        <v>33</v>
      </c>
      <c r="M134">
        <v>656887</v>
      </c>
      <c r="N134" t="s">
        <v>49</v>
      </c>
      <c r="O134" t="s">
        <v>50</v>
      </c>
    </row>
    <row r="135" spans="2:15" x14ac:dyDescent="0.25">
      <c r="B135" t="s">
        <v>15</v>
      </c>
      <c r="C135" s="4">
        <v>44589</v>
      </c>
      <c r="D135">
        <v>1</v>
      </c>
      <c r="E135" t="s">
        <v>38</v>
      </c>
      <c r="F135" t="s">
        <v>39</v>
      </c>
      <c r="G135" t="s">
        <v>40</v>
      </c>
      <c r="H135">
        <v>188500</v>
      </c>
      <c r="I135">
        <v>0</v>
      </c>
      <c r="J135">
        <v>188500</v>
      </c>
      <c r="L135">
        <v>33</v>
      </c>
      <c r="M135">
        <v>1058</v>
      </c>
      <c r="N135" t="s">
        <v>59</v>
      </c>
      <c r="O135" t="s">
        <v>60</v>
      </c>
    </row>
    <row r="136" spans="2:15" x14ac:dyDescent="0.25">
      <c r="B136" t="s">
        <v>15</v>
      </c>
      <c r="C136" s="4">
        <v>44589</v>
      </c>
      <c r="D136">
        <v>1</v>
      </c>
      <c r="E136" t="s">
        <v>16</v>
      </c>
      <c r="F136" t="s">
        <v>43</v>
      </c>
      <c r="G136" t="s">
        <v>40</v>
      </c>
      <c r="H136">
        <v>35815</v>
      </c>
      <c r="I136">
        <v>0</v>
      </c>
      <c r="J136">
        <v>35815</v>
      </c>
      <c r="L136">
        <v>33</v>
      </c>
      <c r="M136">
        <v>1058</v>
      </c>
      <c r="N136" t="s">
        <v>59</v>
      </c>
      <c r="O136" t="s">
        <v>60</v>
      </c>
    </row>
    <row r="137" spans="2:15" x14ac:dyDescent="0.25">
      <c r="B137" t="s">
        <v>15</v>
      </c>
      <c r="C137" s="4">
        <v>44589</v>
      </c>
      <c r="D137">
        <v>1</v>
      </c>
      <c r="E137" t="s">
        <v>21</v>
      </c>
      <c r="F137" t="s">
        <v>44</v>
      </c>
      <c r="G137" t="s">
        <v>40</v>
      </c>
      <c r="H137">
        <v>0</v>
      </c>
      <c r="I137">
        <v>224315</v>
      </c>
      <c r="J137">
        <v>-224315</v>
      </c>
      <c r="L137">
        <v>33</v>
      </c>
      <c r="M137">
        <v>1058</v>
      </c>
      <c r="N137" t="s">
        <v>59</v>
      </c>
      <c r="O137" t="s">
        <v>60</v>
      </c>
    </row>
    <row r="138" spans="2:15" x14ac:dyDescent="0.25">
      <c r="B138" t="s">
        <v>15</v>
      </c>
      <c r="C138" s="4">
        <v>44581</v>
      </c>
      <c r="D138">
        <v>1</v>
      </c>
      <c r="E138" t="s">
        <v>38</v>
      </c>
      <c r="F138" t="s">
        <v>39</v>
      </c>
      <c r="G138" t="s">
        <v>40</v>
      </c>
      <c r="H138">
        <v>0</v>
      </c>
      <c r="I138">
        <v>150811</v>
      </c>
      <c r="J138">
        <v>-150811</v>
      </c>
      <c r="L138">
        <v>61</v>
      </c>
      <c r="M138">
        <v>35491</v>
      </c>
      <c r="N138" t="s">
        <v>49</v>
      </c>
      <c r="O138" t="s">
        <v>50</v>
      </c>
    </row>
    <row r="139" spans="2:15" x14ac:dyDescent="0.25">
      <c r="B139" t="s">
        <v>15</v>
      </c>
      <c r="C139" s="4">
        <v>44581</v>
      </c>
      <c r="D139">
        <v>1</v>
      </c>
      <c r="E139" t="s">
        <v>16</v>
      </c>
      <c r="F139" t="s">
        <v>43</v>
      </c>
      <c r="G139" t="s">
        <v>40</v>
      </c>
      <c r="H139">
        <v>0</v>
      </c>
      <c r="I139">
        <v>28654</v>
      </c>
      <c r="J139">
        <v>-28654</v>
      </c>
      <c r="L139">
        <v>61</v>
      </c>
      <c r="M139">
        <v>35491</v>
      </c>
      <c r="N139" t="s">
        <v>49</v>
      </c>
      <c r="O139" t="s">
        <v>50</v>
      </c>
    </row>
    <row r="140" spans="2:15" x14ac:dyDescent="0.25">
      <c r="B140" t="s">
        <v>15</v>
      </c>
      <c r="C140" s="4">
        <v>44581</v>
      </c>
      <c r="D140">
        <v>1</v>
      </c>
      <c r="E140" t="s">
        <v>21</v>
      </c>
      <c r="F140" t="s">
        <v>44</v>
      </c>
      <c r="G140" t="s">
        <v>40</v>
      </c>
      <c r="H140">
        <v>179465</v>
      </c>
      <c r="I140">
        <v>0</v>
      </c>
      <c r="J140">
        <v>179465</v>
      </c>
      <c r="L140">
        <v>61</v>
      </c>
      <c r="M140">
        <v>35491</v>
      </c>
      <c r="N140" t="s">
        <v>49</v>
      </c>
      <c r="O140" t="s">
        <v>50</v>
      </c>
    </row>
    <row r="141" spans="2:15" x14ac:dyDescent="0.25">
      <c r="B141" t="s">
        <v>15</v>
      </c>
      <c r="C141" s="4">
        <v>44587</v>
      </c>
      <c r="D141">
        <v>2</v>
      </c>
      <c r="E141" t="s">
        <v>38</v>
      </c>
      <c r="F141" t="s">
        <v>39</v>
      </c>
      <c r="G141" t="s">
        <v>40</v>
      </c>
      <c r="H141">
        <v>222933</v>
      </c>
      <c r="I141">
        <v>0</v>
      </c>
      <c r="J141">
        <v>222933</v>
      </c>
      <c r="L141">
        <v>33</v>
      </c>
      <c r="M141">
        <v>8012</v>
      </c>
      <c r="N141" t="s">
        <v>61</v>
      </c>
      <c r="O141" t="s">
        <v>62</v>
      </c>
    </row>
    <row r="142" spans="2:15" x14ac:dyDescent="0.25">
      <c r="B142" t="s">
        <v>15</v>
      </c>
      <c r="C142" s="4">
        <v>44587</v>
      </c>
      <c r="D142">
        <v>2</v>
      </c>
      <c r="E142" t="s">
        <v>16</v>
      </c>
      <c r="F142" t="s">
        <v>43</v>
      </c>
      <c r="G142" t="s">
        <v>40</v>
      </c>
      <c r="H142">
        <v>42357</v>
      </c>
      <c r="I142">
        <v>0</v>
      </c>
      <c r="J142">
        <v>42357</v>
      </c>
      <c r="L142">
        <v>33</v>
      </c>
      <c r="M142">
        <v>8012</v>
      </c>
      <c r="N142" t="s">
        <v>61</v>
      </c>
      <c r="O142" t="s">
        <v>62</v>
      </c>
    </row>
    <row r="143" spans="2:15" x14ac:dyDescent="0.25">
      <c r="B143" t="s">
        <v>15</v>
      </c>
      <c r="C143" s="4">
        <v>44587</v>
      </c>
      <c r="D143">
        <v>2</v>
      </c>
      <c r="E143" t="s">
        <v>21</v>
      </c>
      <c r="F143" t="s">
        <v>44</v>
      </c>
      <c r="G143" t="s">
        <v>40</v>
      </c>
      <c r="H143">
        <v>0</v>
      </c>
      <c r="I143">
        <v>265290</v>
      </c>
      <c r="J143">
        <v>-265290</v>
      </c>
      <c r="L143">
        <v>33</v>
      </c>
      <c r="M143">
        <v>8012</v>
      </c>
      <c r="N143" t="s">
        <v>61</v>
      </c>
      <c r="O143" t="s">
        <v>62</v>
      </c>
    </row>
    <row r="144" spans="2:15" x14ac:dyDescent="0.25">
      <c r="B144" t="s">
        <v>15</v>
      </c>
      <c r="C144" s="4">
        <v>44587</v>
      </c>
      <c r="D144">
        <v>2</v>
      </c>
      <c r="E144" t="s">
        <v>38</v>
      </c>
      <c r="F144" t="s">
        <v>39</v>
      </c>
      <c r="G144" t="s">
        <v>40</v>
      </c>
      <c r="H144">
        <v>8034</v>
      </c>
      <c r="I144">
        <v>0</v>
      </c>
      <c r="J144">
        <v>8034</v>
      </c>
      <c r="L144">
        <v>33</v>
      </c>
      <c r="M144">
        <v>8014</v>
      </c>
      <c r="N144" t="s">
        <v>61</v>
      </c>
      <c r="O144" t="s">
        <v>62</v>
      </c>
    </row>
    <row r="145" spans="2:15" x14ac:dyDescent="0.25">
      <c r="B145" t="s">
        <v>15</v>
      </c>
      <c r="C145" s="4">
        <v>44587</v>
      </c>
      <c r="D145">
        <v>2</v>
      </c>
      <c r="E145" t="s">
        <v>16</v>
      </c>
      <c r="F145" t="s">
        <v>43</v>
      </c>
      <c r="G145" t="s">
        <v>40</v>
      </c>
      <c r="H145">
        <v>1526</v>
      </c>
      <c r="I145">
        <v>0</v>
      </c>
      <c r="J145">
        <v>1526</v>
      </c>
      <c r="L145">
        <v>33</v>
      </c>
      <c r="M145">
        <v>8014</v>
      </c>
      <c r="N145" t="s">
        <v>61</v>
      </c>
      <c r="O145" t="s">
        <v>62</v>
      </c>
    </row>
    <row r="146" spans="2:15" x14ac:dyDescent="0.25">
      <c r="B146" t="s">
        <v>15</v>
      </c>
      <c r="C146" s="4">
        <v>44587</v>
      </c>
      <c r="D146">
        <v>2</v>
      </c>
      <c r="E146" t="s">
        <v>21</v>
      </c>
      <c r="F146" t="s">
        <v>44</v>
      </c>
      <c r="G146" t="s">
        <v>40</v>
      </c>
      <c r="H146">
        <v>0</v>
      </c>
      <c r="I146">
        <v>9560</v>
      </c>
      <c r="J146">
        <v>-9560</v>
      </c>
      <c r="L146">
        <v>33</v>
      </c>
      <c r="M146">
        <v>8014</v>
      </c>
      <c r="N146" t="s">
        <v>61</v>
      </c>
      <c r="O146" t="s">
        <v>62</v>
      </c>
    </row>
    <row r="147" spans="2:15" x14ac:dyDescent="0.25">
      <c r="B147" t="s">
        <v>15</v>
      </c>
      <c r="C147" s="4">
        <v>44589</v>
      </c>
      <c r="D147">
        <v>2</v>
      </c>
      <c r="E147" t="s">
        <v>38</v>
      </c>
      <c r="F147" t="s">
        <v>39</v>
      </c>
      <c r="G147" t="s">
        <v>40</v>
      </c>
      <c r="H147">
        <v>121788</v>
      </c>
      <c r="I147">
        <v>0</v>
      </c>
      <c r="J147">
        <v>121788</v>
      </c>
      <c r="L147">
        <v>33</v>
      </c>
      <c r="M147">
        <v>285938</v>
      </c>
      <c r="N147" t="s">
        <v>63</v>
      </c>
      <c r="O147" t="s">
        <v>64</v>
      </c>
    </row>
    <row r="148" spans="2:15" x14ac:dyDescent="0.25">
      <c r="B148" t="s">
        <v>15</v>
      </c>
      <c r="C148" s="4">
        <v>44589</v>
      </c>
      <c r="D148">
        <v>2</v>
      </c>
      <c r="E148" t="s">
        <v>16</v>
      </c>
      <c r="F148" t="s">
        <v>43</v>
      </c>
      <c r="G148" t="s">
        <v>40</v>
      </c>
      <c r="H148">
        <v>23140</v>
      </c>
      <c r="I148">
        <v>0</v>
      </c>
      <c r="J148">
        <v>23140</v>
      </c>
      <c r="L148">
        <v>33</v>
      </c>
      <c r="M148">
        <v>285938</v>
      </c>
      <c r="N148" t="s">
        <v>63</v>
      </c>
      <c r="O148" t="s">
        <v>64</v>
      </c>
    </row>
    <row r="149" spans="2:15" x14ac:dyDescent="0.25">
      <c r="B149" t="s">
        <v>15</v>
      </c>
      <c r="C149" s="4">
        <v>44589</v>
      </c>
      <c r="D149">
        <v>2</v>
      </c>
      <c r="E149" t="s">
        <v>21</v>
      </c>
      <c r="F149" t="s">
        <v>44</v>
      </c>
      <c r="G149" t="s">
        <v>40</v>
      </c>
      <c r="H149">
        <v>0</v>
      </c>
      <c r="I149">
        <v>144928</v>
      </c>
      <c r="J149">
        <v>-144928</v>
      </c>
      <c r="L149">
        <v>33</v>
      </c>
      <c r="M149">
        <v>285938</v>
      </c>
      <c r="N149" t="s">
        <v>63</v>
      </c>
      <c r="O149" t="s">
        <v>64</v>
      </c>
    </row>
    <row r="150" spans="2:15" x14ac:dyDescent="0.25">
      <c r="B150" t="s">
        <v>15</v>
      </c>
      <c r="C150" s="4">
        <v>44595</v>
      </c>
      <c r="D150">
        <v>2</v>
      </c>
      <c r="E150" t="s">
        <v>38</v>
      </c>
      <c r="F150" t="s">
        <v>39</v>
      </c>
      <c r="G150" t="s">
        <v>40</v>
      </c>
      <c r="H150">
        <v>109118</v>
      </c>
      <c r="I150">
        <v>0</v>
      </c>
      <c r="J150">
        <v>109118</v>
      </c>
      <c r="L150">
        <v>33</v>
      </c>
      <c r="M150">
        <v>148427</v>
      </c>
      <c r="N150" t="s">
        <v>45</v>
      </c>
      <c r="O150" t="s">
        <v>46</v>
      </c>
    </row>
    <row r="151" spans="2:15" x14ac:dyDescent="0.25">
      <c r="B151" t="s">
        <v>15</v>
      </c>
      <c r="C151" s="4">
        <v>44595</v>
      </c>
      <c r="D151">
        <v>2</v>
      </c>
      <c r="E151" t="s">
        <v>16</v>
      </c>
      <c r="F151" t="s">
        <v>43</v>
      </c>
      <c r="G151" t="s">
        <v>40</v>
      </c>
      <c r="H151">
        <v>20732</v>
      </c>
      <c r="I151">
        <v>0</v>
      </c>
      <c r="J151">
        <v>20732</v>
      </c>
      <c r="L151">
        <v>33</v>
      </c>
      <c r="M151">
        <v>148427</v>
      </c>
      <c r="N151" t="s">
        <v>45</v>
      </c>
      <c r="O151" t="s">
        <v>46</v>
      </c>
    </row>
    <row r="152" spans="2:15" x14ac:dyDescent="0.25">
      <c r="B152" t="s">
        <v>15</v>
      </c>
      <c r="C152" s="4">
        <v>44595</v>
      </c>
      <c r="D152">
        <v>2</v>
      </c>
      <c r="E152" t="s">
        <v>21</v>
      </c>
      <c r="F152" t="s">
        <v>44</v>
      </c>
      <c r="G152" t="s">
        <v>40</v>
      </c>
      <c r="H152">
        <v>0</v>
      </c>
      <c r="I152">
        <v>129850</v>
      </c>
      <c r="J152">
        <v>-129850</v>
      </c>
      <c r="L152">
        <v>33</v>
      </c>
      <c r="M152">
        <v>148427</v>
      </c>
      <c r="N152" t="s">
        <v>45</v>
      </c>
      <c r="O152" t="s">
        <v>46</v>
      </c>
    </row>
    <row r="153" spans="2:15" x14ac:dyDescent="0.25">
      <c r="B153" t="s">
        <v>15</v>
      </c>
      <c r="C153" s="4">
        <v>44595</v>
      </c>
      <c r="D153">
        <v>2</v>
      </c>
      <c r="E153" t="s">
        <v>38</v>
      </c>
      <c r="F153" t="s">
        <v>39</v>
      </c>
      <c r="G153" t="s">
        <v>40</v>
      </c>
      <c r="H153">
        <v>253400</v>
      </c>
      <c r="I153">
        <v>0</v>
      </c>
      <c r="J153">
        <v>253400</v>
      </c>
      <c r="L153">
        <v>33</v>
      </c>
      <c r="M153">
        <v>364690</v>
      </c>
      <c r="N153" t="s">
        <v>51</v>
      </c>
      <c r="O153" t="s">
        <v>52</v>
      </c>
    </row>
    <row r="154" spans="2:15" x14ac:dyDescent="0.25">
      <c r="B154" t="s">
        <v>15</v>
      </c>
      <c r="C154" s="4">
        <v>44595</v>
      </c>
      <c r="D154">
        <v>2</v>
      </c>
      <c r="E154" t="s">
        <v>16</v>
      </c>
      <c r="F154" t="s">
        <v>43</v>
      </c>
      <c r="G154" t="s">
        <v>40</v>
      </c>
      <c r="H154">
        <v>48146</v>
      </c>
      <c r="I154">
        <v>0</v>
      </c>
      <c r="J154">
        <v>48146</v>
      </c>
      <c r="L154">
        <v>33</v>
      </c>
      <c r="M154">
        <v>364690</v>
      </c>
      <c r="N154" t="s">
        <v>51</v>
      </c>
      <c r="O154" t="s">
        <v>52</v>
      </c>
    </row>
    <row r="155" spans="2:15" x14ac:dyDescent="0.25">
      <c r="B155" t="s">
        <v>15</v>
      </c>
      <c r="C155" s="4">
        <v>44595</v>
      </c>
      <c r="D155">
        <v>2</v>
      </c>
      <c r="E155" t="s">
        <v>21</v>
      </c>
      <c r="F155" t="s">
        <v>44</v>
      </c>
      <c r="G155" t="s">
        <v>40</v>
      </c>
      <c r="H155">
        <v>0</v>
      </c>
      <c r="I155">
        <v>301546</v>
      </c>
      <c r="J155">
        <v>-301546</v>
      </c>
      <c r="L155">
        <v>33</v>
      </c>
      <c r="M155">
        <v>364690</v>
      </c>
      <c r="N155" t="s">
        <v>51</v>
      </c>
      <c r="O155" t="s">
        <v>52</v>
      </c>
    </row>
    <row r="156" spans="2:15" x14ac:dyDescent="0.25">
      <c r="B156" t="s">
        <v>15</v>
      </c>
      <c r="C156" s="4">
        <v>44599</v>
      </c>
      <c r="D156">
        <v>2</v>
      </c>
      <c r="E156" t="s">
        <v>38</v>
      </c>
      <c r="F156" t="s">
        <v>39</v>
      </c>
      <c r="G156" t="s">
        <v>40</v>
      </c>
      <c r="H156">
        <v>25169</v>
      </c>
      <c r="I156">
        <v>0</v>
      </c>
      <c r="J156">
        <v>25169</v>
      </c>
      <c r="L156">
        <v>33</v>
      </c>
      <c r="M156">
        <v>40138</v>
      </c>
      <c r="N156" t="s">
        <v>65</v>
      </c>
      <c r="O156" t="s">
        <v>66</v>
      </c>
    </row>
    <row r="157" spans="2:15" x14ac:dyDescent="0.25">
      <c r="B157" t="s">
        <v>15</v>
      </c>
      <c r="C157" s="4">
        <v>44599</v>
      </c>
      <c r="D157">
        <v>2</v>
      </c>
      <c r="E157" t="s">
        <v>16</v>
      </c>
      <c r="F157" t="s">
        <v>43</v>
      </c>
      <c r="G157" t="s">
        <v>40</v>
      </c>
      <c r="H157">
        <v>4782</v>
      </c>
      <c r="I157">
        <v>0</v>
      </c>
      <c r="J157">
        <v>4782</v>
      </c>
      <c r="L157">
        <v>33</v>
      </c>
      <c r="M157">
        <v>40138</v>
      </c>
      <c r="N157" t="s">
        <v>65</v>
      </c>
      <c r="O157" t="s">
        <v>66</v>
      </c>
    </row>
    <row r="158" spans="2:15" x14ac:dyDescent="0.25">
      <c r="B158" t="s">
        <v>15</v>
      </c>
      <c r="C158" s="4">
        <v>44599</v>
      </c>
      <c r="D158">
        <v>2</v>
      </c>
      <c r="E158" t="s">
        <v>21</v>
      </c>
      <c r="F158" t="s">
        <v>44</v>
      </c>
      <c r="G158" t="s">
        <v>40</v>
      </c>
      <c r="H158">
        <v>0</v>
      </c>
      <c r="I158">
        <v>29951</v>
      </c>
      <c r="J158">
        <v>-29951</v>
      </c>
      <c r="L158">
        <v>33</v>
      </c>
      <c r="M158">
        <v>40138</v>
      </c>
      <c r="N158" t="s">
        <v>65</v>
      </c>
      <c r="O158" t="s">
        <v>66</v>
      </c>
    </row>
    <row r="159" spans="2:15" x14ac:dyDescent="0.25">
      <c r="B159" t="s">
        <v>15</v>
      </c>
      <c r="C159" s="4">
        <v>44600</v>
      </c>
      <c r="D159">
        <v>2</v>
      </c>
      <c r="E159" t="s">
        <v>38</v>
      </c>
      <c r="F159" t="s">
        <v>39</v>
      </c>
      <c r="G159" t="s">
        <v>40</v>
      </c>
      <c r="H159">
        <v>80890</v>
      </c>
      <c r="I159">
        <v>0</v>
      </c>
      <c r="J159">
        <v>80890</v>
      </c>
      <c r="L159">
        <v>33</v>
      </c>
      <c r="M159">
        <v>365195</v>
      </c>
      <c r="N159" t="s">
        <v>51</v>
      </c>
      <c r="O159" t="s">
        <v>52</v>
      </c>
    </row>
    <row r="160" spans="2:15" x14ac:dyDescent="0.25">
      <c r="B160" t="s">
        <v>15</v>
      </c>
      <c r="C160" s="4">
        <v>44600</v>
      </c>
      <c r="D160">
        <v>2</v>
      </c>
      <c r="E160" t="s">
        <v>16</v>
      </c>
      <c r="F160" t="s">
        <v>43</v>
      </c>
      <c r="G160" t="s">
        <v>40</v>
      </c>
      <c r="H160">
        <v>15369</v>
      </c>
      <c r="I160">
        <v>0</v>
      </c>
      <c r="J160">
        <v>15369</v>
      </c>
      <c r="L160">
        <v>33</v>
      </c>
      <c r="M160">
        <v>365195</v>
      </c>
      <c r="N160" t="s">
        <v>51</v>
      </c>
      <c r="O160" t="s">
        <v>52</v>
      </c>
    </row>
    <row r="161" spans="2:15" x14ac:dyDescent="0.25">
      <c r="B161" t="s">
        <v>15</v>
      </c>
      <c r="C161" s="4">
        <v>44600</v>
      </c>
      <c r="D161">
        <v>2</v>
      </c>
      <c r="E161" t="s">
        <v>21</v>
      </c>
      <c r="F161" t="s">
        <v>44</v>
      </c>
      <c r="G161" t="s">
        <v>40</v>
      </c>
      <c r="H161">
        <v>0</v>
      </c>
      <c r="I161">
        <v>96259</v>
      </c>
      <c r="J161">
        <v>-96259</v>
      </c>
      <c r="L161">
        <v>33</v>
      </c>
      <c r="M161">
        <v>365195</v>
      </c>
      <c r="N161" t="s">
        <v>51</v>
      </c>
      <c r="O161" t="s">
        <v>52</v>
      </c>
    </row>
    <row r="162" spans="2:15" x14ac:dyDescent="0.25">
      <c r="B162" t="s">
        <v>15</v>
      </c>
      <c r="C162" s="4">
        <v>44603</v>
      </c>
      <c r="D162">
        <v>2</v>
      </c>
      <c r="E162" t="s">
        <v>38</v>
      </c>
      <c r="F162" t="s">
        <v>39</v>
      </c>
      <c r="G162" t="s">
        <v>40</v>
      </c>
      <c r="H162">
        <v>4350</v>
      </c>
      <c r="I162">
        <v>0</v>
      </c>
      <c r="J162">
        <v>4350</v>
      </c>
      <c r="L162">
        <v>33</v>
      </c>
      <c r="M162">
        <v>14497</v>
      </c>
      <c r="N162" t="s">
        <v>67</v>
      </c>
      <c r="O162" t="s">
        <v>68</v>
      </c>
    </row>
    <row r="163" spans="2:15" x14ac:dyDescent="0.25">
      <c r="B163" t="s">
        <v>15</v>
      </c>
      <c r="C163" s="4">
        <v>44603</v>
      </c>
      <c r="D163">
        <v>2</v>
      </c>
      <c r="E163" t="s">
        <v>16</v>
      </c>
      <c r="F163" t="s">
        <v>43</v>
      </c>
      <c r="G163" t="s">
        <v>40</v>
      </c>
      <c r="H163">
        <v>827</v>
      </c>
      <c r="I163">
        <v>0</v>
      </c>
      <c r="J163">
        <v>827</v>
      </c>
      <c r="L163">
        <v>33</v>
      </c>
      <c r="M163">
        <v>14497</v>
      </c>
      <c r="N163" t="s">
        <v>67</v>
      </c>
      <c r="O163" t="s">
        <v>68</v>
      </c>
    </row>
    <row r="164" spans="2:15" x14ac:dyDescent="0.25">
      <c r="B164" t="s">
        <v>15</v>
      </c>
      <c r="C164" s="4">
        <v>44603</v>
      </c>
      <c r="D164">
        <v>2</v>
      </c>
      <c r="E164" t="s">
        <v>21</v>
      </c>
      <c r="F164" t="s">
        <v>44</v>
      </c>
      <c r="G164" t="s">
        <v>40</v>
      </c>
      <c r="H164">
        <v>0</v>
      </c>
      <c r="I164">
        <v>5177</v>
      </c>
      <c r="J164">
        <v>-5177</v>
      </c>
      <c r="L164">
        <v>33</v>
      </c>
      <c r="M164">
        <v>14497</v>
      </c>
      <c r="N164" t="s">
        <v>67</v>
      </c>
      <c r="O164" t="s">
        <v>68</v>
      </c>
    </row>
    <row r="165" spans="2:15" x14ac:dyDescent="0.25">
      <c r="B165" t="s">
        <v>15</v>
      </c>
      <c r="C165" s="4">
        <v>44603</v>
      </c>
      <c r="D165">
        <v>2</v>
      </c>
      <c r="E165" t="s">
        <v>38</v>
      </c>
      <c r="F165" t="s">
        <v>39</v>
      </c>
      <c r="G165" t="s">
        <v>40</v>
      </c>
      <c r="H165">
        <v>55672</v>
      </c>
      <c r="I165">
        <v>0</v>
      </c>
      <c r="J165">
        <v>55672</v>
      </c>
      <c r="L165">
        <v>33</v>
      </c>
      <c r="M165">
        <v>148803</v>
      </c>
      <c r="N165" t="s">
        <v>45</v>
      </c>
      <c r="O165" t="s">
        <v>46</v>
      </c>
    </row>
    <row r="166" spans="2:15" x14ac:dyDescent="0.25">
      <c r="B166" t="s">
        <v>15</v>
      </c>
      <c r="C166" s="4">
        <v>44603</v>
      </c>
      <c r="D166">
        <v>2</v>
      </c>
      <c r="E166" t="s">
        <v>16</v>
      </c>
      <c r="F166" t="s">
        <v>43</v>
      </c>
      <c r="G166" t="s">
        <v>40</v>
      </c>
      <c r="H166">
        <v>10578</v>
      </c>
      <c r="I166">
        <v>0</v>
      </c>
      <c r="J166">
        <v>10578</v>
      </c>
      <c r="L166">
        <v>33</v>
      </c>
      <c r="M166">
        <v>148803</v>
      </c>
      <c r="N166" t="s">
        <v>45</v>
      </c>
      <c r="O166" t="s">
        <v>46</v>
      </c>
    </row>
    <row r="167" spans="2:15" x14ac:dyDescent="0.25">
      <c r="B167" t="s">
        <v>15</v>
      </c>
      <c r="C167" s="4">
        <v>44603</v>
      </c>
      <c r="D167">
        <v>2</v>
      </c>
      <c r="E167" t="s">
        <v>21</v>
      </c>
      <c r="F167" t="s">
        <v>44</v>
      </c>
      <c r="G167" t="s">
        <v>40</v>
      </c>
      <c r="H167">
        <v>0</v>
      </c>
      <c r="I167">
        <v>66250</v>
      </c>
      <c r="J167">
        <v>-66250</v>
      </c>
      <c r="L167">
        <v>33</v>
      </c>
      <c r="M167">
        <v>148803</v>
      </c>
      <c r="N167" t="s">
        <v>45</v>
      </c>
      <c r="O167" t="s">
        <v>46</v>
      </c>
    </row>
    <row r="168" spans="2:15" x14ac:dyDescent="0.25">
      <c r="B168" t="s">
        <v>15</v>
      </c>
      <c r="C168" s="4">
        <v>44607</v>
      </c>
      <c r="D168">
        <v>2</v>
      </c>
      <c r="E168" t="s">
        <v>38</v>
      </c>
      <c r="F168" t="s">
        <v>39</v>
      </c>
      <c r="G168" t="s">
        <v>40</v>
      </c>
      <c r="H168">
        <v>4370</v>
      </c>
      <c r="I168">
        <v>0</v>
      </c>
      <c r="J168">
        <v>4370</v>
      </c>
      <c r="L168">
        <v>33</v>
      </c>
      <c r="M168">
        <v>40406</v>
      </c>
      <c r="N168" t="s">
        <v>65</v>
      </c>
      <c r="O168" t="s">
        <v>66</v>
      </c>
    </row>
    <row r="169" spans="2:15" x14ac:dyDescent="0.25">
      <c r="B169" t="s">
        <v>15</v>
      </c>
      <c r="C169" s="4">
        <v>44607</v>
      </c>
      <c r="D169">
        <v>2</v>
      </c>
      <c r="E169" t="s">
        <v>16</v>
      </c>
      <c r="F169" t="s">
        <v>43</v>
      </c>
      <c r="G169" t="s">
        <v>40</v>
      </c>
      <c r="H169">
        <v>830</v>
      </c>
      <c r="I169">
        <v>0</v>
      </c>
      <c r="J169">
        <v>830</v>
      </c>
      <c r="L169">
        <v>33</v>
      </c>
      <c r="M169">
        <v>40406</v>
      </c>
      <c r="N169" t="s">
        <v>65</v>
      </c>
      <c r="O169" t="s">
        <v>66</v>
      </c>
    </row>
    <row r="170" spans="2:15" x14ac:dyDescent="0.25">
      <c r="B170" t="s">
        <v>15</v>
      </c>
      <c r="C170" s="4">
        <v>44607</v>
      </c>
      <c r="D170">
        <v>2</v>
      </c>
      <c r="E170" t="s">
        <v>21</v>
      </c>
      <c r="F170" t="s">
        <v>44</v>
      </c>
      <c r="G170" t="s">
        <v>40</v>
      </c>
      <c r="H170">
        <v>0</v>
      </c>
      <c r="I170">
        <v>5200</v>
      </c>
      <c r="J170">
        <v>-5200</v>
      </c>
      <c r="L170">
        <v>33</v>
      </c>
      <c r="M170">
        <v>40406</v>
      </c>
      <c r="N170" t="s">
        <v>65</v>
      </c>
      <c r="O170" t="s">
        <v>66</v>
      </c>
    </row>
    <row r="171" spans="2:15" x14ac:dyDescent="0.25">
      <c r="B171" t="s">
        <v>15</v>
      </c>
      <c r="C171" s="4">
        <v>44607</v>
      </c>
      <c r="D171">
        <v>2</v>
      </c>
      <c r="E171" t="s">
        <v>38</v>
      </c>
      <c r="F171" t="s">
        <v>39</v>
      </c>
      <c r="G171" t="s">
        <v>40</v>
      </c>
      <c r="H171">
        <v>12663</v>
      </c>
      <c r="I171">
        <v>0</v>
      </c>
      <c r="J171">
        <v>12663</v>
      </c>
      <c r="L171">
        <v>33</v>
      </c>
      <c r="M171">
        <v>659396</v>
      </c>
      <c r="N171" t="s">
        <v>49</v>
      </c>
      <c r="O171" t="s">
        <v>50</v>
      </c>
    </row>
    <row r="172" spans="2:15" x14ac:dyDescent="0.25">
      <c r="B172" t="s">
        <v>15</v>
      </c>
      <c r="C172" s="4">
        <v>44607</v>
      </c>
      <c r="D172">
        <v>2</v>
      </c>
      <c r="E172" t="s">
        <v>16</v>
      </c>
      <c r="F172" t="s">
        <v>43</v>
      </c>
      <c r="G172" t="s">
        <v>40</v>
      </c>
      <c r="H172">
        <v>2406</v>
      </c>
      <c r="I172">
        <v>0</v>
      </c>
      <c r="J172">
        <v>2406</v>
      </c>
      <c r="L172">
        <v>33</v>
      </c>
      <c r="M172">
        <v>659396</v>
      </c>
      <c r="N172" t="s">
        <v>49</v>
      </c>
      <c r="O172" t="s">
        <v>50</v>
      </c>
    </row>
    <row r="173" spans="2:15" x14ac:dyDescent="0.25">
      <c r="B173" t="s">
        <v>15</v>
      </c>
      <c r="C173" s="4">
        <v>44607</v>
      </c>
      <c r="D173">
        <v>2</v>
      </c>
      <c r="E173" t="s">
        <v>21</v>
      </c>
      <c r="F173" t="s">
        <v>44</v>
      </c>
      <c r="G173" t="s">
        <v>40</v>
      </c>
      <c r="H173">
        <v>0</v>
      </c>
      <c r="I173">
        <v>15069</v>
      </c>
      <c r="J173">
        <v>-15069</v>
      </c>
      <c r="L173">
        <v>33</v>
      </c>
      <c r="M173">
        <v>659396</v>
      </c>
      <c r="N173" t="s">
        <v>49</v>
      </c>
      <c r="O173" t="s">
        <v>50</v>
      </c>
    </row>
    <row r="174" spans="2:15" x14ac:dyDescent="0.25">
      <c r="B174" t="s">
        <v>15</v>
      </c>
      <c r="C174" s="4">
        <v>44607</v>
      </c>
      <c r="D174">
        <v>2</v>
      </c>
      <c r="E174" t="s">
        <v>38</v>
      </c>
      <c r="F174" t="s">
        <v>39</v>
      </c>
      <c r="G174" t="s">
        <v>40</v>
      </c>
      <c r="H174">
        <v>60480</v>
      </c>
      <c r="I174">
        <v>0</v>
      </c>
      <c r="J174">
        <v>60480</v>
      </c>
      <c r="L174">
        <v>33</v>
      </c>
      <c r="M174">
        <v>365933</v>
      </c>
      <c r="N174" t="s">
        <v>51</v>
      </c>
      <c r="O174" t="s">
        <v>52</v>
      </c>
    </row>
    <row r="175" spans="2:15" x14ac:dyDescent="0.25">
      <c r="B175" t="s">
        <v>15</v>
      </c>
      <c r="C175" s="4">
        <v>44607</v>
      </c>
      <c r="D175">
        <v>2</v>
      </c>
      <c r="E175" t="s">
        <v>16</v>
      </c>
      <c r="F175" t="s">
        <v>43</v>
      </c>
      <c r="G175" t="s">
        <v>40</v>
      </c>
      <c r="H175">
        <v>11491</v>
      </c>
      <c r="I175">
        <v>0</v>
      </c>
      <c r="J175">
        <v>11491</v>
      </c>
      <c r="L175">
        <v>33</v>
      </c>
      <c r="M175">
        <v>365933</v>
      </c>
      <c r="N175" t="s">
        <v>51</v>
      </c>
      <c r="O175" t="s">
        <v>52</v>
      </c>
    </row>
    <row r="176" spans="2:15" x14ac:dyDescent="0.25">
      <c r="B176" t="s">
        <v>15</v>
      </c>
      <c r="C176" s="4">
        <v>44607</v>
      </c>
      <c r="D176">
        <v>2</v>
      </c>
      <c r="E176" t="s">
        <v>21</v>
      </c>
      <c r="F176" t="s">
        <v>44</v>
      </c>
      <c r="G176" t="s">
        <v>40</v>
      </c>
      <c r="H176">
        <v>0</v>
      </c>
      <c r="I176">
        <v>71971</v>
      </c>
      <c r="J176">
        <v>-71971</v>
      </c>
      <c r="L176">
        <v>33</v>
      </c>
      <c r="M176">
        <v>365933</v>
      </c>
      <c r="N176" t="s">
        <v>51</v>
      </c>
      <c r="O176" t="s">
        <v>52</v>
      </c>
    </row>
    <row r="177" spans="2:15" x14ac:dyDescent="0.25">
      <c r="B177" t="s">
        <v>15</v>
      </c>
      <c r="C177" s="4">
        <v>44608</v>
      </c>
      <c r="D177">
        <v>2</v>
      </c>
      <c r="E177" t="s">
        <v>38</v>
      </c>
      <c r="F177" t="s">
        <v>39</v>
      </c>
      <c r="G177" t="s">
        <v>40</v>
      </c>
      <c r="H177">
        <v>25750</v>
      </c>
      <c r="I177">
        <v>0</v>
      </c>
      <c r="J177">
        <v>25750</v>
      </c>
      <c r="L177">
        <v>33</v>
      </c>
      <c r="M177">
        <v>365984</v>
      </c>
      <c r="N177" t="s">
        <v>51</v>
      </c>
      <c r="O177" t="s">
        <v>52</v>
      </c>
    </row>
    <row r="178" spans="2:15" x14ac:dyDescent="0.25">
      <c r="B178" t="s">
        <v>15</v>
      </c>
      <c r="C178" s="4">
        <v>44608</v>
      </c>
      <c r="D178">
        <v>2</v>
      </c>
      <c r="E178" t="s">
        <v>16</v>
      </c>
      <c r="F178" t="s">
        <v>43</v>
      </c>
      <c r="G178" t="s">
        <v>40</v>
      </c>
      <c r="H178">
        <v>4893</v>
      </c>
      <c r="I178">
        <v>0</v>
      </c>
      <c r="J178">
        <v>4893</v>
      </c>
      <c r="L178">
        <v>33</v>
      </c>
      <c r="M178">
        <v>365984</v>
      </c>
      <c r="N178" t="s">
        <v>51</v>
      </c>
      <c r="O178" t="s">
        <v>52</v>
      </c>
    </row>
    <row r="179" spans="2:15" x14ac:dyDescent="0.25">
      <c r="B179" t="s">
        <v>15</v>
      </c>
      <c r="C179" s="4">
        <v>44608</v>
      </c>
      <c r="D179">
        <v>2</v>
      </c>
      <c r="E179" t="s">
        <v>21</v>
      </c>
      <c r="F179" t="s">
        <v>44</v>
      </c>
      <c r="G179" t="s">
        <v>40</v>
      </c>
      <c r="H179">
        <v>0</v>
      </c>
      <c r="I179">
        <v>30643</v>
      </c>
      <c r="J179">
        <v>-30643</v>
      </c>
      <c r="L179">
        <v>33</v>
      </c>
      <c r="M179">
        <v>365984</v>
      </c>
      <c r="N179" t="s">
        <v>51</v>
      </c>
      <c r="O179" t="s">
        <v>52</v>
      </c>
    </row>
    <row r="180" spans="2:15" x14ac:dyDescent="0.25">
      <c r="B180" t="s">
        <v>15</v>
      </c>
      <c r="C180" s="4">
        <v>44609</v>
      </c>
      <c r="D180">
        <v>2</v>
      </c>
      <c r="E180" t="s">
        <v>38</v>
      </c>
      <c r="F180" t="s">
        <v>39</v>
      </c>
      <c r="G180" t="s">
        <v>40</v>
      </c>
      <c r="H180">
        <v>86220</v>
      </c>
      <c r="I180">
        <v>0</v>
      </c>
      <c r="J180">
        <v>86220</v>
      </c>
      <c r="L180">
        <v>33</v>
      </c>
      <c r="M180">
        <v>366203</v>
      </c>
      <c r="N180" t="s">
        <v>51</v>
      </c>
      <c r="O180" t="s">
        <v>52</v>
      </c>
    </row>
    <row r="181" spans="2:15" x14ac:dyDescent="0.25">
      <c r="B181" t="s">
        <v>15</v>
      </c>
      <c r="C181" s="4">
        <v>44609</v>
      </c>
      <c r="D181">
        <v>2</v>
      </c>
      <c r="E181" t="s">
        <v>16</v>
      </c>
      <c r="F181" t="s">
        <v>43</v>
      </c>
      <c r="G181" t="s">
        <v>40</v>
      </c>
      <c r="H181">
        <v>16382</v>
      </c>
      <c r="I181">
        <v>0</v>
      </c>
      <c r="J181">
        <v>16382</v>
      </c>
      <c r="L181">
        <v>33</v>
      </c>
      <c r="M181">
        <v>366203</v>
      </c>
      <c r="N181" t="s">
        <v>51</v>
      </c>
      <c r="O181" t="s">
        <v>52</v>
      </c>
    </row>
    <row r="182" spans="2:15" x14ac:dyDescent="0.25">
      <c r="B182" t="s">
        <v>15</v>
      </c>
      <c r="C182" s="4">
        <v>44609</v>
      </c>
      <c r="D182">
        <v>2</v>
      </c>
      <c r="E182" t="s">
        <v>21</v>
      </c>
      <c r="F182" t="s">
        <v>44</v>
      </c>
      <c r="G182" t="s">
        <v>40</v>
      </c>
      <c r="H182">
        <v>0</v>
      </c>
      <c r="I182">
        <v>102602</v>
      </c>
      <c r="J182">
        <v>-102602</v>
      </c>
      <c r="L182">
        <v>33</v>
      </c>
      <c r="M182">
        <v>366203</v>
      </c>
      <c r="N182" t="s">
        <v>51</v>
      </c>
      <c r="O182" t="s">
        <v>52</v>
      </c>
    </row>
    <row r="183" spans="2:15" x14ac:dyDescent="0.25">
      <c r="B183" t="s">
        <v>15</v>
      </c>
      <c r="C183" s="4">
        <v>44608</v>
      </c>
      <c r="D183">
        <v>2</v>
      </c>
      <c r="E183" t="s">
        <v>38</v>
      </c>
      <c r="F183" t="s">
        <v>39</v>
      </c>
      <c r="G183" t="s">
        <v>40</v>
      </c>
      <c r="H183">
        <v>35261</v>
      </c>
      <c r="I183">
        <v>0</v>
      </c>
      <c r="J183">
        <v>35261</v>
      </c>
      <c r="L183">
        <v>33</v>
      </c>
      <c r="M183">
        <v>9596883</v>
      </c>
      <c r="N183" t="s">
        <v>57</v>
      </c>
      <c r="O183" t="s">
        <v>58</v>
      </c>
    </row>
    <row r="184" spans="2:15" x14ac:dyDescent="0.25">
      <c r="B184" t="s">
        <v>15</v>
      </c>
      <c r="C184" s="4">
        <v>44608</v>
      </c>
      <c r="D184">
        <v>2</v>
      </c>
      <c r="E184" t="s">
        <v>16</v>
      </c>
      <c r="F184" t="s">
        <v>43</v>
      </c>
      <c r="G184" t="s">
        <v>40</v>
      </c>
      <c r="H184">
        <v>6699</v>
      </c>
      <c r="I184">
        <v>0</v>
      </c>
      <c r="J184">
        <v>6699</v>
      </c>
      <c r="L184">
        <v>33</v>
      </c>
      <c r="M184">
        <v>9596883</v>
      </c>
      <c r="N184" t="s">
        <v>57</v>
      </c>
      <c r="O184" t="s">
        <v>58</v>
      </c>
    </row>
    <row r="185" spans="2:15" x14ac:dyDescent="0.25">
      <c r="B185" t="s">
        <v>15</v>
      </c>
      <c r="C185" s="4">
        <v>44608</v>
      </c>
      <c r="D185">
        <v>2</v>
      </c>
      <c r="E185" t="s">
        <v>21</v>
      </c>
      <c r="F185" t="s">
        <v>44</v>
      </c>
      <c r="G185" t="s">
        <v>40</v>
      </c>
      <c r="H185">
        <v>0</v>
      </c>
      <c r="I185">
        <v>41960</v>
      </c>
      <c r="J185">
        <v>-41960</v>
      </c>
      <c r="L185">
        <v>33</v>
      </c>
      <c r="M185">
        <v>9596883</v>
      </c>
      <c r="N185" t="s">
        <v>57</v>
      </c>
      <c r="O185" t="s">
        <v>58</v>
      </c>
    </row>
    <row r="186" spans="2:15" x14ac:dyDescent="0.25">
      <c r="B186" t="s">
        <v>15</v>
      </c>
      <c r="C186" s="4">
        <v>44613</v>
      </c>
      <c r="D186">
        <v>2</v>
      </c>
      <c r="E186" t="s">
        <v>38</v>
      </c>
      <c r="F186" t="s">
        <v>39</v>
      </c>
      <c r="G186" t="s">
        <v>40</v>
      </c>
      <c r="H186">
        <v>43783</v>
      </c>
      <c r="I186">
        <v>0</v>
      </c>
      <c r="J186">
        <v>43783</v>
      </c>
      <c r="L186">
        <v>33</v>
      </c>
      <c r="M186">
        <v>660068</v>
      </c>
      <c r="N186" t="s">
        <v>49</v>
      </c>
      <c r="O186" t="s">
        <v>50</v>
      </c>
    </row>
    <row r="187" spans="2:15" x14ac:dyDescent="0.25">
      <c r="B187" t="s">
        <v>15</v>
      </c>
      <c r="C187" s="4">
        <v>44613</v>
      </c>
      <c r="D187">
        <v>2</v>
      </c>
      <c r="E187" t="s">
        <v>16</v>
      </c>
      <c r="F187" t="s">
        <v>43</v>
      </c>
      <c r="G187" t="s">
        <v>40</v>
      </c>
      <c r="H187">
        <v>8319</v>
      </c>
      <c r="I187">
        <v>0</v>
      </c>
      <c r="J187">
        <v>8319</v>
      </c>
      <c r="L187">
        <v>33</v>
      </c>
      <c r="M187">
        <v>660068</v>
      </c>
      <c r="N187" t="s">
        <v>49</v>
      </c>
      <c r="O187" t="s">
        <v>50</v>
      </c>
    </row>
    <row r="188" spans="2:15" x14ac:dyDescent="0.25">
      <c r="B188" t="s">
        <v>15</v>
      </c>
      <c r="C188" s="4">
        <v>44613</v>
      </c>
      <c r="D188">
        <v>2</v>
      </c>
      <c r="E188" t="s">
        <v>21</v>
      </c>
      <c r="F188" t="s">
        <v>44</v>
      </c>
      <c r="G188" t="s">
        <v>40</v>
      </c>
      <c r="H188">
        <v>0</v>
      </c>
      <c r="I188">
        <v>52102</v>
      </c>
      <c r="J188">
        <v>-52102</v>
      </c>
      <c r="L188">
        <v>33</v>
      </c>
      <c r="M188">
        <v>660068</v>
      </c>
      <c r="N188" t="s">
        <v>49</v>
      </c>
      <c r="O188" t="s">
        <v>50</v>
      </c>
    </row>
    <row r="189" spans="2:15" x14ac:dyDescent="0.25">
      <c r="B189" t="s">
        <v>15</v>
      </c>
      <c r="C189" s="4">
        <v>44614</v>
      </c>
      <c r="D189">
        <v>2</v>
      </c>
      <c r="E189" t="s">
        <v>38</v>
      </c>
      <c r="F189" t="s">
        <v>39</v>
      </c>
      <c r="G189" t="s">
        <v>40</v>
      </c>
      <c r="H189">
        <v>39510</v>
      </c>
      <c r="I189">
        <v>0</v>
      </c>
      <c r="J189">
        <v>39510</v>
      </c>
      <c r="L189">
        <v>33</v>
      </c>
      <c r="M189">
        <v>366759</v>
      </c>
      <c r="N189" t="s">
        <v>51</v>
      </c>
      <c r="O189" t="s">
        <v>52</v>
      </c>
    </row>
    <row r="190" spans="2:15" x14ac:dyDescent="0.25">
      <c r="B190" t="s">
        <v>15</v>
      </c>
      <c r="C190" s="4">
        <v>44614</v>
      </c>
      <c r="D190">
        <v>2</v>
      </c>
      <c r="E190" t="s">
        <v>16</v>
      </c>
      <c r="F190" t="s">
        <v>43</v>
      </c>
      <c r="G190" t="s">
        <v>40</v>
      </c>
      <c r="H190">
        <v>7507</v>
      </c>
      <c r="I190">
        <v>0</v>
      </c>
      <c r="J190">
        <v>7507</v>
      </c>
      <c r="L190">
        <v>33</v>
      </c>
      <c r="M190">
        <v>366759</v>
      </c>
      <c r="N190" t="s">
        <v>51</v>
      </c>
      <c r="O190" t="s">
        <v>52</v>
      </c>
    </row>
    <row r="191" spans="2:15" x14ac:dyDescent="0.25">
      <c r="B191" t="s">
        <v>15</v>
      </c>
      <c r="C191" s="4">
        <v>44614</v>
      </c>
      <c r="D191">
        <v>2</v>
      </c>
      <c r="E191" t="s">
        <v>21</v>
      </c>
      <c r="F191" t="s">
        <v>44</v>
      </c>
      <c r="G191" t="s">
        <v>40</v>
      </c>
      <c r="H191">
        <v>0</v>
      </c>
      <c r="I191">
        <v>47017</v>
      </c>
      <c r="J191">
        <v>-47017</v>
      </c>
      <c r="L191">
        <v>33</v>
      </c>
      <c r="M191">
        <v>366759</v>
      </c>
      <c r="N191" t="s">
        <v>51</v>
      </c>
      <c r="O191" t="s">
        <v>52</v>
      </c>
    </row>
    <row r="192" spans="2:15" x14ac:dyDescent="0.25">
      <c r="B192" t="s">
        <v>15</v>
      </c>
      <c r="C192" s="4">
        <v>44614</v>
      </c>
      <c r="D192">
        <v>2</v>
      </c>
      <c r="E192" t="s">
        <v>38</v>
      </c>
      <c r="F192" t="s">
        <v>39</v>
      </c>
      <c r="G192" t="s">
        <v>40</v>
      </c>
      <c r="H192">
        <v>406525</v>
      </c>
      <c r="I192">
        <v>0</v>
      </c>
      <c r="J192">
        <v>406525</v>
      </c>
      <c r="L192">
        <v>33</v>
      </c>
      <c r="M192">
        <v>168743</v>
      </c>
      <c r="N192" t="s">
        <v>53</v>
      </c>
      <c r="O192" t="s">
        <v>54</v>
      </c>
    </row>
    <row r="193" spans="2:15" x14ac:dyDescent="0.25">
      <c r="B193" t="s">
        <v>15</v>
      </c>
      <c r="C193" s="4">
        <v>44614</v>
      </c>
      <c r="D193">
        <v>2</v>
      </c>
      <c r="E193" t="s">
        <v>16</v>
      </c>
      <c r="F193" t="s">
        <v>43</v>
      </c>
      <c r="G193" t="s">
        <v>40</v>
      </c>
      <c r="H193">
        <v>77240</v>
      </c>
      <c r="I193">
        <v>0</v>
      </c>
      <c r="J193">
        <v>77240</v>
      </c>
      <c r="L193">
        <v>33</v>
      </c>
      <c r="M193">
        <v>168743</v>
      </c>
      <c r="N193" t="s">
        <v>53</v>
      </c>
      <c r="O193" t="s">
        <v>54</v>
      </c>
    </row>
    <row r="194" spans="2:15" x14ac:dyDescent="0.25">
      <c r="B194" t="s">
        <v>15</v>
      </c>
      <c r="C194" s="4">
        <v>44614</v>
      </c>
      <c r="D194">
        <v>2</v>
      </c>
      <c r="E194" t="s">
        <v>21</v>
      </c>
      <c r="F194" t="s">
        <v>44</v>
      </c>
      <c r="G194" t="s">
        <v>40</v>
      </c>
      <c r="H194">
        <v>0</v>
      </c>
      <c r="I194">
        <v>483765</v>
      </c>
      <c r="J194">
        <v>-483765</v>
      </c>
      <c r="L194">
        <v>33</v>
      </c>
      <c r="M194">
        <v>168743</v>
      </c>
      <c r="N194" t="s">
        <v>53</v>
      </c>
      <c r="O194" t="s">
        <v>54</v>
      </c>
    </row>
    <row r="195" spans="2:15" x14ac:dyDescent="0.25">
      <c r="B195" t="s">
        <v>15</v>
      </c>
      <c r="C195" s="4">
        <v>44614</v>
      </c>
      <c r="D195">
        <v>2</v>
      </c>
      <c r="E195" t="s">
        <v>38</v>
      </c>
      <c r="F195" t="s">
        <v>39</v>
      </c>
      <c r="G195" t="s">
        <v>40</v>
      </c>
      <c r="H195">
        <v>86580</v>
      </c>
      <c r="I195">
        <v>0</v>
      </c>
      <c r="J195">
        <v>86580</v>
      </c>
      <c r="L195">
        <v>33</v>
      </c>
      <c r="M195">
        <v>366840</v>
      </c>
      <c r="N195" t="s">
        <v>51</v>
      </c>
      <c r="O195" t="s">
        <v>52</v>
      </c>
    </row>
    <row r="196" spans="2:15" x14ac:dyDescent="0.25">
      <c r="B196" t="s">
        <v>15</v>
      </c>
      <c r="C196" s="4">
        <v>44614</v>
      </c>
      <c r="D196">
        <v>2</v>
      </c>
      <c r="E196" t="s">
        <v>16</v>
      </c>
      <c r="F196" t="s">
        <v>43</v>
      </c>
      <c r="G196" t="s">
        <v>40</v>
      </c>
      <c r="H196">
        <v>16450</v>
      </c>
      <c r="I196">
        <v>0</v>
      </c>
      <c r="J196">
        <v>16450</v>
      </c>
      <c r="L196">
        <v>33</v>
      </c>
      <c r="M196">
        <v>366840</v>
      </c>
      <c r="N196" t="s">
        <v>51</v>
      </c>
      <c r="O196" t="s">
        <v>52</v>
      </c>
    </row>
    <row r="197" spans="2:15" x14ac:dyDescent="0.25">
      <c r="B197" t="s">
        <v>15</v>
      </c>
      <c r="C197" s="4">
        <v>44614</v>
      </c>
      <c r="D197">
        <v>2</v>
      </c>
      <c r="E197" t="s">
        <v>21</v>
      </c>
      <c r="F197" t="s">
        <v>44</v>
      </c>
      <c r="G197" t="s">
        <v>40</v>
      </c>
      <c r="H197">
        <v>0</v>
      </c>
      <c r="I197">
        <v>103030</v>
      </c>
      <c r="J197">
        <v>-103030</v>
      </c>
      <c r="L197">
        <v>33</v>
      </c>
      <c r="M197">
        <v>366840</v>
      </c>
      <c r="N197" t="s">
        <v>51</v>
      </c>
      <c r="O197" t="s">
        <v>52</v>
      </c>
    </row>
    <row r="198" spans="2:15" x14ac:dyDescent="0.25">
      <c r="B198" t="s">
        <v>15</v>
      </c>
      <c r="C198" s="4">
        <v>44614</v>
      </c>
      <c r="D198">
        <v>2</v>
      </c>
      <c r="E198" t="s">
        <v>38</v>
      </c>
      <c r="F198" t="s">
        <v>39</v>
      </c>
      <c r="G198" t="s">
        <v>40</v>
      </c>
      <c r="H198">
        <v>52680</v>
      </c>
      <c r="I198">
        <v>0</v>
      </c>
      <c r="J198">
        <v>52680</v>
      </c>
      <c r="L198">
        <v>33</v>
      </c>
      <c r="M198">
        <v>366843</v>
      </c>
      <c r="N198" t="s">
        <v>51</v>
      </c>
      <c r="O198" t="s">
        <v>52</v>
      </c>
    </row>
    <row r="199" spans="2:15" x14ac:dyDescent="0.25">
      <c r="B199" t="s">
        <v>15</v>
      </c>
      <c r="C199" s="4">
        <v>44614</v>
      </c>
      <c r="D199">
        <v>2</v>
      </c>
      <c r="E199" t="s">
        <v>16</v>
      </c>
      <c r="F199" t="s">
        <v>43</v>
      </c>
      <c r="G199" t="s">
        <v>40</v>
      </c>
      <c r="H199">
        <v>10009</v>
      </c>
      <c r="I199">
        <v>0</v>
      </c>
      <c r="J199">
        <v>10009</v>
      </c>
      <c r="L199">
        <v>33</v>
      </c>
      <c r="M199">
        <v>366843</v>
      </c>
      <c r="N199" t="s">
        <v>51</v>
      </c>
      <c r="O199" t="s">
        <v>52</v>
      </c>
    </row>
    <row r="200" spans="2:15" x14ac:dyDescent="0.25">
      <c r="B200" t="s">
        <v>15</v>
      </c>
      <c r="C200" s="4">
        <v>44614</v>
      </c>
      <c r="D200">
        <v>2</v>
      </c>
      <c r="E200" t="s">
        <v>21</v>
      </c>
      <c r="F200" t="s">
        <v>44</v>
      </c>
      <c r="G200" t="s">
        <v>40</v>
      </c>
      <c r="H200">
        <v>0</v>
      </c>
      <c r="I200">
        <v>62689</v>
      </c>
      <c r="J200">
        <v>-62689</v>
      </c>
      <c r="L200">
        <v>33</v>
      </c>
      <c r="M200">
        <v>366843</v>
      </c>
      <c r="N200" t="s">
        <v>51</v>
      </c>
      <c r="O200" t="s">
        <v>52</v>
      </c>
    </row>
    <row r="201" spans="2:15" x14ac:dyDescent="0.25">
      <c r="B201" t="s">
        <v>15</v>
      </c>
      <c r="C201" s="4">
        <v>44614</v>
      </c>
      <c r="D201">
        <v>2</v>
      </c>
      <c r="E201" t="s">
        <v>38</v>
      </c>
      <c r="F201" t="s">
        <v>39</v>
      </c>
      <c r="G201" t="s">
        <v>40</v>
      </c>
      <c r="H201">
        <v>44276</v>
      </c>
      <c r="I201">
        <v>0</v>
      </c>
      <c r="J201">
        <v>44276</v>
      </c>
      <c r="L201">
        <v>33</v>
      </c>
      <c r="M201">
        <v>660287</v>
      </c>
      <c r="N201" t="s">
        <v>49</v>
      </c>
      <c r="O201" t="s">
        <v>50</v>
      </c>
    </row>
    <row r="202" spans="2:15" x14ac:dyDescent="0.25">
      <c r="B202" t="s">
        <v>15</v>
      </c>
      <c r="C202" s="4">
        <v>44614</v>
      </c>
      <c r="D202">
        <v>2</v>
      </c>
      <c r="E202" t="s">
        <v>16</v>
      </c>
      <c r="F202" t="s">
        <v>43</v>
      </c>
      <c r="G202" t="s">
        <v>40</v>
      </c>
      <c r="H202">
        <v>8412</v>
      </c>
      <c r="I202">
        <v>0</v>
      </c>
      <c r="J202">
        <v>8412</v>
      </c>
      <c r="L202">
        <v>33</v>
      </c>
      <c r="M202">
        <v>660287</v>
      </c>
      <c r="N202" t="s">
        <v>49</v>
      </c>
      <c r="O202" t="s">
        <v>50</v>
      </c>
    </row>
    <row r="203" spans="2:15" x14ac:dyDescent="0.25">
      <c r="B203" t="s">
        <v>15</v>
      </c>
      <c r="C203" s="4">
        <v>44614</v>
      </c>
      <c r="D203">
        <v>2</v>
      </c>
      <c r="E203" t="s">
        <v>21</v>
      </c>
      <c r="F203" t="s">
        <v>44</v>
      </c>
      <c r="G203" t="s">
        <v>40</v>
      </c>
      <c r="H203">
        <v>0</v>
      </c>
      <c r="I203">
        <v>52688</v>
      </c>
      <c r="J203">
        <v>-52688</v>
      </c>
      <c r="L203">
        <v>33</v>
      </c>
      <c r="M203">
        <v>660287</v>
      </c>
      <c r="N203" t="s">
        <v>49</v>
      </c>
      <c r="O203" t="s">
        <v>50</v>
      </c>
    </row>
    <row r="204" spans="2:15" x14ac:dyDescent="0.25">
      <c r="B204" t="s">
        <v>15</v>
      </c>
      <c r="C204" s="4">
        <v>44614</v>
      </c>
      <c r="D204">
        <v>2</v>
      </c>
      <c r="E204" t="s">
        <v>38</v>
      </c>
      <c r="F204" t="s">
        <v>39</v>
      </c>
      <c r="G204" t="s">
        <v>40</v>
      </c>
      <c r="H204">
        <v>14749</v>
      </c>
      <c r="I204">
        <v>0</v>
      </c>
      <c r="J204">
        <v>14749</v>
      </c>
      <c r="L204">
        <v>33</v>
      </c>
      <c r="M204">
        <v>288345</v>
      </c>
      <c r="N204" t="s">
        <v>63</v>
      </c>
      <c r="O204" t="s">
        <v>64</v>
      </c>
    </row>
    <row r="205" spans="2:15" x14ac:dyDescent="0.25">
      <c r="B205" t="s">
        <v>15</v>
      </c>
      <c r="C205" s="4">
        <v>44614</v>
      </c>
      <c r="D205">
        <v>2</v>
      </c>
      <c r="E205" t="s">
        <v>16</v>
      </c>
      <c r="F205" t="s">
        <v>43</v>
      </c>
      <c r="G205" t="s">
        <v>40</v>
      </c>
      <c r="H205">
        <v>2802</v>
      </c>
      <c r="I205">
        <v>0</v>
      </c>
      <c r="J205">
        <v>2802</v>
      </c>
      <c r="L205">
        <v>33</v>
      </c>
      <c r="M205">
        <v>288345</v>
      </c>
      <c r="N205" t="s">
        <v>63</v>
      </c>
      <c r="O205" t="s">
        <v>64</v>
      </c>
    </row>
    <row r="206" spans="2:15" x14ac:dyDescent="0.25">
      <c r="B206" t="s">
        <v>15</v>
      </c>
      <c r="C206" s="4">
        <v>44614</v>
      </c>
      <c r="D206">
        <v>2</v>
      </c>
      <c r="E206" t="s">
        <v>21</v>
      </c>
      <c r="F206" t="s">
        <v>44</v>
      </c>
      <c r="G206" t="s">
        <v>40</v>
      </c>
      <c r="H206">
        <v>0</v>
      </c>
      <c r="I206">
        <v>17551</v>
      </c>
      <c r="J206">
        <v>-17551</v>
      </c>
      <c r="L206">
        <v>33</v>
      </c>
      <c r="M206">
        <v>288345</v>
      </c>
      <c r="N206" t="s">
        <v>63</v>
      </c>
      <c r="O206" t="s">
        <v>64</v>
      </c>
    </row>
    <row r="207" spans="2:15" x14ac:dyDescent="0.25">
      <c r="B207" t="s">
        <v>15</v>
      </c>
      <c r="C207" s="4">
        <v>44614</v>
      </c>
      <c r="D207">
        <v>2</v>
      </c>
      <c r="E207" t="s">
        <v>38</v>
      </c>
      <c r="F207" t="s">
        <v>39</v>
      </c>
      <c r="G207" t="s">
        <v>40</v>
      </c>
      <c r="H207">
        <v>46420</v>
      </c>
      <c r="I207">
        <v>0</v>
      </c>
      <c r="J207">
        <v>46420</v>
      </c>
      <c r="L207">
        <v>33</v>
      </c>
      <c r="M207">
        <v>366951</v>
      </c>
      <c r="N207" t="s">
        <v>51</v>
      </c>
      <c r="O207" t="s">
        <v>52</v>
      </c>
    </row>
    <row r="208" spans="2:15" x14ac:dyDescent="0.25">
      <c r="B208" t="s">
        <v>15</v>
      </c>
      <c r="C208" s="4">
        <v>44614</v>
      </c>
      <c r="D208">
        <v>2</v>
      </c>
      <c r="E208" t="s">
        <v>16</v>
      </c>
      <c r="F208" t="s">
        <v>43</v>
      </c>
      <c r="G208" t="s">
        <v>40</v>
      </c>
      <c r="H208">
        <v>8820</v>
      </c>
      <c r="I208">
        <v>0</v>
      </c>
      <c r="J208">
        <v>8820</v>
      </c>
      <c r="L208">
        <v>33</v>
      </c>
      <c r="M208">
        <v>366951</v>
      </c>
      <c r="N208" t="s">
        <v>51</v>
      </c>
      <c r="O208" t="s">
        <v>52</v>
      </c>
    </row>
    <row r="209" spans="2:15" x14ac:dyDescent="0.25">
      <c r="B209" t="s">
        <v>15</v>
      </c>
      <c r="C209" s="4">
        <v>44614</v>
      </c>
      <c r="D209">
        <v>2</v>
      </c>
      <c r="E209" t="s">
        <v>21</v>
      </c>
      <c r="F209" t="s">
        <v>44</v>
      </c>
      <c r="G209" t="s">
        <v>40</v>
      </c>
      <c r="H209">
        <v>0</v>
      </c>
      <c r="I209">
        <v>55240</v>
      </c>
      <c r="J209">
        <v>-55240</v>
      </c>
      <c r="L209">
        <v>33</v>
      </c>
      <c r="M209">
        <v>366951</v>
      </c>
      <c r="N209" t="s">
        <v>51</v>
      </c>
      <c r="O209" t="s">
        <v>52</v>
      </c>
    </row>
    <row r="210" spans="2:15" x14ac:dyDescent="0.25">
      <c r="B210" t="s">
        <v>15</v>
      </c>
      <c r="C210" s="4">
        <v>44615</v>
      </c>
      <c r="D210">
        <v>2</v>
      </c>
      <c r="E210" t="s">
        <v>38</v>
      </c>
      <c r="F210" t="s">
        <v>39</v>
      </c>
      <c r="G210" t="s">
        <v>40</v>
      </c>
      <c r="H210">
        <v>32859</v>
      </c>
      <c r="I210">
        <v>0</v>
      </c>
      <c r="J210">
        <v>32859</v>
      </c>
      <c r="L210">
        <v>33</v>
      </c>
      <c r="M210">
        <v>288454</v>
      </c>
      <c r="N210" t="s">
        <v>63</v>
      </c>
      <c r="O210" t="s">
        <v>64</v>
      </c>
    </row>
    <row r="211" spans="2:15" x14ac:dyDescent="0.25">
      <c r="B211" t="s">
        <v>15</v>
      </c>
      <c r="C211" s="4">
        <v>44615</v>
      </c>
      <c r="D211">
        <v>2</v>
      </c>
      <c r="E211" t="s">
        <v>16</v>
      </c>
      <c r="F211" t="s">
        <v>43</v>
      </c>
      <c r="G211" t="s">
        <v>40</v>
      </c>
      <c r="H211">
        <v>6243</v>
      </c>
      <c r="I211">
        <v>0</v>
      </c>
      <c r="J211">
        <v>6243</v>
      </c>
      <c r="L211">
        <v>33</v>
      </c>
      <c r="M211">
        <v>288454</v>
      </c>
      <c r="N211" t="s">
        <v>63</v>
      </c>
      <c r="O211" t="s">
        <v>64</v>
      </c>
    </row>
    <row r="212" spans="2:15" x14ac:dyDescent="0.25">
      <c r="B212" t="s">
        <v>15</v>
      </c>
      <c r="C212" s="4">
        <v>44615</v>
      </c>
      <c r="D212">
        <v>2</v>
      </c>
      <c r="E212" t="s">
        <v>21</v>
      </c>
      <c r="F212" t="s">
        <v>44</v>
      </c>
      <c r="G212" t="s">
        <v>40</v>
      </c>
      <c r="H212">
        <v>0</v>
      </c>
      <c r="I212">
        <v>39102</v>
      </c>
      <c r="J212">
        <v>-39102</v>
      </c>
      <c r="L212">
        <v>33</v>
      </c>
      <c r="M212">
        <v>288454</v>
      </c>
      <c r="N212" t="s">
        <v>63</v>
      </c>
      <c r="O212" t="s">
        <v>64</v>
      </c>
    </row>
    <row r="213" spans="2:15" x14ac:dyDescent="0.25">
      <c r="B213" t="s">
        <v>15</v>
      </c>
      <c r="C213" s="4">
        <v>44615</v>
      </c>
      <c r="D213">
        <v>2</v>
      </c>
      <c r="E213" t="s">
        <v>38</v>
      </c>
      <c r="F213" t="s">
        <v>39</v>
      </c>
      <c r="G213" t="s">
        <v>40</v>
      </c>
      <c r="H213">
        <v>8739</v>
      </c>
      <c r="I213">
        <v>0</v>
      </c>
      <c r="J213">
        <v>8739</v>
      </c>
      <c r="L213">
        <v>33</v>
      </c>
      <c r="M213">
        <v>40705</v>
      </c>
      <c r="N213" t="s">
        <v>65</v>
      </c>
      <c r="O213" t="s">
        <v>66</v>
      </c>
    </row>
    <row r="214" spans="2:15" x14ac:dyDescent="0.25">
      <c r="B214" t="s">
        <v>15</v>
      </c>
      <c r="C214" s="4">
        <v>44615</v>
      </c>
      <c r="D214">
        <v>2</v>
      </c>
      <c r="E214" t="s">
        <v>16</v>
      </c>
      <c r="F214" t="s">
        <v>43</v>
      </c>
      <c r="G214" t="s">
        <v>40</v>
      </c>
      <c r="H214">
        <v>1660</v>
      </c>
      <c r="I214">
        <v>0</v>
      </c>
      <c r="J214">
        <v>1660</v>
      </c>
      <c r="L214">
        <v>33</v>
      </c>
      <c r="M214">
        <v>40705</v>
      </c>
      <c r="N214" t="s">
        <v>65</v>
      </c>
      <c r="O214" t="s">
        <v>66</v>
      </c>
    </row>
    <row r="215" spans="2:15" x14ac:dyDescent="0.25">
      <c r="B215" t="s">
        <v>15</v>
      </c>
      <c r="C215" s="4">
        <v>44615</v>
      </c>
      <c r="D215">
        <v>2</v>
      </c>
      <c r="E215" t="s">
        <v>21</v>
      </c>
      <c r="F215" t="s">
        <v>44</v>
      </c>
      <c r="G215" t="s">
        <v>40</v>
      </c>
      <c r="H215">
        <v>0</v>
      </c>
      <c r="I215">
        <v>10399</v>
      </c>
      <c r="J215">
        <v>-10399</v>
      </c>
      <c r="L215">
        <v>33</v>
      </c>
      <c r="M215">
        <v>40705</v>
      </c>
      <c r="N215" t="s">
        <v>65</v>
      </c>
      <c r="O215" t="s">
        <v>66</v>
      </c>
    </row>
    <row r="216" spans="2:15" x14ac:dyDescent="0.25">
      <c r="B216" t="s">
        <v>15</v>
      </c>
      <c r="C216" s="4">
        <v>44614</v>
      </c>
      <c r="D216">
        <v>2</v>
      </c>
      <c r="E216" t="s">
        <v>38</v>
      </c>
      <c r="F216" t="s">
        <v>39</v>
      </c>
      <c r="G216" t="s">
        <v>40</v>
      </c>
      <c r="H216">
        <v>135268</v>
      </c>
      <c r="I216">
        <v>0</v>
      </c>
      <c r="J216">
        <v>135268</v>
      </c>
      <c r="L216">
        <v>33</v>
      </c>
      <c r="M216">
        <v>288276</v>
      </c>
      <c r="N216" t="s">
        <v>63</v>
      </c>
      <c r="O216" t="s">
        <v>64</v>
      </c>
    </row>
    <row r="217" spans="2:15" x14ac:dyDescent="0.25">
      <c r="B217" t="s">
        <v>15</v>
      </c>
      <c r="C217" s="4">
        <v>44614</v>
      </c>
      <c r="D217">
        <v>2</v>
      </c>
      <c r="E217" t="s">
        <v>16</v>
      </c>
      <c r="F217" t="s">
        <v>43</v>
      </c>
      <c r="G217" t="s">
        <v>40</v>
      </c>
      <c r="H217">
        <v>25701</v>
      </c>
      <c r="I217">
        <v>0</v>
      </c>
      <c r="J217">
        <v>25701</v>
      </c>
      <c r="L217">
        <v>33</v>
      </c>
      <c r="M217">
        <v>288276</v>
      </c>
      <c r="N217" t="s">
        <v>63</v>
      </c>
      <c r="O217" t="s">
        <v>64</v>
      </c>
    </row>
    <row r="218" spans="2:15" x14ac:dyDescent="0.25">
      <c r="B218" t="s">
        <v>15</v>
      </c>
      <c r="C218" s="4">
        <v>44614</v>
      </c>
      <c r="D218">
        <v>2</v>
      </c>
      <c r="E218" t="s">
        <v>21</v>
      </c>
      <c r="F218" t="s">
        <v>44</v>
      </c>
      <c r="G218" t="s">
        <v>40</v>
      </c>
      <c r="H218">
        <v>0</v>
      </c>
      <c r="I218">
        <v>160969</v>
      </c>
      <c r="J218">
        <v>-160969</v>
      </c>
      <c r="L218">
        <v>33</v>
      </c>
      <c r="M218">
        <v>288276</v>
      </c>
      <c r="N218" t="s">
        <v>63</v>
      </c>
      <c r="O218" t="s">
        <v>64</v>
      </c>
    </row>
    <row r="219" spans="2:15" x14ac:dyDescent="0.25">
      <c r="B219" t="s">
        <v>15</v>
      </c>
      <c r="C219" s="4">
        <v>44617</v>
      </c>
      <c r="D219">
        <v>2</v>
      </c>
      <c r="E219" t="s">
        <v>38</v>
      </c>
      <c r="F219" t="s">
        <v>39</v>
      </c>
      <c r="G219" t="s">
        <v>40</v>
      </c>
      <c r="H219">
        <v>191760</v>
      </c>
      <c r="I219">
        <v>0</v>
      </c>
      <c r="J219">
        <v>191760</v>
      </c>
      <c r="L219">
        <v>33</v>
      </c>
      <c r="M219">
        <v>20973</v>
      </c>
      <c r="N219" t="s">
        <v>69</v>
      </c>
      <c r="O219" t="s">
        <v>70</v>
      </c>
    </row>
    <row r="220" spans="2:15" x14ac:dyDescent="0.25">
      <c r="B220" t="s">
        <v>15</v>
      </c>
      <c r="C220" s="4">
        <v>44617</v>
      </c>
      <c r="D220">
        <v>2</v>
      </c>
      <c r="E220" t="s">
        <v>16</v>
      </c>
      <c r="F220" t="s">
        <v>43</v>
      </c>
      <c r="G220" t="s">
        <v>40</v>
      </c>
      <c r="H220">
        <v>36434</v>
      </c>
      <c r="I220">
        <v>0</v>
      </c>
      <c r="J220">
        <v>36434</v>
      </c>
      <c r="L220">
        <v>33</v>
      </c>
      <c r="M220">
        <v>20973</v>
      </c>
      <c r="N220" t="s">
        <v>69</v>
      </c>
      <c r="O220" t="s">
        <v>70</v>
      </c>
    </row>
    <row r="221" spans="2:15" x14ac:dyDescent="0.25">
      <c r="B221" t="s">
        <v>15</v>
      </c>
      <c r="C221" s="4">
        <v>44617</v>
      </c>
      <c r="D221">
        <v>2</v>
      </c>
      <c r="E221" t="s">
        <v>21</v>
      </c>
      <c r="F221" t="s">
        <v>44</v>
      </c>
      <c r="G221" t="s">
        <v>40</v>
      </c>
      <c r="H221">
        <v>0</v>
      </c>
      <c r="I221">
        <v>228194</v>
      </c>
      <c r="J221">
        <v>-228194</v>
      </c>
      <c r="L221">
        <v>33</v>
      </c>
      <c r="M221">
        <v>20973</v>
      </c>
      <c r="N221" t="s">
        <v>69</v>
      </c>
      <c r="O221" t="s">
        <v>70</v>
      </c>
    </row>
    <row r="222" spans="2:15" x14ac:dyDescent="0.25">
      <c r="B222" t="s">
        <v>15</v>
      </c>
      <c r="C222" s="4">
        <v>44592</v>
      </c>
      <c r="D222">
        <v>2</v>
      </c>
      <c r="E222" t="s">
        <v>38</v>
      </c>
      <c r="F222" t="s">
        <v>39</v>
      </c>
      <c r="G222" t="s">
        <v>40</v>
      </c>
      <c r="H222">
        <v>109244</v>
      </c>
      <c r="I222">
        <v>0</v>
      </c>
      <c r="J222">
        <v>109244</v>
      </c>
      <c r="L222">
        <v>34</v>
      </c>
      <c r="M222">
        <v>78</v>
      </c>
      <c r="N222" t="s">
        <v>71</v>
      </c>
      <c r="O222" t="s">
        <v>72</v>
      </c>
    </row>
    <row r="223" spans="2:15" x14ac:dyDescent="0.25">
      <c r="B223" t="s">
        <v>15</v>
      </c>
      <c r="C223" s="4">
        <v>44592</v>
      </c>
      <c r="D223">
        <v>2</v>
      </c>
      <c r="E223" t="s">
        <v>16</v>
      </c>
      <c r="F223" t="s">
        <v>43</v>
      </c>
      <c r="G223" t="s">
        <v>40</v>
      </c>
      <c r="H223">
        <v>0</v>
      </c>
      <c r="I223">
        <v>0</v>
      </c>
      <c r="J223">
        <v>0</v>
      </c>
      <c r="L223">
        <v>34</v>
      </c>
      <c r="M223">
        <v>78</v>
      </c>
      <c r="N223" t="s">
        <v>71</v>
      </c>
      <c r="O223" t="s">
        <v>72</v>
      </c>
    </row>
    <row r="224" spans="2:15" x14ac:dyDescent="0.25">
      <c r="B224" t="s">
        <v>15</v>
      </c>
      <c r="C224" s="4">
        <v>44592</v>
      </c>
      <c r="D224">
        <v>2</v>
      </c>
      <c r="E224" t="s">
        <v>21</v>
      </c>
      <c r="F224" t="s">
        <v>44</v>
      </c>
      <c r="G224" t="s">
        <v>40</v>
      </c>
      <c r="H224">
        <v>0</v>
      </c>
      <c r="I224">
        <v>109244</v>
      </c>
      <c r="J224">
        <v>-109244</v>
      </c>
      <c r="L224">
        <v>34</v>
      </c>
      <c r="M224">
        <v>78</v>
      </c>
      <c r="N224" t="s">
        <v>71</v>
      </c>
      <c r="O224" t="s">
        <v>72</v>
      </c>
    </row>
    <row r="225" spans="2:15" x14ac:dyDescent="0.25">
      <c r="B225" t="s">
        <v>15</v>
      </c>
      <c r="C225" s="4">
        <v>44621</v>
      </c>
      <c r="D225">
        <v>3</v>
      </c>
      <c r="E225" t="s">
        <v>38</v>
      </c>
      <c r="F225" t="s">
        <v>39</v>
      </c>
      <c r="G225" t="s">
        <v>40</v>
      </c>
      <c r="H225">
        <v>135274</v>
      </c>
      <c r="I225">
        <v>0</v>
      </c>
      <c r="J225">
        <v>135274</v>
      </c>
      <c r="L225">
        <v>33</v>
      </c>
      <c r="M225">
        <v>288988</v>
      </c>
      <c r="N225" t="s">
        <v>63</v>
      </c>
      <c r="O225" t="s">
        <v>64</v>
      </c>
    </row>
    <row r="226" spans="2:15" x14ac:dyDescent="0.25">
      <c r="B226" t="s">
        <v>15</v>
      </c>
      <c r="C226" s="4">
        <v>44621</v>
      </c>
      <c r="D226">
        <v>3</v>
      </c>
      <c r="E226" t="s">
        <v>16</v>
      </c>
      <c r="F226" t="s">
        <v>43</v>
      </c>
      <c r="G226" t="s">
        <v>40</v>
      </c>
      <c r="H226">
        <v>25702</v>
      </c>
      <c r="I226">
        <v>0</v>
      </c>
      <c r="J226">
        <v>25702</v>
      </c>
      <c r="L226">
        <v>33</v>
      </c>
      <c r="M226">
        <v>288988</v>
      </c>
      <c r="N226" t="s">
        <v>63</v>
      </c>
      <c r="O226" t="s">
        <v>64</v>
      </c>
    </row>
    <row r="227" spans="2:15" x14ac:dyDescent="0.25">
      <c r="B227" t="s">
        <v>15</v>
      </c>
      <c r="C227" s="4">
        <v>44621</v>
      </c>
      <c r="D227">
        <v>3</v>
      </c>
      <c r="E227" t="s">
        <v>21</v>
      </c>
      <c r="F227" t="s">
        <v>44</v>
      </c>
      <c r="G227" t="s">
        <v>40</v>
      </c>
      <c r="H227">
        <v>0</v>
      </c>
      <c r="I227">
        <v>160976</v>
      </c>
      <c r="J227">
        <v>-160976</v>
      </c>
      <c r="L227">
        <v>33</v>
      </c>
      <c r="M227">
        <v>288988</v>
      </c>
      <c r="N227" t="s">
        <v>63</v>
      </c>
      <c r="O227" t="s">
        <v>64</v>
      </c>
    </row>
    <row r="228" spans="2:15" x14ac:dyDescent="0.25">
      <c r="B228" t="s">
        <v>15</v>
      </c>
      <c r="C228" s="4">
        <v>44630</v>
      </c>
      <c r="D228">
        <v>3</v>
      </c>
      <c r="E228" t="s">
        <v>38</v>
      </c>
      <c r="F228" t="s">
        <v>39</v>
      </c>
      <c r="G228" t="s">
        <v>40</v>
      </c>
      <c r="H228">
        <v>27227</v>
      </c>
      <c r="I228">
        <v>0</v>
      </c>
      <c r="J228">
        <v>27227</v>
      </c>
      <c r="L228">
        <v>33</v>
      </c>
      <c r="M228">
        <v>151309</v>
      </c>
      <c r="N228" t="s">
        <v>45</v>
      </c>
      <c r="O228" t="s">
        <v>46</v>
      </c>
    </row>
    <row r="229" spans="2:15" x14ac:dyDescent="0.25">
      <c r="B229" t="s">
        <v>15</v>
      </c>
      <c r="C229" s="4">
        <v>44630</v>
      </c>
      <c r="D229">
        <v>3</v>
      </c>
      <c r="E229" t="s">
        <v>16</v>
      </c>
      <c r="F229" t="s">
        <v>43</v>
      </c>
      <c r="G229" t="s">
        <v>40</v>
      </c>
      <c r="H229">
        <v>5173</v>
      </c>
      <c r="I229">
        <v>0</v>
      </c>
      <c r="J229">
        <v>5173</v>
      </c>
      <c r="L229">
        <v>33</v>
      </c>
      <c r="M229">
        <v>151309</v>
      </c>
      <c r="N229" t="s">
        <v>45</v>
      </c>
      <c r="O229" t="s">
        <v>46</v>
      </c>
    </row>
    <row r="230" spans="2:15" x14ac:dyDescent="0.25">
      <c r="B230" t="s">
        <v>15</v>
      </c>
      <c r="C230" s="4">
        <v>44630</v>
      </c>
      <c r="D230">
        <v>3</v>
      </c>
      <c r="E230" t="s">
        <v>21</v>
      </c>
      <c r="F230" t="s">
        <v>44</v>
      </c>
      <c r="G230" t="s">
        <v>40</v>
      </c>
      <c r="H230">
        <v>0</v>
      </c>
      <c r="I230">
        <v>32400</v>
      </c>
      <c r="J230">
        <v>-32400</v>
      </c>
      <c r="L230">
        <v>33</v>
      </c>
      <c r="M230">
        <v>151309</v>
      </c>
      <c r="N230" t="s">
        <v>45</v>
      </c>
      <c r="O230" t="s">
        <v>46</v>
      </c>
    </row>
    <row r="231" spans="2:15" x14ac:dyDescent="0.25">
      <c r="B231" t="s">
        <v>15</v>
      </c>
      <c r="C231" s="4">
        <v>44631</v>
      </c>
      <c r="D231">
        <v>3</v>
      </c>
      <c r="E231" t="s">
        <v>38</v>
      </c>
      <c r="F231" t="s">
        <v>39</v>
      </c>
      <c r="G231" t="s">
        <v>40</v>
      </c>
      <c r="H231">
        <v>85770</v>
      </c>
      <c r="I231">
        <v>0</v>
      </c>
      <c r="J231">
        <v>85770</v>
      </c>
      <c r="L231">
        <v>33</v>
      </c>
      <c r="M231">
        <v>369279</v>
      </c>
      <c r="N231" t="s">
        <v>51</v>
      </c>
      <c r="O231" t="s">
        <v>52</v>
      </c>
    </row>
    <row r="232" spans="2:15" x14ac:dyDescent="0.25">
      <c r="B232" t="s">
        <v>15</v>
      </c>
      <c r="C232" s="4">
        <v>44631</v>
      </c>
      <c r="D232">
        <v>3</v>
      </c>
      <c r="E232" t="s">
        <v>16</v>
      </c>
      <c r="F232" t="s">
        <v>43</v>
      </c>
      <c r="G232" t="s">
        <v>40</v>
      </c>
      <c r="H232">
        <v>16296</v>
      </c>
      <c r="I232">
        <v>0</v>
      </c>
      <c r="J232">
        <v>16296</v>
      </c>
      <c r="L232">
        <v>33</v>
      </c>
      <c r="M232">
        <v>369279</v>
      </c>
      <c r="N232" t="s">
        <v>51</v>
      </c>
      <c r="O232" t="s">
        <v>52</v>
      </c>
    </row>
    <row r="233" spans="2:15" x14ac:dyDescent="0.25">
      <c r="B233" t="s">
        <v>15</v>
      </c>
      <c r="C233" s="4">
        <v>44631</v>
      </c>
      <c r="D233">
        <v>3</v>
      </c>
      <c r="E233" t="s">
        <v>21</v>
      </c>
      <c r="F233" t="s">
        <v>44</v>
      </c>
      <c r="G233" t="s">
        <v>40</v>
      </c>
      <c r="H233">
        <v>0</v>
      </c>
      <c r="I233">
        <v>102066</v>
      </c>
      <c r="J233">
        <v>-102066</v>
      </c>
      <c r="L233">
        <v>33</v>
      </c>
      <c r="M233">
        <v>369279</v>
      </c>
      <c r="N233" t="s">
        <v>51</v>
      </c>
      <c r="O233" t="s">
        <v>52</v>
      </c>
    </row>
    <row r="234" spans="2:15" x14ac:dyDescent="0.25">
      <c r="B234" t="s">
        <v>15</v>
      </c>
      <c r="C234" s="4">
        <v>44634</v>
      </c>
      <c r="D234">
        <v>3</v>
      </c>
      <c r="E234" t="s">
        <v>38</v>
      </c>
      <c r="F234" t="s">
        <v>39</v>
      </c>
      <c r="G234" t="s">
        <v>40</v>
      </c>
      <c r="H234">
        <v>5040</v>
      </c>
      <c r="I234">
        <v>0</v>
      </c>
      <c r="J234">
        <v>5040</v>
      </c>
      <c r="L234">
        <v>33</v>
      </c>
      <c r="M234">
        <v>179</v>
      </c>
      <c r="N234" t="s">
        <v>73</v>
      </c>
      <c r="O234" t="s">
        <v>74</v>
      </c>
    </row>
    <row r="235" spans="2:15" x14ac:dyDescent="0.25">
      <c r="B235" t="s">
        <v>15</v>
      </c>
      <c r="C235" s="4">
        <v>44634</v>
      </c>
      <c r="D235">
        <v>3</v>
      </c>
      <c r="E235" t="s">
        <v>16</v>
      </c>
      <c r="F235" t="s">
        <v>43</v>
      </c>
      <c r="G235" t="s">
        <v>40</v>
      </c>
      <c r="H235">
        <v>958</v>
      </c>
      <c r="I235">
        <v>0</v>
      </c>
      <c r="J235">
        <v>958</v>
      </c>
      <c r="L235">
        <v>33</v>
      </c>
      <c r="M235">
        <v>179</v>
      </c>
      <c r="N235" t="s">
        <v>73</v>
      </c>
      <c r="O235" t="s">
        <v>74</v>
      </c>
    </row>
    <row r="236" spans="2:15" x14ac:dyDescent="0.25">
      <c r="B236" t="s">
        <v>15</v>
      </c>
      <c r="C236" s="4">
        <v>44634</v>
      </c>
      <c r="D236">
        <v>3</v>
      </c>
      <c r="E236" t="s">
        <v>21</v>
      </c>
      <c r="F236" t="s">
        <v>44</v>
      </c>
      <c r="G236" t="s">
        <v>40</v>
      </c>
      <c r="H236">
        <v>0</v>
      </c>
      <c r="I236">
        <v>5998</v>
      </c>
      <c r="J236">
        <v>-5998</v>
      </c>
      <c r="L236">
        <v>33</v>
      </c>
      <c r="M236">
        <v>179</v>
      </c>
      <c r="N236" t="s">
        <v>73</v>
      </c>
      <c r="O236" t="s">
        <v>74</v>
      </c>
    </row>
    <row r="237" spans="2:15" x14ac:dyDescent="0.25">
      <c r="B237" t="s">
        <v>15</v>
      </c>
      <c r="C237" s="4">
        <v>44634</v>
      </c>
      <c r="D237">
        <v>3</v>
      </c>
      <c r="E237" t="s">
        <v>38</v>
      </c>
      <c r="F237" t="s">
        <v>39</v>
      </c>
      <c r="G237" t="s">
        <v>40</v>
      </c>
      <c r="H237">
        <v>20970</v>
      </c>
      <c r="I237">
        <v>0</v>
      </c>
      <c r="J237">
        <v>20970</v>
      </c>
      <c r="L237">
        <v>33</v>
      </c>
      <c r="M237">
        <v>21083</v>
      </c>
      <c r="N237" t="s">
        <v>69</v>
      </c>
      <c r="O237" t="s">
        <v>70</v>
      </c>
    </row>
    <row r="238" spans="2:15" x14ac:dyDescent="0.25">
      <c r="B238" t="s">
        <v>15</v>
      </c>
      <c r="C238" s="4">
        <v>44634</v>
      </c>
      <c r="D238">
        <v>3</v>
      </c>
      <c r="E238" t="s">
        <v>16</v>
      </c>
      <c r="F238" t="s">
        <v>43</v>
      </c>
      <c r="G238" t="s">
        <v>40</v>
      </c>
      <c r="H238">
        <v>3984</v>
      </c>
      <c r="I238">
        <v>0</v>
      </c>
      <c r="J238">
        <v>3984</v>
      </c>
      <c r="L238">
        <v>33</v>
      </c>
      <c r="M238">
        <v>21083</v>
      </c>
      <c r="N238" t="s">
        <v>69</v>
      </c>
      <c r="O238" t="s">
        <v>70</v>
      </c>
    </row>
    <row r="239" spans="2:15" x14ac:dyDescent="0.25">
      <c r="B239" t="s">
        <v>15</v>
      </c>
      <c r="C239" s="4">
        <v>44634</v>
      </c>
      <c r="D239">
        <v>3</v>
      </c>
      <c r="E239" t="s">
        <v>21</v>
      </c>
      <c r="F239" t="s">
        <v>44</v>
      </c>
      <c r="G239" t="s">
        <v>40</v>
      </c>
      <c r="H239">
        <v>0</v>
      </c>
      <c r="I239">
        <v>24954</v>
      </c>
      <c r="J239">
        <v>-24954</v>
      </c>
      <c r="L239">
        <v>33</v>
      </c>
      <c r="M239">
        <v>21083</v>
      </c>
      <c r="N239" t="s">
        <v>69</v>
      </c>
      <c r="O239" t="s">
        <v>70</v>
      </c>
    </row>
    <row r="240" spans="2:15" x14ac:dyDescent="0.25">
      <c r="B240" t="s">
        <v>15</v>
      </c>
      <c r="C240" s="4">
        <v>44637</v>
      </c>
      <c r="D240">
        <v>3</v>
      </c>
      <c r="E240" t="s">
        <v>38</v>
      </c>
      <c r="F240" t="s">
        <v>39</v>
      </c>
      <c r="G240" t="s">
        <v>40</v>
      </c>
      <c r="H240">
        <v>66280</v>
      </c>
      <c r="I240">
        <v>0</v>
      </c>
      <c r="J240">
        <v>66280</v>
      </c>
      <c r="L240">
        <v>33</v>
      </c>
      <c r="M240">
        <v>369993</v>
      </c>
      <c r="N240" t="s">
        <v>51</v>
      </c>
      <c r="O240" t="s">
        <v>52</v>
      </c>
    </row>
    <row r="241" spans="2:15" x14ac:dyDescent="0.25">
      <c r="B241" t="s">
        <v>15</v>
      </c>
      <c r="C241" s="4">
        <v>44637</v>
      </c>
      <c r="D241">
        <v>3</v>
      </c>
      <c r="E241" t="s">
        <v>16</v>
      </c>
      <c r="F241" t="s">
        <v>43</v>
      </c>
      <c r="G241" t="s">
        <v>40</v>
      </c>
      <c r="H241">
        <v>12593</v>
      </c>
      <c r="I241">
        <v>0</v>
      </c>
      <c r="J241">
        <v>12593</v>
      </c>
      <c r="L241">
        <v>33</v>
      </c>
      <c r="M241">
        <v>369993</v>
      </c>
      <c r="N241" t="s">
        <v>51</v>
      </c>
      <c r="O241" t="s">
        <v>52</v>
      </c>
    </row>
    <row r="242" spans="2:15" x14ac:dyDescent="0.25">
      <c r="B242" t="s">
        <v>15</v>
      </c>
      <c r="C242" s="4">
        <v>44637</v>
      </c>
      <c r="D242">
        <v>3</v>
      </c>
      <c r="E242" t="s">
        <v>21</v>
      </c>
      <c r="F242" t="s">
        <v>44</v>
      </c>
      <c r="G242" t="s">
        <v>40</v>
      </c>
      <c r="H242">
        <v>0</v>
      </c>
      <c r="I242">
        <v>78873</v>
      </c>
      <c r="J242">
        <v>-78873</v>
      </c>
      <c r="L242">
        <v>33</v>
      </c>
      <c r="M242">
        <v>369993</v>
      </c>
      <c r="N242" t="s">
        <v>51</v>
      </c>
      <c r="O242" t="s">
        <v>52</v>
      </c>
    </row>
    <row r="243" spans="2:15" x14ac:dyDescent="0.25">
      <c r="B243" t="s">
        <v>15</v>
      </c>
      <c r="C243" s="4">
        <v>44641</v>
      </c>
      <c r="D243">
        <v>3</v>
      </c>
      <c r="E243" t="s">
        <v>38</v>
      </c>
      <c r="F243" t="s">
        <v>39</v>
      </c>
      <c r="G243" t="s">
        <v>40</v>
      </c>
      <c r="H243">
        <v>52913</v>
      </c>
      <c r="I243">
        <v>0</v>
      </c>
      <c r="J243">
        <v>52913</v>
      </c>
      <c r="L243">
        <v>33</v>
      </c>
      <c r="M243">
        <v>291635</v>
      </c>
      <c r="N243" t="s">
        <v>63</v>
      </c>
      <c r="O243" t="s">
        <v>64</v>
      </c>
    </row>
    <row r="244" spans="2:15" x14ac:dyDescent="0.25">
      <c r="B244" t="s">
        <v>15</v>
      </c>
      <c r="C244" s="4">
        <v>44641</v>
      </c>
      <c r="D244">
        <v>3</v>
      </c>
      <c r="E244" t="s">
        <v>16</v>
      </c>
      <c r="F244" t="s">
        <v>43</v>
      </c>
      <c r="G244" t="s">
        <v>40</v>
      </c>
      <c r="H244">
        <v>10053</v>
      </c>
      <c r="I244">
        <v>0</v>
      </c>
      <c r="J244">
        <v>10053</v>
      </c>
      <c r="L244">
        <v>33</v>
      </c>
      <c r="M244">
        <v>291635</v>
      </c>
      <c r="N244" t="s">
        <v>63</v>
      </c>
      <c r="O244" t="s">
        <v>64</v>
      </c>
    </row>
    <row r="245" spans="2:15" x14ac:dyDescent="0.25">
      <c r="B245" t="s">
        <v>15</v>
      </c>
      <c r="C245" s="4">
        <v>44641</v>
      </c>
      <c r="D245">
        <v>3</v>
      </c>
      <c r="E245" t="s">
        <v>21</v>
      </c>
      <c r="F245" t="s">
        <v>44</v>
      </c>
      <c r="G245" t="s">
        <v>40</v>
      </c>
      <c r="H245">
        <v>0</v>
      </c>
      <c r="I245">
        <v>62966</v>
      </c>
      <c r="J245">
        <v>-62966</v>
      </c>
      <c r="L245">
        <v>33</v>
      </c>
      <c r="M245">
        <v>291635</v>
      </c>
      <c r="N245" t="s">
        <v>63</v>
      </c>
      <c r="O245" t="s">
        <v>64</v>
      </c>
    </row>
    <row r="246" spans="2:15" x14ac:dyDescent="0.25">
      <c r="B246" t="s">
        <v>15</v>
      </c>
      <c r="C246" s="4">
        <v>44636</v>
      </c>
      <c r="D246">
        <v>3</v>
      </c>
      <c r="E246" t="s">
        <v>38</v>
      </c>
      <c r="F246" t="s">
        <v>39</v>
      </c>
      <c r="G246" t="s">
        <v>40</v>
      </c>
      <c r="H246">
        <v>36101</v>
      </c>
      <c r="I246">
        <v>0</v>
      </c>
      <c r="J246">
        <v>36101</v>
      </c>
      <c r="L246">
        <v>33</v>
      </c>
      <c r="M246">
        <v>9755772</v>
      </c>
      <c r="N246" t="s">
        <v>57</v>
      </c>
      <c r="O246" t="s">
        <v>58</v>
      </c>
    </row>
    <row r="247" spans="2:15" x14ac:dyDescent="0.25">
      <c r="B247" t="s">
        <v>15</v>
      </c>
      <c r="C247" s="4">
        <v>44636</v>
      </c>
      <c r="D247">
        <v>3</v>
      </c>
      <c r="E247" t="s">
        <v>16</v>
      </c>
      <c r="F247" t="s">
        <v>43</v>
      </c>
      <c r="G247" t="s">
        <v>40</v>
      </c>
      <c r="H247">
        <v>6859</v>
      </c>
      <c r="I247">
        <v>0</v>
      </c>
      <c r="J247">
        <v>6859</v>
      </c>
      <c r="L247">
        <v>33</v>
      </c>
      <c r="M247">
        <v>9755772</v>
      </c>
      <c r="N247" t="s">
        <v>57</v>
      </c>
      <c r="O247" t="s">
        <v>58</v>
      </c>
    </row>
    <row r="248" spans="2:15" x14ac:dyDescent="0.25">
      <c r="B248" t="s">
        <v>15</v>
      </c>
      <c r="C248" s="4">
        <v>44636</v>
      </c>
      <c r="D248">
        <v>3</v>
      </c>
      <c r="E248" t="s">
        <v>21</v>
      </c>
      <c r="F248" t="s">
        <v>44</v>
      </c>
      <c r="G248" t="s">
        <v>40</v>
      </c>
      <c r="H248">
        <v>0</v>
      </c>
      <c r="I248">
        <v>42960</v>
      </c>
      <c r="J248">
        <v>-42960</v>
      </c>
      <c r="L248">
        <v>33</v>
      </c>
      <c r="M248">
        <v>9755772</v>
      </c>
      <c r="N248" t="s">
        <v>57</v>
      </c>
      <c r="O248" t="s">
        <v>58</v>
      </c>
    </row>
    <row r="249" spans="2:15" x14ac:dyDescent="0.25">
      <c r="B249" t="s">
        <v>15</v>
      </c>
      <c r="C249" s="4">
        <v>44642</v>
      </c>
      <c r="D249">
        <v>3</v>
      </c>
      <c r="E249" t="s">
        <v>38</v>
      </c>
      <c r="F249" t="s">
        <v>39</v>
      </c>
      <c r="G249" t="s">
        <v>40</v>
      </c>
      <c r="H249">
        <v>10588</v>
      </c>
      <c r="I249">
        <v>0</v>
      </c>
      <c r="J249">
        <v>10588</v>
      </c>
      <c r="L249">
        <v>33</v>
      </c>
      <c r="M249">
        <v>15933</v>
      </c>
      <c r="N249" t="s">
        <v>75</v>
      </c>
      <c r="O249" t="s">
        <v>76</v>
      </c>
    </row>
    <row r="250" spans="2:15" x14ac:dyDescent="0.25">
      <c r="B250" t="s">
        <v>15</v>
      </c>
      <c r="C250" s="4">
        <v>44642</v>
      </c>
      <c r="D250">
        <v>3</v>
      </c>
      <c r="E250" t="s">
        <v>16</v>
      </c>
      <c r="F250" t="s">
        <v>43</v>
      </c>
      <c r="G250" t="s">
        <v>40</v>
      </c>
      <c r="H250">
        <v>2012</v>
      </c>
      <c r="I250">
        <v>0</v>
      </c>
      <c r="J250">
        <v>2012</v>
      </c>
      <c r="L250">
        <v>33</v>
      </c>
      <c r="M250">
        <v>15933</v>
      </c>
      <c r="N250" t="s">
        <v>75</v>
      </c>
      <c r="O250" t="s">
        <v>76</v>
      </c>
    </row>
    <row r="251" spans="2:15" x14ac:dyDescent="0.25">
      <c r="B251" t="s">
        <v>15</v>
      </c>
      <c r="C251" s="4">
        <v>44642</v>
      </c>
      <c r="D251">
        <v>3</v>
      </c>
      <c r="E251" t="s">
        <v>21</v>
      </c>
      <c r="F251" t="s">
        <v>44</v>
      </c>
      <c r="G251" t="s">
        <v>40</v>
      </c>
      <c r="H251">
        <v>0</v>
      </c>
      <c r="I251">
        <v>12600</v>
      </c>
      <c r="J251">
        <v>-12600</v>
      </c>
      <c r="L251">
        <v>33</v>
      </c>
      <c r="M251">
        <v>15933</v>
      </c>
      <c r="N251" t="s">
        <v>75</v>
      </c>
      <c r="O251" t="s">
        <v>76</v>
      </c>
    </row>
    <row r="252" spans="2:15" x14ac:dyDescent="0.25">
      <c r="B252" t="s">
        <v>15</v>
      </c>
      <c r="C252" s="4">
        <v>44644</v>
      </c>
      <c r="D252">
        <v>3</v>
      </c>
      <c r="E252" t="s">
        <v>38</v>
      </c>
      <c r="F252" t="s">
        <v>39</v>
      </c>
      <c r="G252" t="s">
        <v>40</v>
      </c>
      <c r="H252">
        <v>4969</v>
      </c>
      <c r="I252">
        <v>0</v>
      </c>
      <c r="J252">
        <v>4969</v>
      </c>
      <c r="L252">
        <v>33</v>
      </c>
      <c r="M252">
        <v>665420</v>
      </c>
      <c r="N252" t="s">
        <v>49</v>
      </c>
      <c r="O252" t="s">
        <v>50</v>
      </c>
    </row>
    <row r="253" spans="2:15" x14ac:dyDescent="0.25">
      <c r="B253" t="s">
        <v>15</v>
      </c>
      <c r="C253" s="4">
        <v>44644</v>
      </c>
      <c r="D253">
        <v>3</v>
      </c>
      <c r="E253" t="s">
        <v>16</v>
      </c>
      <c r="F253" t="s">
        <v>43</v>
      </c>
      <c r="G253" t="s">
        <v>40</v>
      </c>
      <c r="H253">
        <v>944</v>
      </c>
      <c r="I253">
        <v>0</v>
      </c>
      <c r="J253">
        <v>944</v>
      </c>
      <c r="L253">
        <v>33</v>
      </c>
      <c r="M253">
        <v>665420</v>
      </c>
      <c r="N253" t="s">
        <v>49</v>
      </c>
      <c r="O253" t="s">
        <v>50</v>
      </c>
    </row>
    <row r="254" spans="2:15" x14ac:dyDescent="0.25">
      <c r="B254" t="s">
        <v>15</v>
      </c>
      <c r="C254" s="4">
        <v>44644</v>
      </c>
      <c r="D254">
        <v>3</v>
      </c>
      <c r="E254" t="s">
        <v>21</v>
      </c>
      <c r="F254" t="s">
        <v>44</v>
      </c>
      <c r="G254" t="s">
        <v>40</v>
      </c>
      <c r="H254">
        <v>0</v>
      </c>
      <c r="I254">
        <v>5913</v>
      </c>
      <c r="J254">
        <v>-5913</v>
      </c>
      <c r="L254">
        <v>33</v>
      </c>
      <c r="M254">
        <v>665420</v>
      </c>
      <c r="N254" t="s">
        <v>49</v>
      </c>
      <c r="O254" t="s">
        <v>50</v>
      </c>
    </row>
    <row r="255" spans="2:15" x14ac:dyDescent="0.25">
      <c r="B255" t="s">
        <v>15</v>
      </c>
      <c r="C255" s="4">
        <v>44648</v>
      </c>
      <c r="D255">
        <v>3</v>
      </c>
      <c r="E255" t="s">
        <v>38</v>
      </c>
      <c r="F255" t="s">
        <v>39</v>
      </c>
      <c r="G255" t="s">
        <v>40</v>
      </c>
      <c r="H255">
        <v>111930</v>
      </c>
      <c r="I255">
        <v>0</v>
      </c>
      <c r="J255">
        <v>111930</v>
      </c>
      <c r="L255">
        <v>33</v>
      </c>
      <c r="M255">
        <v>370973</v>
      </c>
      <c r="N255" t="s">
        <v>51</v>
      </c>
      <c r="O255" t="s">
        <v>52</v>
      </c>
    </row>
    <row r="256" spans="2:15" x14ac:dyDescent="0.25">
      <c r="B256" t="s">
        <v>15</v>
      </c>
      <c r="C256" s="4">
        <v>44648</v>
      </c>
      <c r="D256">
        <v>3</v>
      </c>
      <c r="E256" t="s">
        <v>16</v>
      </c>
      <c r="F256" t="s">
        <v>43</v>
      </c>
      <c r="G256" t="s">
        <v>40</v>
      </c>
      <c r="H256">
        <v>21267</v>
      </c>
      <c r="I256">
        <v>0</v>
      </c>
      <c r="J256">
        <v>21267</v>
      </c>
      <c r="L256">
        <v>33</v>
      </c>
      <c r="M256">
        <v>370973</v>
      </c>
      <c r="N256" t="s">
        <v>51</v>
      </c>
      <c r="O256" t="s">
        <v>52</v>
      </c>
    </row>
    <row r="257" spans="2:15" x14ac:dyDescent="0.25">
      <c r="B257" t="s">
        <v>15</v>
      </c>
      <c r="C257" s="4">
        <v>44648</v>
      </c>
      <c r="D257">
        <v>3</v>
      </c>
      <c r="E257" t="s">
        <v>21</v>
      </c>
      <c r="F257" t="s">
        <v>44</v>
      </c>
      <c r="G257" t="s">
        <v>40</v>
      </c>
      <c r="H257">
        <v>0</v>
      </c>
      <c r="I257">
        <v>133197</v>
      </c>
      <c r="J257">
        <v>-133197</v>
      </c>
      <c r="L257">
        <v>33</v>
      </c>
      <c r="M257">
        <v>370973</v>
      </c>
      <c r="N257" t="s">
        <v>51</v>
      </c>
      <c r="O257" t="s">
        <v>52</v>
      </c>
    </row>
    <row r="258" spans="2:15" x14ac:dyDescent="0.25">
      <c r="B258" t="s">
        <v>15</v>
      </c>
      <c r="C258" s="4">
        <v>44648</v>
      </c>
      <c r="D258">
        <v>3</v>
      </c>
      <c r="E258" t="s">
        <v>38</v>
      </c>
      <c r="F258" t="s">
        <v>39</v>
      </c>
      <c r="G258" t="s">
        <v>40</v>
      </c>
      <c r="H258">
        <v>213520</v>
      </c>
      <c r="I258">
        <v>0</v>
      </c>
      <c r="J258">
        <v>213520</v>
      </c>
      <c r="L258">
        <v>33</v>
      </c>
      <c r="M258">
        <v>370974</v>
      </c>
      <c r="N258" t="s">
        <v>51</v>
      </c>
      <c r="O258" t="s">
        <v>52</v>
      </c>
    </row>
    <row r="259" spans="2:15" x14ac:dyDescent="0.25">
      <c r="B259" t="s">
        <v>15</v>
      </c>
      <c r="C259" s="4">
        <v>44648</v>
      </c>
      <c r="D259">
        <v>3</v>
      </c>
      <c r="E259" t="s">
        <v>16</v>
      </c>
      <c r="F259" t="s">
        <v>43</v>
      </c>
      <c r="G259" t="s">
        <v>40</v>
      </c>
      <c r="H259">
        <v>40569</v>
      </c>
      <c r="I259">
        <v>0</v>
      </c>
      <c r="J259">
        <v>40569</v>
      </c>
      <c r="L259">
        <v>33</v>
      </c>
      <c r="M259">
        <v>370974</v>
      </c>
      <c r="N259" t="s">
        <v>51</v>
      </c>
      <c r="O259" t="s">
        <v>52</v>
      </c>
    </row>
    <row r="260" spans="2:15" x14ac:dyDescent="0.25">
      <c r="B260" t="s">
        <v>15</v>
      </c>
      <c r="C260" s="4">
        <v>44648</v>
      </c>
      <c r="D260">
        <v>3</v>
      </c>
      <c r="E260" t="s">
        <v>21</v>
      </c>
      <c r="F260" t="s">
        <v>44</v>
      </c>
      <c r="G260" t="s">
        <v>40</v>
      </c>
      <c r="H260">
        <v>0</v>
      </c>
      <c r="I260">
        <v>254089</v>
      </c>
      <c r="J260">
        <v>-254089</v>
      </c>
      <c r="L260">
        <v>33</v>
      </c>
      <c r="M260">
        <v>370974</v>
      </c>
      <c r="N260" t="s">
        <v>51</v>
      </c>
      <c r="O260" t="s">
        <v>52</v>
      </c>
    </row>
    <row r="261" spans="2:15" x14ac:dyDescent="0.25">
      <c r="B261" t="s">
        <v>15</v>
      </c>
      <c r="C261" s="4">
        <v>44649</v>
      </c>
      <c r="D261">
        <v>3</v>
      </c>
      <c r="E261" t="s">
        <v>38</v>
      </c>
      <c r="F261" t="s">
        <v>39</v>
      </c>
      <c r="G261" t="s">
        <v>40</v>
      </c>
      <c r="H261">
        <v>7285</v>
      </c>
      <c r="I261">
        <v>0</v>
      </c>
      <c r="J261">
        <v>7285</v>
      </c>
      <c r="L261">
        <v>33</v>
      </c>
      <c r="M261">
        <v>666164</v>
      </c>
      <c r="N261" t="s">
        <v>49</v>
      </c>
      <c r="O261" t="s">
        <v>50</v>
      </c>
    </row>
    <row r="262" spans="2:15" x14ac:dyDescent="0.25">
      <c r="B262" t="s">
        <v>15</v>
      </c>
      <c r="C262" s="4">
        <v>44649</v>
      </c>
      <c r="D262">
        <v>3</v>
      </c>
      <c r="E262" t="s">
        <v>16</v>
      </c>
      <c r="F262" t="s">
        <v>43</v>
      </c>
      <c r="G262" t="s">
        <v>40</v>
      </c>
      <c r="H262">
        <v>1384</v>
      </c>
      <c r="I262">
        <v>0</v>
      </c>
      <c r="J262">
        <v>1384</v>
      </c>
      <c r="L262">
        <v>33</v>
      </c>
      <c r="M262">
        <v>666164</v>
      </c>
      <c r="N262" t="s">
        <v>49</v>
      </c>
      <c r="O262" t="s">
        <v>50</v>
      </c>
    </row>
    <row r="263" spans="2:15" x14ac:dyDescent="0.25">
      <c r="B263" t="s">
        <v>15</v>
      </c>
      <c r="C263" s="4">
        <v>44649</v>
      </c>
      <c r="D263">
        <v>3</v>
      </c>
      <c r="E263" t="s">
        <v>21</v>
      </c>
      <c r="F263" t="s">
        <v>44</v>
      </c>
      <c r="G263" t="s">
        <v>40</v>
      </c>
      <c r="H263">
        <v>0</v>
      </c>
      <c r="I263">
        <v>8669</v>
      </c>
      <c r="J263">
        <v>-8669</v>
      </c>
      <c r="L263">
        <v>33</v>
      </c>
      <c r="M263">
        <v>666164</v>
      </c>
      <c r="N263" t="s">
        <v>49</v>
      </c>
      <c r="O263" t="s">
        <v>50</v>
      </c>
    </row>
    <row r="264" spans="2:15" x14ac:dyDescent="0.25">
      <c r="B264" t="s">
        <v>15</v>
      </c>
      <c r="C264" s="4">
        <v>44635</v>
      </c>
      <c r="D264">
        <v>3</v>
      </c>
      <c r="E264" t="s">
        <v>38</v>
      </c>
      <c r="F264" t="s">
        <v>39</v>
      </c>
      <c r="G264" t="s">
        <v>40</v>
      </c>
      <c r="H264">
        <v>110387</v>
      </c>
      <c r="I264">
        <v>0</v>
      </c>
      <c r="J264">
        <v>110387</v>
      </c>
      <c r="L264">
        <v>34</v>
      </c>
      <c r="M264">
        <v>84</v>
      </c>
      <c r="N264" t="s">
        <v>71</v>
      </c>
      <c r="O264" t="s">
        <v>72</v>
      </c>
    </row>
    <row r="265" spans="2:15" x14ac:dyDescent="0.25">
      <c r="B265" t="s">
        <v>15</v>
      </c>
      <c r="C265" s="4">
        <v>44635</v>
      </c>
      <c r="D265">
        <v>3</v>
      </c>
      <c r="E265" t="s">
        <v>16</v>
      </c>
      <c r="F265" t="s">
        <v>43</v>
      </c>
      <c r="G265" t="s">
        <v>40</v>
      </c>
      <c r="H265">
        <v>0</v>
      </c>
      <c r="I265">
        <v>0</v>
      </c>
      <c r="J265">
        <v>0</v>
      </c>
      <c r="L265">
        <v>34</v>
      </c>
      <c r="M265">
        <v>84</v>
      </c>
      <c r="N265" t="s">
        <v>71</v>
      </c>
      <c r="O265" t="s">
        <v>72</v>
      </c>
    </row>
    <row r="266" spans="2:15" x14ac:dyDescent="0.25">
      <c r="B266" t="s">
        <v>15</v>
      </c>
      <c r="C266" s="4">
        <v>44635</v>
      </c>
      <c r="D266">
        <v>3</v>
      </c>
      <c r="E266" t="s">
        <v>21</v>
      </c>
      <c r="F266" t="s">
        <v>44</v>
      </c>
      <c r="G266" t="s">
        <v>40</v>
      </c>
      <c r="H266">
        <v>0</v>
      </c>
      <c r="I266">
        <v>110387</v>
      </c>
      <c r="J266">
        <v>-110387</v>
      </c>
      <c r="L266">
        <v>34</v>
      </c>
      <c r="M266">
        <v>84</v>
      </c>
      <c r="N266" t="s">
        <v>71</v>
      </c>
      <c r="O266" t="s">
        <v>72</v>
      </c>
    </row>
    <row r="267" spans="2:15" x14ac:dyDescent="0.25">
      <c r="B267" t="s">
        <v>15</v>
      </c>
      <c r="C267" s="4">
        <v>44644</v>
      </c>
      <c r="D267">
        <v>4</v>
      </c>
      <c r="E267" t="s">
        <v>38</v>
      </c>
      <c r="F267" t="s">
        <v>39</v>
      </c>
      <c r="G267" t="s">
        <v>40</v>
      </c>
      <c r="H267">
        <v>57110</v>
      </c>
      <c r="I267">
        <v>0</v>
      </c>
      <c r="J267">
        <v>57110</v>
      </c>
      <c r="L267">
        <v>33</v>
      </c>
      <c r="M267">
        <v>292136</v>
      </c>
      <c r="N267" t="s">
        <v>63</v>
      </c>
      <c r="O267" t="s">
        <v>64</v>
      </c>
    </row>
    <row r="268" spans="2:15" x14ac:dyDescent="0.25">
      <c r="B268" t="s">
        <v>15</v>
      </c>
      <c r="C268" s="4">
        <v>44644</v>
      </c>
      <c r="D268">
        <v>4</v>
      </c>
      <c r="E268" t="s">
        <v>16</v>
      </c>
      <c r="F268" t="s">
        <v>43</v>
      </c>
      <c r="G268" t="s">
        <v>40</v>
      </c>
      <c r="H268">
        <v>10851</v>
      </c>
      <c r="I268">
        <v>0</v>
      </c>
      <c r="J268">
        <v>10851</v>
      </c>
      <c r="L268">
        <v>33</v>
      </c>
      <c r="M268">
        <v>292136</v>
      </c>
      <c r="N268" t="s">
        <v>63</v>
      </c>
      <c r="O268" t="s">
        <v>64</v>
      </c>
    </row>
    <row r="269" spans="2:15" x14ac:dyDescent="0.25">
      <c r="B269" t="s">
        <v>15</v>
      </c>
      <c r="C269" s="4">
        <v>44644</v>
      </c>
      <c r="D269">
        <v>4</v>
      </c>
      <c r="E269" t="s">
        <v>21</v>
      </c>
      <c r="F269" t="s">
        <v>44</v>
      </c>
      <c r="G269" t="s">
        <v>40</v>
      </c>
      <c r="H269">
        <v>0</v>
      </c>
      <c r="I269">
        <v>67961</v>
      </c>
      <c r="J269">
        <v>-67961</v>
      </c>
      <c r="L269">
        <v>33</v>
      </c>
      <c r="M269">
        <v>292136</v>
      </c>
      <c r="N269" t="s">
        <v>63</v>
      </c>
      <c r="O269" t="s">
        <v>64</v>
      </c>
    </row>
    <row r="270" spans="2:15" x14ac:dyDescent="0.25">
      <c r="B270" t="s">
        <v>15</v>
      </c>
      <c r="C270" s="4">
        <v>44648</v>
      </c>
      <c r="D270">
        <v>4</v>
      </c>
      <c r="E270" t="s">
        <v>38</v>
      </c>
      <c r="F270" t="s">
        <v>39</v>
      </c>
      <c r="G270" t="s">
        <v>40</v>
      </c>
      <c r="H270">
        <v>182925</v>
      </c>
      <c r="I270">
        <v>0</v>
      </c>
      <c r="J270">
        <v>182925</v>
      </c>
      <c r="L270">
        <v>33</v>
      </c>
      <c r="M270">
        <v>170389</v>
      </c>
      <c r="N270" t="s">
        <v>53</v>
      </c>
      <c r="O270" t="s">
        <v>54</v>
      </c>
    </row>
    <row r="271" spans="2:15" x14ac:dyDescent="0.25">
      <c r="B271" t="s">
        <v>15</v>
      </c>
      <c r="C271" s="4">
        <v>44648</v>
      </c>
      <c r="D271">
        <v>4</v>
      </c>
      <c r="E271" t="s">
        <v>16</v>
      </c>
      <c r="F271" t="s">
        <v>43</v>
      </c>
      <c r="G271" t="s">
        <v>40</v>
      </c>
      <c r="H271">
        <v>34756</v>
      </c>
      <c r="I271">
        <v>0</v>
      </c>
      <c r="J271">
        <v>34756</v>
      </c>
      <c r="L271">
        <v>33</v>
      </c>
      <c r="M271">
        <v>170389</v>
      </c>
      <c r="N271" t="s">
        <v>53</v>
      </c>
      <c r="O271" t="s">
        <v>54</v>
      </c>
    </row>
    <row r="272" spans="2:15" x14ac:dyDescent="0.25">
      <c r="B272" t="s">
        <v>15</v>
      </c>
      <c r="C272" s="4">
        <v>44648</v>
      </c>
      <c r="D272">
        <v>4</v>
      </c>
      <c r="E272" t="s">
        <v>21</v>
      </c>
      <c r="F272" t="s">
        <v>44</v>
      </c>
      <c r="G272" t="s">
        <v>40</v>
      </c>
      <c r="H272">
        <v>0</v>
      </c>
      <c r="I272">
        <v>217681</v>
      </c>
      <c r="J272">
        <v>-217681</v>
      </c>
      <c r="L272">
        <v>33</v>
      </c>
      <c r="M272">
        <v>170389</v>
      </c>
      <c r="N272" t="s">
        <v>53</v>
      </c>
      <c r="O272" t="s">
        <v>54</v>
      </c>
    </row>
    <row r="273" spans="2:15" x14ac:dyDescent="0.25">
      <c r="B273" t="s">
        <v>15</v>
      </c>
      <c r="C273" s="4">
        <v>44649</v>
      </c>
      <c r="D273">
        <v>4</v>
      </c>
      <c r="E273" t="s">
        <v>38</v>
      </c>
      <c r="F273" t="s">
        <v>39</v>
      </c>
      <c r="G273" t="s">
        <v>40</v>
      </c>
      <c r="H273">
        <v>5183</v>
      </c>
      <c r="I273">
        <v>0</v>
      </c>
      <c r="J273">
        <v>5183</v>
      </c>
      <c r="L273">
        <v>33</v>
      </c>
      <c r="M273">
        <v>292701</v>
      </c>
      <c r="N273" t="s">
        <v>63</v>
      </c>
      <c r="O273" t="s">
        <v>64</v>
      </c>
    </row>
    <row r="274" spans="2:15" x14ac:dyDescent="0.25">
      <c r="B274" t="s">
        <v>15</v>
      </c>
      <c r="C274" s="4">
        <v>44649</v>
      </c>
      <c r="D274">
        <v>4</v>
      </c>
      <c r="E274" t="s">
        <v>16</v>
      </c>
      <c r="F274" t="s">
        <v>43</v>
      </c>
      <c r="G274" t="s">
        <v>40</v>
      </c>
      <c r="H274">
        <v>985</v>
      </c>
      <c r="I274">
        <v>0</v>
      </c>
      <c r="J274">
        <v>985</v>
      </c>
      <c r="L274">
        <v>33</v>
      </c>
      <c r="M274">
        <v>292701</v>
      </c>
      <c r="N274" t="s">
        <v>63</v>
      </c>
      <c r="O274" t="s">
        <v>64</v>
      </c>
    </row>
    <row r="275" spans="2:15" x14ac:dyDescent="0.25">
      <c r="B275" t="s">
        <v>15</v>
      </c>
      <c r="C275" s="4">
        <v>44649</v>
      </c>
      <c r="D275">
        <v>4</v>
      </c>
      <c r="E275" t="s">
        <v>21</v>
      </c>
      <c r="F275" t="s">
        <v>44</v>
      </c>
      <c r="G275" t="s">
        <v>40</v>
      </c>
      <c r="H275">
        <v>0</v>
      </c>
      <c r="I275">
        <v>6168</v>
      </c>
      <c r="J275">
        <v>-6168</v>
      </c>
      <c r="L275">
        <v>33</v>
      </c>
      <c r="M275">
        <v>292701</v>
      </c>
      <c r="N275" t="s">
        <v>63</v>
      </c>
      <c r="O275" t="s">
        <v>64</v>
      </c>
    </row>
    <row r="276" spans="2:15" x14ac:dyDescent="0.25">
      <c r="B276" t="s">
        <v>15</v>
      </c>
      <c r="C276" s="4">
        <v>44649</v>
      </c>
      <c r="D276">
        <v>4</v>
      </c>
      <c r="E276" t="s">
        <v>38</v>
      </c>
      <c r="F276" t="s">
        <v>39</v>
      </c>
      <c r="G276" t="s">
        <v>40</v>
      </c>
      <c r="H276">
        <v>44100</v>
      </c>
      <c r="I276">
        <v>0</v>
      </c>
      <c r="J276">
        <v>44100</v>
      </c>
      <c r="L276">
        <v>33</v>
      </c>
      <c r="M276">
        <v>1725</v>
      </c>
      <c r="N276" t="s">
        <v>77</v>
      </c>
      <c r="O276" t="s">
        <v>78</v>
      </c>
    </row>
    <row r="277" spans="2:15" x14ac:dyDescent="0.25">
      <c r="B277" t="s">
        <v>15</v>
      </c>
      <c r="C277" s="4">
        <v>44649</v>
      </c>
      <c r="D277">
        <v>4</v>
      </c>
      <c r="E277" t="s">
        <v>16</v>
      </c>
      <c r="F277" t="s">
        <v>43</v>
      </c>
      <c r="G277" t="s">
        <v>40</v>
      </c>
      <c r="H277">
        <v>8379</v>
      </c>
      <c r="I277">
        <v>0</v>
      </c>
      <c r="J277">
        <v>8379</v>
      </c>
      <c r="L277">
        <v>33</v>
      </c>
      <c r="M277">
        <v>1725</v>
      </c>
      <c r="N277" t="s">
        <v>77</v>
      </c>
      <c r="O277" t="s">
        <v>78</v>
      </c>
    </row>
    <row r="278" spans="2:15" x14ac:dyDescent="0.25">
      <c r="B278" t="s">
        <v>15</v>
      </c>
      <c r="C278" s="4">
        <v>44649</v>
      </c>
      <c r="D278">
        <v>4</v>
      </c>
      <c r="E278" t="s">
        <v>21</v>
      </c>
      <c r="F278" t="s">
        <v>44</v>
      </c>
      <c r="G278" t="s">
        <v>40</v>
      </c>
      <c r="H278">
        <v>0</v>
      </c>
      <c r="I278">
        <v>52479</v>
      </c>
      <c r="J278">
        <v>-52479</v>
      </c>
      <c r="L278">
        <v>33</v>
      </c>
      <c r="M278">
        <v>1725</v>
      </c>
      <c r="N278" t="s">
        <v>77</v>
      </c>
      <c r="O278" t="s">
        <v>78</v>
      </c>
    </row>
    <row r="279" spans="2:15" x14ac:dyDescent="0.25">
      <c r="B279" t="s">
        <v>15</v>
      </c>
      <c r="C279" s="4">
        <v>44655</v>
      </c>
      <c r="D279">
        <v>4</v>
      </c>
      <c r="E279" t="s">
        <v>38</v>
      </c>
      <c r="F279" t="s">
        <v>39</v>
      </c>
      <c r="G279" t="s">
        <v>40</v>
      </c>
      <c r="H279">
        <v>65126</v>
      </c>
      <c r="I279">
        <v>0</v>
      </c>
      <c r="J279">
        <v>65126</v>
      </c>
      <c r="L279">
        <v>33</v>
      </c>
      <c r="M279">
        <v>152687</v>
      </c>
      <c r="N279" t="s">
        <v>45</v>
      </c>
      <c r="O279" t="s">
        <v>46</v>
      </c>
    </row>
    <row r="280" spans="2:15" x14ac:dyDescent="0.25">
      <c r="B280" t="s">
        <v>15</v>
      </c>
      <c r="C280" s="4">
        <v>44655</v>
      </c>
      <c r="D280">
        <v>4</v>
      </c>
      <c r="E280" t="s">
        <v>16</v>
      </c>
      <c r="F280" t="s">
        <v>43</v>
      </c>
      <c r="G280" t="s">
        <v>40</v>
      </c>
      <c r="H280">
        <v>12374</v>
      </c>
      <c r="I280">
        <v>0</v>
      </c>
      <c r="J280">
        <v>12374</v>
      </c>
      <c r="L280">
        <v>33</v>
      </c>
      <c r="M280">
        <v>152687</v>
      </c>
      <c r="N280" t="s">
        <v>45</v>
      </c>
      <c r="O280" t="s">
        <v>46</v>
      </c>
    </row>
    <row r="281" spans="2:15" x14ac:dyDescent="0.25">
      <c r="B281" t="s">
        <v>15</v>
      </c>
      <c r="C281" s="4">
        <v>44655</v>
      </c>
      <c r="D281">
        <v>4</v>
      </c>
      <c r="E281" t="s">
        <v>21</v>
      </c>
      <c r="F281" t="s">
        <v>44</v>
      </c>
      <c r="G281" t="s">
        <v>40</v>
      </c>
      <c r="H281">
        <v>0</v>
      </c>
      <c r="I281">
        <v>77500</v>
      </c>
      <c r="J281">
        <v>-77500</v>
      </c>
      <c r="L281">
        <v>33</v>
      </c>
      <c r="M281">
        <v>152687</v>
      </c>
      <c r="N281" t="s">
        <v>45</v>
      </c>
      <c r="O281" t="s">
        <v>46</v>
      </c>
    </row>
    <row r="282" spans="2:15" x14ac:dyDescent="0.25">
      <c r="B282" t="s">
        <v>15</v>
      </c>
      <c r="C282" s="4">
        <v>44655</v>
      </c>
      <c r="D282">
        <v>4</v>
      </c>
      <c r="E282" t="s">
        <v>38</v>
      </c>
      <c r="F282" t="s">
        <v>39</v>
      </c>
      <c r="G282" t="s">
        <v>40</v>
      </c>
      <c r="H282">
        <v>267800</v>
      </c>
      <c r="I282">
        <v>0</v>
      </c>
      <c r="J282">
        <v>267800</v>
      </c>
      <c r="L282">
        <v>33</v>
      </c>
      <c r="M282">
        <v>372197</v>
      </c>
      <c r="N282" t="s">
        <v>51</v>
      </c>
      <c r="O282" t="s">
        <v>52</v>
      </c>
    </row>
    <row r="283" spans="2:15" x14ac:dyDescent="0.25">
      <c r="B283" t="s">
        <v>15</v>
      </c>
      <c r="C283" s="4">
        <v>44655</v>
      </c>
      <c r="D283">
        <v>4</v>
      </c>
      <c r="E283" t="s">
        <v>16</v>
      </c>
      <c r="F283" t="s">
        <v>43</v>
      </c>
      <c r="G283" t="s">
        <v>40</v>
      </c>
      <c r="H283">
        <v>50882</v>
      </c>
      <c r="I283">
        <v>0</v>
      </c>
      <c r="J283">
        <v>50882</v>
      </c>
      <c r="L283">
        <v>33</v>
      </c>
      <c r="M283">
        <v>372197</v>
      </c>
      <c r="N283" t="s">
        <v>51</v>
      </c>
      <c r="O283" t="s">
        <v>52</v>
      </c>
    </row>
    <row r="284" spans="2:15" x14ac:dyDescent="0.25">
      <c r="B284" t="s">
        <v>15</v>
      </c>
      <c r="C284" s="4">
        <v>44655</v>
      </c>
      <c r="D284">
        <v>4</v>
      </c>
      <c r="E284" t="s">
        <v>21</v>
      </c>
      <c r="F284" t="s">
        <v>44</v>
      </c>
      <c r="G284" t="s">
        <v>40</v>
      </c>
      <c r="H284">
        <v>0</v>
      </c>
      <c r="I284">
        <v>318682</v>
      </c>
      <c r="J284">
        <v>-318682</v>
      </c>
      <c r="L284">
        <v>33</v>
      </c>
      <c r="M284">
        <v>372197</v>
      </c>
      <c r="N284" t="s">
        <v>51</v>
      </c>
      <c r="O284" t="s">
        <v>52</v>
      </c>
    </row>
    <row r="285" spans="2:15" x14ac:dyDescent="0.25">
      <c r="B285" t="s">
        <v>15</v>
      </c>
      <c r="C285" s="4">
        <v>44655</v>
      </c>
      <c r="D285">
        <v>4</v>
      </c>
      <c r="E285" t="s">
        <v>38</v>
      </c>
      <c r="F285" t="s">
        <v>39</v>
      </c>
      <c r="G285" t="s">
        <v>40</v>
      </c>
      <c r="H285">
        <v>78530</v>
      </c>
      <c r="I285">
        <v>0</v>
      </c>
      <c r="J285">
        <v>78530</v>
      </c>
      <c r="L285">
        <v>33</v>
      </c>
      <c r="M285">
        <v>372214</v>
      </c>
      <c r="N285" t="s">
        <v>51</v>
      </c>
      <c r="O285" t="s">
        <v>52</v>
      </c>
    </row>
    <row r="286" spans="2:15" x14ac:dyDescent="0.25">
      <c r="B286" t="s">
        <v>15</v>
      </c>
      <c r="C286" s="4">
        <v>44655</v>
      </c>
      <c r="D286">
        <v>4</v>
      </c>
      <c r="E286" t="s">
        <v>16</v>
      </c>
      <c r="F286" t="s">
        <v>43</v>
      </c>
      <c r="G286" t="s">
        <v>40</v>
      </c>
      <c r="H286">
        <v>14921</v>
      </c>
      <c r="I286">
        <v>0</v>
      </c>
      <c r="J286">
        <v>14921</v>
      </c>
      <c r="L286">
        <v>33</v>
      </c>
      <c r="M286">
        <v>372214</v>
      </c>
      <c r="N286" t="s">
        <v>51</v>
      </c>
      <c r="O286" t="s">
        <v>52</v>
      </c>
    </row>
    <row r="287" spans="2:15" x14ac:dyDescent="0.25">
      <c r="B287" t="s">
        <v>15</v>
      </c>
      <c r="C287" s="4">
        <v>44655</v>
      </c>
      <c r="D287">
        <v>4</v>
      </c>
      <c r="E287" t="s">
        <v>21</v>
      </c>
      <c r="F287" t="s">
        <v>44</v>
      </c>
      <c r="G287" t="s">
        <v>40</v>
      </c>
      <c r="H287">
        <v>0</v>
      </c>
      <c r="I287">
        <v>93451</v>
      </c>
      <c r="J287">
        <v>-93451</v>
      </c>
      <c r="L287">
        <v>33</v>
      </c>
      <c r="M287">
        <v>372214</v>
      </c>
      <c r="N287" t="s">
        <v>51</v>
      </c>
      <c r="O287" t="s">
        <v>52</v>
      </c>
    </row>
    <row r="288" spans="2:15" x14ac:dyDescent="0.25">
      <c r="B288" t="s">
        <v>15</v>
      </c>
      <c r="C288" s="4">
        <v>44656</v>
      </c>
      <c r="D288">
        <v>4</v>
      </c>
      <c r="E288" t="s">
        <v>38</v>
      </c>
      <c r="F288" t="s">
        <v>39</v>
      </c>
      <c r="G288" t="s">
        <v>40</v>
      </c>
      <c r="H288">
        <v>168674</v>
      </c>
      <c r="I288">
        <v>0</v>
      </c>
      <c r="J288">
        <v>168674</v>
      </c>
      <c r="L288">
        <v>33</v>
      </c>
      <c r="M288">
        <v>293831</v>
      </c>
      <c r="N288" t="s">
        <v>63</v>
      </c>
      <c r="O288" t="s">
        <v>64</v>
      </c>
    </row>
    <row r="289" spans="2:15" x14ac:dyDescent="0.25">
      <c r="B289" t="s">
        <v>15</v>
      </c>
      <c r="C289" s="4">
        <v>44656</v>
      </c>
      <c r="D289">
        <v>4</v>
      </c>
      <c r="E289" t="s">
        <v>16</v>
      </c>
      <c r="F289" t="s">
        <v>43</v>
      </c>
      <c r="G289" t="s">
        <v>40</v>
      </c>
      <c r="H289">
        <v>32048</v>
      </c>
      <c r="I289">
        <v>0</v>
      </c>
      <c r="J289">
        <v>32048</v>
      </c>
      <c r="L289">
        <v>33</v>
      </c>
      <c r="M289">
        <v>293831</v>
      </c>
      <c r="N289" t="s">
        <v>63</v>
      </c>
      <c r="O289" t="s">
        <v>64</v>
      </c>
    </row>
    <row r="290" spans="2:15" x14ac:dyDescent="0.25">
      <c r="B290" t="s">
        <v>15</v>
      </c>
      <c r="C290" s="4">
        <v>44656</v>
      </c>
      <c r="D290">
        <v>4</v>
      </c>
      <c r="E290" t="s">
        <v>21</v>
      </c>
      <c r="F290" t="s">
        <v>44</v>
      </c>
      <c r="G290" t="s">
        <v>40</v>
      </c>
      <c r="H290">
        <v>0</v>
      </c>
      <c r="I290">
        <v>200722</v>
      </c>
      <c r="J290">
        <v>-200722</v>
      </c>
      <c r="L290">
        <v>33</v>
      </c>
      <c r="M290">
        <v>293831</v>
      </c>
      <c r="N290" t="s">
        <v>63</v>
      </c>
      <c r="O290" t="s">
        <v>64</v>
      </c>
    </row>
    <row r="291" spans="2:15" x14ac:dyDescent="0.25">
      <c r="B291" t="s">
        <v>15</v>
      </c>
      <c r="C291" s="4">
        <v>44658</v>
      </c>
      <c r="D291">
        <v>4</v>
      </c>
      <c r="E291" t="s">
        <v>38</v>
      </c>
      <c r="F291" t="s">
        <v>39</v>
      </c>
      <c r="G291" t="s">
        <v>40</v>
      </c>
      <c r="H291">
        <v>70000</v>
      </c>
      <c r="I291">
        <v>0</v>
      </c>
      <c r="J291">
        <v>70000</v>
      </c>
      <c r="L291">
        <v>33</v>
      </c>
      <c r="M291">
        <v>1430</v>
      </c>
      <c r="N291" t="s">
        <v>79</v>
      </c>
      <c r="O291" t="s">
        <v>80</v>
      </c>
    </row>
    <row r="292" spans="2:15" x14ac:dyDescent="0.25">
      <c r="B292" t="s">
        <v>15</v>
      </c>
      <c r="C292" s="4">
        <v>44658</v>
      </c>
      <c r="D292">
        <v>4</v>
      </c>
      <c r="E292" t="s">
        <v>16</v>
      </c>
      <c r="F292" t="s">
        <v>43</v>
      </c>
      <c r="G292" t="s">
        <v>40</v>
      </c>
      <c r="H292">
        <v>13300</v>
      </c>
      <c r="I292">
        <v>0</v>
      </c>
      <c r="J292">
        <v>13300</v>
      </c>
      <c r="L292">
        <v>33</v>
      </c>
      <c r="M292">
        <v>1430</v>
      </c>
      <c r="N292" t="s">
        <v>79</v>
      </c>
      <c r="O292" t="s">
        <v>80</v>
      </c>
    </row>
    <row r="293" spans="2:15" x14ac:dyDescent="0.25">
      <c r="B293" t="s">
        <v>15</v>
      </c>
      <c r="C293" s="4">
        <v>44658</v>
      </c>
      <c r="D293">
        <v>4</v>
      </c>
      <c r="E293" t="s">
        <v>21</v>
      </c>
      <c r="F293" t="s">
        <v>44</v>
      </c>
      <c r="G293" t="s">
        <v>40</v>
      </c>
      <c r="H293">
        <v>0</v>
      </c>
      <c r="I293">
        <v>83300</v>
      </c>
      <c r="J293">
        <v>-83300</v>
      </c>
      <c r="L293">
        <v>33</v>
      </c>
      <c r="M293">
        <v>1430</v>
      </c>
      <c r="N293" t="s">
        <v>79</v>
      </c>
      <c r="O293" t="s">
        <v>80</v>
      </c>
    </row>
    <row r="294" spans="2:15" x14ac:dyDescent="0.25">
      <c r="B294" t="s">
        <v>15</v>
      </c>
      <c r="C294" s="4">
        <v>44659</v>
      </c>
      <c r="D294">
        <v>4</v>
      </c>
      <c r="E294" t="s">
        <v>38</v>
      </c>
      <c r="F294" t="s">
        <v>39</v>
      </c>
      <c r="G294" t="s">
        <v>40</v>
      </c>
      <c r="H294">
        <v>299260</v>
      </c>
      <c r="I294">
        <v>0</v>
      </c>
      <c r="J294">
        <v>299260</v>
      </c>
      <c r="L294">
        <v>33</v>
      </c>
      <c r="M294">
        <v>373171</v>
      </c>
      <c r="N294" t="s">
        <v>51</v>
      </c>
      <c r="O294" t="s">
        <v>52</v>
      </c>
    </row>
    <row r="295" spans="2:15" x14ac:dyDescent="0.25">
      <c r="B295" t="s">
        <v>15</v>
      </c>
      <c r="C295" s="4">
        <v>44659</v>
      </c>
      <c r="D295">
        <v>4</v>
      </c>
      <c r="E295" t="s">
        <v>16</v>
      </c>
      <c r="F295" t="s">
        <v>43</v>
      </c>
      <c r="G295" t="s">
        <v>40</v>
      </c>
      <c r="H295">
        <v>56859</v>
      </c>
      <c r="I295">
        <v>0</v>
      </c>
      <c r="J295">
        <v>56859</v>
      </c>
      <c r="L295">
        <v>33</v>
      </c>
      <c r="M295">
        <v>373171</v>
      </c>
      <c r="N295" t="s">
        <v>51</v>
      </c>
      <c r="O295" t="s">
        <v>52</v>
      </c>
    </row>
    <row r="296" spans="2:15" x14ac:dyDescent="0.25">
      <c r="B296" t="s">
        <v>15</v>
      </c>
      <c r="C296" s="4">
        <v>44659</v>
      </c>
      <c r="D296">
        <v>4</v>
      </c>
      <c r="E296" t="s">
        <v>21</v>
      </c>
      <c r="F296" t="s">
        <v>44</v>
      </c>
      <c r="G296" t="s">
        <v>40</v>
      </c>
      <c r="H296">
        <v>0</v>
      </c>
      <c r="I296">
        <v>356119</v>
      </c>
      <c r="J296">
        <v>-356119</v>
      </c>
      <c r="L296">
        <v>33</v>
      </c>
      <c r="M296">
        <v>373171</v>
      </c>
      <c r="N296" t="s">
        <v>51</v>
      </c>
      <c r="O296" t="s">
        <v>52</v>
      </c>
    </row>
    <row r="297" spans="2:15" x14ac:dyDescent="0.25">
      <c r="B297" t="s">
        <v>15</v>
      </c>
      <c r="C297" s="4">
        <v>44659</v>
      </c>
      <c r="D297">
        <v>4</v>
      </c>
      <c r="E297" t="s">
        <v>38</v>
      </c>
      <c r="F297" t="s">
        <v>39</v>
      </c>
      <c r="G297" t="s">
        <v>40</v>
      </c>
      <c r="H297">
        <v>365170</v>
      </c>
      <c r="I297">
        <v>0</v>
      </c>
      <c r="J297">
        <v>365170</v>
      </c>
      <c r="L297">
        <v>33</v>
      </c>
      <c r="M297">
        <v>373218</v>
      </c>
      <c r="N297" t="s">
        <v>51</v>
      </c>
      <c r="O297" t="s">
        <v>52</v>
      </c>
    </row>
    <row r="298" spans="2:15" x14ac:dyDescent="0.25">
      <c r="B298" t="s">
        <v>15</v>
      </c>
      <c r="C298" s="4">
        <v>44659</v>
      </c>
      <c r="D298">
        <v>4</v>
      </c>
      <c r="E298" t="s">
        <v>16</v>
      </c>
      <c r="F298" t="s">
        <v>43</v>
      </c>
      <c r="G298" t="s">
        <v>40</v>
      </c>
      <c r="H298">
        <v>69382</v>
      </c>
      <c r="I298">
        <v>0</v>
      </c>
      <c r="J298">
        <v>69382</v>
      </c>
      <c r="L298">
        <v>33</v>
      </c>
      <c r="M298">
        <v>373218</v>
      </c>
      <c r="N298" t="s">
        <v>51</v>
      </c>
      <c r="O298" t="s">
        <v>52</v>
      </c>
    </row>
    <row r="299" spans="2:15" x14ac:dyDescent="0.25">
      <c r="B299" t="s">
        <v>15</v>
      </c>
      <c r="C299" s="4">
        <v>44659</v>
      </c>
      <c r="D299">
        <v>4</v>
      </c>
      <c r="E299" t="s">
        <v>21</v>
      </c>
      <c r="F299" t="s">
        <v>44</v>
      </c>
      <c r="G299" t="s">
        <v>40</v>
      </c>
      <c r="H299">
        <v>0</v>
      </c>
      <c r="I299">
        <v>434552</v>
      </c>
      <c r="J299">
        <v>-434552</v>
      </c>
      <c r="L299">
        <v>33</v>
      </c>
      <c r="M299">
        <v>373218</v>
      </c>
      <c r="N299" t="s">
        <v>51</v>
      </c>
      <c r="O299" t="s">
        <v>52</v>
      </c>
    </row>
    <row r="300" spans="2:15" x14ac:dyDescent="0.25">
      <c r="B300" t="s">
        <v>15</v>
      </c>
      <c r="C300" s="4">
        <v>44663</v>
      </c>
      <c r="D300">
        <v>4</v>
      </c>
      <c r="E300" t="s">
        <v>38</v>
      </c>
      <c r="F300" t="s">
        <v>39</v>
      </c>
      <c r="G300" t="s">
        <v>40</v>
      </c>
      <c r="H300">
        <v>4370</v>
      </c>
      <c r="I300">
        <v>0</v>
      </c>
      <c r="J300">
        <v>4370</v>
      </c>
      <c r="L300">
        <v>33</v>
      </c>
      <c r="M300">
        <v>42459</v>
      </c>
      <c r="N300" t="s">
        <v>65</v>
      </c>
      <c r="O300" t="s">
        <v>66</v>
      </c>
    </row>
    <row r="301" spans="2:15" x14ac:dyDescent="0.25">
      <c r="B301" t="s">
        <v>15</v>
      </c>
      <c r="C301" s="4">
        <v>44663</v>
      </c>
      <c r="D301">
        <v>4</v>
      </c>
      <c r="E301" t="s">
        <v>16</v>
      </c>
      <c r="F301" t="s">
        <v>43</v>
      </c>
      <c r="G301" t="s">
        <v>40</v>
      </c>
      <c r="H301">
        <v>830</v>
      </c>
      <c r="I301">
        <v>0</v>
      </c>
      <c r="J301">
        <v>830</v>
      </c>
      <c r="L301">
        <v>33</v>
      </c>
      <c r="M301">
        <v>42459</v>
      </c>
      <c r="N301" t="s">
        <v>65</v>
      </c>
      <c r="O301" t="s">
        <v>66</v>
      </c>
    </row>
    <row r="302" spans="2:15" x14ac:dyDescent="0.25">
      <c r="B302" t="s">
        <v>15</v>
      </c>
      <c r="C302" s="4">
        <v>44663</v>
      </c>
      <c r="D302">
        <v>4</v>
      </c>
      <c r="E302" t="s">
        <v>21</v>
      </c>
      <c r="F302" t="s">
        <v>44</v>
      </c>
      <c r="G302" t="s">
        <v>40</v>
      </c>
      <c r="H302">
        <v>0</v>
      </c>
      <c r="I302">
        <v>5200</v>
      </c>
      <c r="J302">
        <v>-5200</v>
      </c>
      <c r="L302">
        <v>33</v>
      </c>
      <c r="M302">
        <v>42459</v>
      </c>
      <c r="N302" t="s">
        <v>65</v>
      </c>
      <c r="O302" t="s">
        <v>66</v>
      </c>
    </row>
    <row r="303" spans="2:15" x14ac:dyDescent="0.25">
      <c r="B303" t="s">
        <v>15</v>
      </c>
      <c r="C303" s="4">
        <v>44663</v>
      </c>
      <c r="D303">
        <v>4</v>
      </c>
      <c r="E303" t="s">
        <v>38</v>
      </c>
      <c r="F303" t="s">
        <v>39</v>
      </c>
      <c r="G303" t="s">
        <v>40</v>
      </c>
      <c r="H303">
        <v>69667</v>
      </c>
      <c r="I303">
        <v>0</v>
      </c>
      <c r="J303">
        <v>69667</v>
      </c>
      <c r="L303">
        <v>33</v>
      </c>
      <c r="M303">
        <v>294966</v>
      </c>
      <c r="N303" t="s">
        <v>63</v>
      </c>
      <c r="O303" t="s">
        <v>64</v>
      </c>
    </row>
    <row r="304" spans="2:15" x14ac:dyDescent="0.25">
      <c r="B304" t="s">
        <v>15</v>
      </c>
      <c r="C304" s="4">
        <v>44663</v>
      </c>
      <c r="D304">
        <v>4</v>
      </c>
      <c r="E304" t="s">
        <v>16</v>
      </c>
      <c r="F304" t="s">
        <v>43</v>
      </c>
      <c r="G304" t="s">
        <v>40</v>
      </c>
      <c r="H304">
        <v>13237</v>
      </c>
      <c r="I304">
        <v>0</v>
      </c>
      <c r="J304">
        <v>13237</v>
      </c>
      <c r="L304">
        <v>33</v>
      </c>
      <c r="M304">
        <v>294966</v>
      </c>
      <c r="N304" t="s">
        <v>63</v>
      </c>
      <c r="O304" t="s">
        <v>64</v>
      </c>
    </row>
    <row r="305" spans="2:15" x14ac:dyDescent="0.25">
      <c r="B305" t="s">
        <v>15</v>
      </c>
      <c r="C305" s="4">
        <v>44663</v>
      </c>
      <c r="D305">
        <v>4</v>
      </c>
      <c r="E305" t="s">
        <v>21</v>
      </c>
      <c r="F305" t="s">
        <v>44</v>
      </c>
      <c r="G305" t="s">
        <v>40</v>
      </c>
      <c r="H305">
        <v>0</v>
      </c>
      <c r="I305">
        <v>82904</v>
      </c>
      <c r="J305">
        <v>-82904</v>
      </c>
      <c r="L305">
        <v>33</v>
      </c>
      <c r="M305">
        <v>294966</v>
      </c>
      <c r="N305" t="s">
        <v>63</v>
      </c>
      <c r="O305" t="s">
        <v>64</v>
      </c>
    </row>
    <row r="306" spans="2:15" x14ac:dyDescent="0.25">
      <c r="B306" t="s">
        <v>15</v>
      </c>
      <c r="C306" s="4">
        <v>44663</v>
      </c>
      <c r="D306">
        <v>4</v>
      </c>
      <c r="E306" t="s">
        <v>38</v>
      </c>
      <c r="F306" t="s">
        <v>39</v>
      </c>
      <c r="G306" t="s">
        <v>40</v>
      </c>
      <c r="H306">
        <v>16126</v>
      </c>
      <c r="I306">
        <v>0</v>
      </c>
      <c r="J306">
        <v>16126</v>
      </c>
      <c r="L306">
        <v>33</v>
      </c>
      <c r="M306">
        <v>28784</v>
      </c>
      <c r="N306" t="s">
        <v>81</v>
      </c>
      <c r="O306" t="s">
        <v>82</v>
      </c>
    </row>
    <row r="307" spans="2:15" x14ac:dyDescent="0.25">
      <c r="B307" t="s">
        <v>15</v>
      </c>
      <c r="C307" s="4">
        <v>44663</v>
      </c>
      <c r="D307">
        <v>4</v>
      </c>
      <c r="E307" t="s">
        <v>16</v>
      </c>
      <c r="F307" t="s">
        <v>43</v>
      </c>
      <c r="G307" t="s">
        <v>40</v>
      </c>
      <c r="H307">
        <v>3064</v>
      </c>
      <c r="I307">
        <v>0</v>
      </c>
      <c r="J307">
        <v>3064</v>
      </c>
      <c r="L307">
        <v>33</v>
      </c>
      <c r="M307">
        <v>28784</v>
      </c>
      <c r="N307" t="s">
        <v>81</v>
      </c>
      <c r="O307" t="s">
        <v>82</v>
      </c>
    </row>
    <row r="308" spans="2:15" x14ac:dyDescent="0.25">
      <c r="B308" t="s">
        <v>15</v>
      </c>
      <c r="C308" s="4">
        <v>44663</v>
      </c>
      <c r="D308">
        <v>4</v>
      </c>
      <c r="E308" t="s">
        <v>21</v>
      </c>
      <c r="F308" t="s">
        <v>44</v>
      </c>
      <c r="G308" t="s">
        <v>40</v>
      </c>
      <c r="H308">
        <v>0</v>
      </c>
      <c r="I308">
        <v>19190</v>
      </c>
      <c r="J308">
        <v>-19190</v>
      </c>
      <c r="L308">
        <v>33</v>
      </c>
      <c r="M308">
        <v>28784</v>
      </c>
      <c r="N308" t="s">
        <v>81</v>
      </c>
      <c r="O308" t="s">
        <v>82</v>
      </c>
    </row>
    <row r="309" spans="2:15" x14ac:dyDescent="0.25">
      <c r="B309" t="s">
        <v>15</v>
      </c>
      <c r="C309" s="4">
        <v>44663</v>
      </c>
      <c r="D309">
        <v>4</v>
      </c>
      <c r="E309" t="s">
        <v>38</v>
      </c>
      <c r="F309" t="s">
        <v>39</v>
      </c>
      <c r="G309" t="s">
        <v>40</v>
      </c>
      <c r="H309">
        <v>100000</v>
      </c>
      <c r="I309">
        <v>0</v>
      </c>
      <c r="J309">
        <v>100000</v>
      </c>
      <c r="L309">
        <v>33</v>
      </c>
      <c r="M309">
        <v>625</v>
      </c>
      <c r="N309" t="s">
        <v>83</v>
      </c>
      <c r="O309" t="s">
        <v>84</v>
      </c>
    </row>
    <row r="310" spans="2:15" x14ac:dyDescent="0.25">
      <c r="B310" t="s">
        <v>15</v>
      </c>
      <c r="C310" s="4">
        <v>44663</v>
      </c>
      <c r="D310">
        <v>4</v>
      </c>
      <c r="E310" t="s">
        <v>16</v>
      </c>
      <c r="F310" t="s">
        <v>43</v>
      </c>
      <c r="G310" t="s">
        <v>40</v>
      </c>
      <c r="H310">
        <v>19000</v>
      </c>
      <c r="I310">
        <v>0</v>
      </c>
      <c r="J310">
        <v>19000</v>
      </c>
      <c r="L310">
        <v>33</v>
      </c>
      <c r="M310">
        <v>625</v>
      </c>
      <c r="N310" t="s">
        <v>83</v>
      </c>
      <c r="O310" t="s">
        <v>84</v>
      </c>
    </row>
    <row r="311" spans="2:15" x14ac:dyDescent="0.25">
      <c r="B311" t="s">
        <v>15</v>
      </c>
      <c r="C311" s="4">
        <v>44663</v>
      </c>
      <c r="D311">
        <v>4</v>
      </c>
      <c r="E311" t="s">
        <v>21</v>
      </c>
      <c r="F311" t="s">
        <v>44</v>
      </c>
      <c r="G311" t="s">
        <v>40</v>
      </c>
      <c r="H311">
        <v>0</v>
      </c>
      <c r="I311">
        <v>119000</v>
      </c>
      <c r="J311">
        <v>-119000</v>
      </c>
      <c r="L311">
        <v>33</v>
      </c>
      <c r="M311">
        <v>625</v>
      </c>
      <c r="N311" t="s">
        <v>83</v>
      </c>
      <c r="O311" t="s">
        <v>84</v>
      </c>
    </row>
    <row r="312" spans="2:15" x14ac:dyDescent="0.25">
      <c r="B312" t="s">
        <v>15</v>
      </c>
      <c r="C312" s="4">
        <v>44664</v>
      </c>
      <c r="D312">
        <v>4</v>
      </c>
      <c r="E312" t="s">
        <v>38</v>
      </c>
      <c r="F312" t="s">
        <v>39</v>
      </c>
      <c r="G312" t="s">
        <v>40</v>
      </c>
      <c r="H312">
        <v>113000</v>
      </c>
      <c r="I312">
        <v>0</v>
      </c>
      <c r="J312">
        <v>113000</v>
      </c>
      <c r="L312">
        <v>33</v>
      </c>
      <c r="M312">
        <v>373775</v>
      </c>
      <c r="N312" t="s">
        <v>51</v>
      </c>
      <c r="O312" t="s">
        <v>52</v>
      </c>
    </row>
    <row r="313" spans="2:15" x14ac:dyDescent="0.25">
      <c r="B313" t="s">
        <v>15</v>
      </c>
      <c r="C313" s="4">
        <v>44664</v>
      </c>
      <c r="D313">
        <v>4</v>
      </c>
      <c r="E313" t="s">
        <v>16</v>
      </c>
      <c r="F313" t="s">
        <v>43</v>
      </c>
      <c r="G313" t="s">
        <v>40</v>
      </c>
      <c r="H313">
        <v>21470</v>
      </c>
      <c r="I313">
        <v>0</v>
      </c>
      <c r="J313">
        <v>21470</v>
      </c>
      <c r="L313">
        <v>33</v>
      </c>
      <c r="M313">
        <v>373775</v>
      </c>
      <c r="N313" t="s">
        <v>51</v>
      </c>
      <c r="O313" t="s">
        <v>52</v>
      </c>
    </row>
    <row r="314" spans="2:15" x14ac:dyDescent="0.25">
      <c r="B314" t="s">
        <v>15</v>
      </c>
      <c r="C314" s="4">
        <v>44664</v>
      </c>
      <c r="D314">
        <v>4</v>
      </c>
      <c r="E314" t="s">
        <v>21</v>
      </c>
      <c r="F314" t="s">
        <v>44</v>
      </c>
      <c r="G314" t="s">
        <v>40</v>
      </c>
      <c r="H314">
        <v>0</v>
      </c>
      <c r="I314">
        <v>134470</v>
      </c>
      <c r="J314">
        <v>-134470</v>
      </c>
      <c r="L314">
        <v>33</v>
      </c>
      <c r="M314">
        <v>373775</v>
      </c>
      <c r="N314" t="s">
        <v>51</v>
      </c>
      <c r="O314" t="s">
        <v>52</v>
      </c>
    </row>
    <row r="315" spans="2:15" x14ac:dyDescent="0.25">
      <c r="B315" t="s">
        <v>15</v>
      </c>
      <c r="C315" s="4">
        <v>44665</v>
      </c>
      <c r="D315">
        <v>4</v>
      </c>
      <c r="E315" t="s">
        <v>38</v>
      </c>
      <c r="F315" t="s">
        <v>39</v>
      </c>
      <c r="G315" t="s">
        <v>40</v>
      </c>
      <c r="H315">
        <v>190348</v>
      </c>
      <c r="I315">
        <v>0</v>
      </c>
      <c r="J315">
        <v>190348</v>
      </c>
      <c r="L315">
        <v>33</v>
      </c>
      <c r="M315">
        <v>171415</v>
      </c>
      <c r="N315" t="s">
        <v>53</v>
      </c>
      <c r="O315" t="s">
        <v>54</v>
      </c>
    </row>
    <row r="316" spans="2:15" x14ac:dyDescent="0.25">
      <c r="B316" t="s">
        <v>15</v>
      </c>
      <c r="C316" s="4">
        <v>44665</v>
      </c>
      <c r="D316">
        <v>4</v>
      </c>
      <c r="E316" t="s">
        <v>16</v>
      </c>
      <c r="F316" t="s">
        <v>43</v>
      </c>
      <c r="G316" t="s">
        <v>40</v>
      </c>
      <c r="H316">
        <v>36166</v>
      </c>
      <c r="I316">
        <v>0</v>
      </c>
      <c r="J316">
        <v>36166</v>
      </c>
      <c r="L316">
        <v>33</v>
      </c>
      <c r="M316">
        <v>171415</v>
      </c>
      <c r="N316" t="s">
        <v>53</v>
      </c>
      <c r="O316" t="s">
        <v>54</v>
      </c>
    </row>
    <row r="317" spans="2:15" x14ac:dyDescent="0.25">
      <c r="B317" t="s">
        <v>15</v>
      </c>
      <c r="C317" s="4">
        <v>44665</v>
      </c>
      <c r="D317">
        <v>4</v>
      </c>
      <c r="E317" t="s">
        <v>21</v>
      </c>
      <c r="F317" t="s">
        <v>44</v>
      </c>
      <c r="G317" t="s">
        <v>40</v>
      </c>
      <c r="H317">
        <v>0</v>
      </c>
      <c r="I317">
        <v>226514</v>
      </c>
      <c r="J317">
        <v>-226514</v>
      </c>
      <c r="L317">
        <v>33</v>
      </c>
      <c r="M317">
        <v>171415</v>
      </c>
      <c r="N317" t="s">
        <v>53</v>
      </c>
      <c r="O317" t="s">
        <v>54</v>
      </c>
    </row>
    <row r="318" spans="2:15" x14ac:dyDescent="0.25">
      <c r="B318" t="s">
        <v>15</v>
      </c>
      <c r="C318" s="4">
        <v>44669</v>
      </c>
      <c r="D318">
        <v>4</v>
      </c>
      <c r="E318" t="s">
        <v>38</v>
      </c>
      <c r="F318" t="s">
        <v>39</v>
      </c>
      <c r="G318" t="s">
        <v>40</v>
      </c>
      <c r="H318">
        <v>724540</v>
      </c>
      <c r="I318">
        <v>0</v>
      </c>
      <c r="J318">
        <v>724540</v>
      </c>
      <c r="L318">
        <v>33</v>
      </c>
      <c r="M318">
        <v>374426</v>
      </c>
      <c r="N318" t="s">
        <v>51</v>
      </c>
      <c r="O318" t="s">
        <v>52</v>
      </c>
    </row>
    <row r="319" spans="2:15" x14ac:dyDescent="0.25">
      <c r="B319" t="s">
        <v>15</v>
      </c>
      <c r="C319" s="4">
        <v>44669</v>
      </c>
      <c r="D319">
        <v>4</v>
      </c>
      <c r="E319" t="s">
        <v>16</v>
      </c>
      <c r="F319" t="s">
        <v>43</v>
      </c>
      <c r="G319" t="s">
        <v>40</v>
      </c>
      <c r="H319">
        <v>137663</v>
      </c>
      <c r="I319">
        <v>0</v>
      </c>
      <c r="J319">
        <v>137663</v>
      </c>
      <c r="L319">
        <v>33</v>
      </c>
      <c r="M319">
        <v>374426</v>
      </c>
      <c r="N319" t="s">
        <v>51</v>
      </c>
      <c r="O319" t="s">
        <v>52</v>
      </c>
    </row>
    <row r="320" spans="2:15" x14ac:dyDescent="0.25">
      <c r="B320" t="s">
        <v>15</v>
      </c>
      <c r="C320" s="4">
        <v>44669</v>
      </c>
      <c r="D320">
        <v>4</v>
      </c>
      <c r="E320" t="s">
        <v>21</v>
      </c>
      <c r="F320" t="s">
        <v>44</v>
      </c>
      <c r="G320" t="s">
        <v>40</v>
      </c>
      <c r="H320">
        <v>0</v>
      </c>
      <c r="I320">
        <v>862203</v>
      </c>
      <c r="J320">
        <v>-862203</v>
      </c>
      <c r="L320">
        <v>33</v>
      </c>
      <c r="M320">
        <v>374426</v>
      </c>
      <c r="N320" t="s">
        <v>51</v>
      </c>
      <c r="O320" t="s">
        <v>52</v>
      </c>
    </row>
    <row r="321" spans="2:15" x14ac:dyDescent="0.25">
      <c r="B321" t="s">
        <v>15</v>
      </c>
      <c r="C321" s="4">
        <v>44669</v>
      </c>
      <c r="D321">
        <v>4</v>
      </c>
      <c r="E321" t="s">
        <v>38</v>
      </c>
      <c r="F321" t="s">
        <v>39</v>
      </c>
      <c r="G321" t="s">
        <v>40</v>
      </c>
      <c r="H321">
        <v>241840</v>
      </c>
      <c r="I321">
        <v>0</v>
      </c>
      <c r="J321">
        <v>241840</v>
      </c>
      <c r="L321">
        <v>33</v>
      </c>
      <c r="M321">
        <v>374427</v>
      </c>
      <c r="N321" t="s">
        <v>51</v>
      </c>
      <c r="O321" t="s">
        <v>52</v>
      </c>
    </row>
    <row r="322" spans="2:15" x14ac:dyDescent="0.25">
      <c r="B322" t="s">
        <v>15</v>
      </c>
      <c r="C322" s="4">
        <v>44669</v>
      </c>
      <c r="D322">
        <v>4</v>
      </c>
      <c r="E322" t="s">
        <v>16</v>
      </c>
      <c r="F322" t="s">
        <v>43</v>
      </c>
      <c r="G322" t="s">
        <v>40</v>
      </c>
      <c r="H322">
        <v>45950</v>
      </c>
      <c r="I322">
        <v>0</v>
      </c>
      <c r="J322">
        <v>45950</v>
      </c>
      <c r="L322">
        <v>33</v>
      </c>
      <c r="M322">
        <v>374427</v>
      </c>
      <c r="N322" t="s">
        <v>51</v>
      </c>
      <c r="O322" t="s">
        <v>52</v>
      </c>
    </row>
    <row r="323" spans="2:15" x14ac:dyDescent="0.25">
      <c r="B323" t="s">
        <v>15</v>
      </c>
      <c r="C323" s="4">
        <v>44669</v>
      </c>
      <c r="D323">
        <v>4</v>
      </c>
      <c r="E323" t="s">
        <v>21</v>
      </c>
      <c r="F323" t="s">
        <v>44</v>
      </c>
      <c r="G323" t="s">
        <v>40</v>
      </c>
      <c r="H323">
        <v>0</v>
      </c>
      <c r="I323">
        <v>287790</v>
      </c>
      <c r="J323">
        <v>-287790</v>
      </c>
      <c r="L323">
        <v>33</v>
      </c>
      <c r="M323">
        <v>374427</v>
      </c>
      <c r="N323" t="s">
        <v>51</v>
      </c>
      <c r="O323" t="s">
        <v>52</v>
      </c>
    </row>
    <row r="324" spans="2:15" x14ac:dyDescent="0.25">
      <c r="B324" t="s">
        <v>15</v>
      </c>
      <c r="C324" s="4">
        <v>44671</v>
      </c>
      <c r="D324">
        <v>4</v>
      </c>
      <c r="E324" t="s">
        <v>38</v>
      </c>
      <c r="F324" t="s">
        <v>39</v>
      </c>
      <c r="G324" t="s">
        <v>40</v>
      </c>
      <c r="H324">
        <v>200341</v>
      </c>
      <c r="I324">
        <v>0</v>
      </c>
      <c r="J324">
        <v>200341</v>
      </c>
      <c r="L324">
        <v>33</v>
      </c>
      <c r="M324">
        <v>670124</v>
      </c>
      <c r="N324" t="s">
        <v>49</v>
      </c>
      <c r="O324" t="s">
        <v>50</v>
      </c>
    </row>
    <row r="325" spans="2:15" x14ac:dyDescent="0.25">
      <c r="B325" t="s">
        <v>15</v>
      </c>
      <c r="C325" s="4">
        <v>44671</v>
      </c>
      <c r="D325">
        <v>4</v>
      </c>
      <c r="E325" t="s">
        <v>16</v>
      </c>
      <c r="F325" t="s">
        <v>43</v>
      </c>
      <c r="G325" t="s">
        <v>40</v>
      </c>
      <c r="H325">
        <v>38065</v>
      </c>
      <c r="I325">
        <v>0</v>
      </c>
      <c r="J325">
        <v>38065</v>
      </c>
      <c r="L325">
        <v>33</v>
      </c>
      <c r="M325">
        <v>670124</v>
      </c>
      <c r="N325" t="s">
        <v>49</v>
      </c>
      <c r="O325" t="s">
        <v>50</v>
      </c>
    </row>
    <row r="326" spans="2:15" x14ac:dyDescent="0.25">
      <c r="B326" t="s">
        <v>15</v>
      </c>
      <c r="C326" s="4">
        <v>44671</v>
      </c>
      <c r="D326">
        <v>4</v>
      </c>
      <c r="E326" t="s">
        <v>21</v>
      </c>
      <c r="F326" t="s">
        <v>44</v>
      </c>
      <c r="G326" t="s">
        <v>40</v>
      </c>
      <c r="H326">
        <v>0</v>
      </c>
      <c r="I326">
        <v>238406</v>
      </c>
      <c r="J326">
        <v>-238406</v>
      </c>
      <c r="L326">
        <v>33</v>
      </c>
      <c r="M326">
        <v>670124</v>
      </c>
      <c r="N326" t="s">
        <v>49</v>
      </c>
      <c r="O326" t="s">
        <v>50</v>
      </c>
    </row>
    <row r="327" spans="2:15" x14ac:dyDescent="0.25">
      <c r="B327" t="s">
        <v>15</v>
      </c>
      <c r="C327" s="4">
        <v>44671</v>
      </c>
      <c r="D327">
        <v>4</v>
      </c>
      <c r="E327" t="s">
        <v>38</v>
      </c>
      <c r="F327" t="s">
        <v>39</v>
      </c>
      <c r="G327" t="s">
        <v>40</v>
      </c>
      <c r="H327">
        <v>56550</v>
      </c>
      <c r="I327">
        <v>0</v>
      </c>
      <c r="J327">
        <v>56550</v>
      </c>
      <c r="L327">
        <v>33</v>
      </c>
      <c r="M327">
        <v>345161</v>
      </c>
      <c r="N327" t="s">
        <v>85</v>
      </c>
      <c r="O327" t="s">
        <v>86</v>
      </c>
    </row>
    <row r="328" spans="2:15" x14ac:dyDescent="0.25">
      <c r="B328" t="s">
        <v>15</v>
      </c>
      <c r="C328" s="4">
        <v>44671</v>
      </c>
      <c r="D328">
        <v>4</v>
      </c>
      <c r="E328" t="s">
        <v>16</v>
      </c>
      <c r="F328" t="s">
        <v>43</v>
      </c>
      <c r="G328" t="s">
        <v>40</v>
      </c>
      <c r="H328">
        <v>10745</v>
      </c>
      <c r="I328">
        <v>0</v>
      </c>
      <c r="J328">
        <v>10745</v>
      </c>
      <c r="L328">
        <v>33</v>
      </c>
      <c r="M328">
        <v>345161</v>
      </c>
      <c r="N328" t="s">
        <v>85</v>
      </c>
      <c r="O328" t="s">
        <v>86</v>
      </c>
    </row>
    <row r="329" spans="2:15" x14ac:dyDescent="0.25">
      <c r="B329" t="s">
        <v>15</v>
      </c>
      <c r="C329" s="4">
        <v>44671</v>
      </c>
      <c r="D329">
        <v>4</v>
      </c>
      <c r="E329" t="s">
        <v>21</v>
      </c>
      <c r="F329" t="s">
        <v>44</v>
      </c>
      <c r="G329" t="s">
        <v>40</v>
      </c>
      <c r="H329">
        <v>0</v>
      </c>
      <c r="I329">
        <v>67295</v>
      </c>
      <c r="J329">
        <v>-67295</v>
      </c>
      <c r="L329">
        <v>33</v>
      </c>
      <c r="M329">
        <v>345161</v>
      </c>
      <c r="N329" t="s">
        <v>85</v>
      </c>
      <c r="O329" t="s">
        <v>86</v>
      </c>
    </row>
    <row r="330" spans="2:15" x14ac:dyDescent="0.25">
      <c r="B330" t="s">
        <v>15</v>
      </c>
      <c r="C330" s="4">
        <v>44671</v>
      </c>
      <c r="D330">
        <v>4</v>
      </c>
      <c r="E330" t="s">
        <v>38</v>
      </c>
      <c r="F330" t="s">
        <v>39</v>
      </c>
      <c r="G330" t="s">
        <v>40</v>
      </c>
      <c r="H330">
        <v>105298</v>
      </c>
      <c r="I330">
        <v>0</v>
      </c>
      <c r="J330">
        <v>105298</v>
      </c>
      <c r="L330">
        <v>33</v>
      </c>
      <c r="M330">
        <v>295993</v>
      </c>
      <c r="N330" t="s">
        <v>63</v>
      </c>
      <c r="O330" t="s">
        <v>64</v>
      </c>
    </row>
    <row r="331" spans="2:15" x14ac:dyDescent="0.25">
      <c r="B331" t="s">
        <v>15</v>
      </c>
      <c r="C331" s="4">
        <v>44671</v>
      </c>
      <c r="D331">
        <v>4</v>
      </c>
      <c r="E331" t="s">
        <v>16</v>
      </c>
      <c r="F331" t="s">
        <v>43</v>
      </c>
      <c r="G331" t="s">
        <v>40</v>
      </c>
      <c r="H331">
        <v>20007</v>
      </c>
      <c r="I331">
        <v>0</v>
      </c>
      <c r="J331">
        <v>20007</v>
      </c>
      <c r="L331">
        <v>33</v>
      </c>
      <c r="M331">
        <v>295993</v>
      </c>
      <c r="N331" t="s">
        <v>63</v>
      </c>
      <c r="O331" t="s">
        <v>64</v>
      </c>
    </row>
    <row r="332" spans="2:15" x14ac:dyDescent="0.25">
      <c r="B332" t="s">
        <v>15</v>
      </c>
      <c r="C332" s="4">
        <v>44671</v>
      </c>
      <c r="D332">
        <v>4</v>
      </c>
      <c r="E332" t="s">
        <v>21</v>
      </c>
      <c r="F332" t="s">
        <v>44</v>
      </c>
      <c r="G332" t="s">
        <v>40</v>
      </c>
      <c r="H332">
        <v>0</v>
      </c>
      <c r="I332">
        <v>125305</v>
      </c>
      <c r="J332">
        <v>-125305</v>
      </c>
      <c r="L332">
        <v>33</v>
      </c>
      <c r="M332">
        <v>295993</v>
      </c>
      <c r="N332" t="s">
        <v>63</v>
      </c>
      <c r="O332" t="s">
        <v>64</v>
      </c>
    </row>
    <row r="333" spans="2:15" x14ac:dyDescent="0.25">
      <c r="B333" t="s">
        <v>15</v>
      </c>
      <c r="C333" s="4">
        <v>44672</v>
      </c>
      <c r="D333">
        <v>4</v>
      </c>
      <c r="E333" t="s">
        <v>38</v>
      </c>
      <c r="F333" t="s">
        <v>39</v>
      </c>
      <c r="G333" t="s">
        <v>40</v>
      </c>
      <c r="H333">
        <v>7689</v>
      </c>
      <c r="I333">
        <v>0</v>
      </c>
      <c r="J333">
        <v>7689</v>
      </c>
      <c r="L333">
        <v>33</v>
      </c>
      <c r="M333">
        <v>42761</v>
      </c>
      <c r="N333" t="s">
        <v>65</v>
      </c>
      <c r="O333" t="s">
        <v>66</v>
      </c>
    </row>
    <row r="334" spans="2:15" x14ac:dyDescent="0.25">
      <c r="B334" t="s">
        <v>15</v>
      </c>
      <c r="C334" s="4">
        <v>44672</v>
      </c>
      <c r="D334">
        <v>4</v>
      </c>
      <c r="E334" t="s">
        <v>16</v>
      </c>
      <c r="F334" t="s">
        <v>43</v>
      </c>
      <c r="G334" t="s">
        <v>40</v>
      </c>
      <c r="H334">
        <v>1461</v>
      </c>
      <c r="I334">
        <v>0</v>
      </c>
      <c r="J334">
        <v>1461</v>
      </c>
      <c r="L334">
        <v>33</v>
      </c>
      <c r="M334">
        <v>42761</v>
      </c>
      <c r="N334" t="s">
        <v>65</v>
      </c>
      <c r="O334" t="s">
        <v>66</v>
      </c>
    </row>
    <row r="335" spans="2:15" x14ac:dyDescent="0.25">
      <c r="B335" t="s">
        <v>15</v>
      </c>
      <c r="C335" s="4">
        <v>44672</v>
      </c>
      <c r="D335">
        <v>4</v>
      </c>
      <c r="E335" t="s">
        <v>21</v>
      </c>
      <c r="F335" t="s">
        <v>44</v>
      </c>
      <c r="G335" t="s">
        <v>40</v>
      </c>
      <c r="H335">
        <v>0</v>
      </c>
      <c r="I335">
        <v>9150</v>
      </c>
      <c r="J335">
        <v>-9150</v>
      </c>
      <c r="L335">
        <v>33</v>
      </c>
      <c r="M335">
        <v>42761</v>
      </c>
      <c r="N335" t="s">
        <v>65</v>
      </c>
      <c r="O335" t="s">
        <v>66</v>
      </c>
    </row>
    <row r="336" spans="2:15" x14ac:dyDescent="0.25">
      <c r="B336" t="s">
        <v>15</v>
      </c>
      <c r="C336" s="4">
        <v>44667</v>
      </c>
      <c r="D336">
        <v>4</v>
      </c>
      <c r="E336" t="s">
        <v>38</v>
      </c>
      <c r="F336" t="s">
        <v>39</v>
      </c>
      <c r="G336" t="s">
        <v>40</v>
      </c>
      <c r="H336">
        <v>36101</v>
      </c>
      <c r="I336">
        <v>0</v>
      </c>
      <c r="J336">
        <v>36101</v>
      </c>
      <c r="L336">
        <v>33</v>
      </c>
      <c r="M336">
        <v>9909278</v>
      </c>
      <c r="N336" t="s">
        <v>57</v>
      </c>
      <c r="O336" t="s">
        <v>58</v>
      </c>
    </row>
    <row r="337" spans="2:15" x14ac:dyDescent="0.25">
      <c r="B337" t="s">
        <v>15</v>
      </c>
      <c r="C337" s="4">
        <v>44667</v>
      </c>
      <c r="D337">
        <v>4</v>
      </c>
      <c r="E337" t="s">
        <v>16</v>
      </c>
      <c r="F337" t="s">
        <v>43</v>
      </c>
      <c r="G337" t="s">
        <v>40</v>
      </c>
      <c r="H337">
        <v>6859</v>
      </c>
      <c r="I337">
        <v>0</v>
      </c>
      <c r="J337">
        <v>6859</v>
      </c>
      <c r="L337">
        <v>33</v>
      </c>
      <c r="M337">
        <v>9909278</v>
      </c>
      <c r="N337" t="s">
        <v>57</v>
      </c>
      <c r="O337" t="s">
        <v>58</v>
      </c>
    </row>
    <row r="338" spans="2:15" x14ac:dyDescent="0.25">
      <c r="B338" t="s">
        <v>15</v>
      </c>
      <c r="C338" s="4">
        <v>44667</v>
      </c>
      <c r="D338">
        <v>4</v>
      </c>
      <c r="E338" t="s">
        <v>21</v>
      </c>
      <c r="F338" t="s">
        <v>44</v>
      </c>
      <c r="G338" t="s">
        <v>40</v>
      </c>
      <c r="H338">
        <v>0</v>
      </c>
      <c r="I338">
        <v>42960</v>
      </c>
      <c r="J338">
        <v>-42960</v>
      </c>
      <c r="L338">
        <v>33</v>
      </c>
      <c r="M338">
        <v>9909278</v>
      </c>
      <c r="N338" t="s">
        <v>57</v>
      </c>
      <c r="O338" t="s">
        <v>58</v>
      </c>
    </row>
    <row r="339" spans="2:15" x14ac:dyDescent="0.25">
      <c r="B339" t="s">
        <v>15</v>
      </c>
      <c r="C339" s="4">
        <v>44673</v>
      </c>
      <c r="D339">
        <v>4</v>
      </c>
      <c r="E339" t="s">
        <v>38</v>
      </c>
      <c r="F339" t="s">
        <v>39</v>
      </c>
      <c r="G339" t="s">
        <v>40</v>
      </c>
      <c r="H339">
        <v>2154824</v>
      </c>
      <c r="I339">
        <v>0</v>
      </c>
      <c r="J339">
        <v>2154824</v>
      </c>
      <c r="L339">
        <v>33</v>
      </c>
      <c r="M339">
        <v>375436</v>
      </c>
      <c r="N339" t="s">
        <v>51</v>
      </c>
      <c r="O339" t="s">
        <v>52</v>
      </c>
    </row>
    <row r="340" spans="2:15" x14ac:dyDescent="0.25">
      <c r="B340" t="s">
        <v>15</v>
      </c>
      <c r="C340" s="4">
        <v>44673</v>
      </c>
      <c r="D340">
        <v>4</v>
      </c>
      <c r="E340" t="s">
        <v>16</v>
      </c>
      <c r="F340" t="s">
        <v>43</v>
      </c>
      <c r="G340" t="s">
        <v>40</v>
      </c>
      <c r="H340">
        <v>409417</v>
      </c>
      <c r="I340">
        <v>0</v>
      </c>
      <c r="J340">
        <v>409417</v>
      </c>
      <c r="L340">
        <v>33</v>
      </c>
      <c r="M340">
        <v>375436</v>
      </c>
      <c r="N340" t="s">
        <v>51</v>
      </c>
      <c r="O340" t="s">
        <v>52</v>
      </c>
    </row>
    <row r="341" spans="2:15" x14ac:dyDescent="0.25">
      <c r="B341" t="s">
        <v>15</v>
      </c>
      <c r="C341" s="4">
        <v>44673</v>
      </c>
      <c r="D341">
        <v>4</v>
      </c>
      <c r="E341" t="s">
        <v>21</v>
      </c>
      <c r="F341" t="s">
        <v>44</v>
      </c>
      <c r="G341" t="s">
        <v>40</v>
      </c>
      <c r="H341">
        <v>0</v>
      </c>
      <c r="I341">
        <v>2564241</v>
      </c>
      <c r="J341">
        <v>-2564241</v>
      </c>
      <c r="L341">
        <v>33</v>
      </c>
      <c r="M341">
        <v>375436</v>
      </c>
      <c r="N341" t="s">
        <v>51</v>
      </c>
      <c r="O341" t="s">
        <v>52</v>
      </c>
    </row>
    <row r="342" spans="2:15" x14ac:dyDescent="0.25">
      <c r="B342" t="s">
        <v>15</v>
      </c>
      <c r="C342" s="4">
        <v>44673</v>
      </c>
      <c r="D342">
        <v>4</v>
      </c>
      <c r="E342" t="s">
        <v>38</v>
      </c>
      <c r="F342" t="s">
        <v>39</v>
      </c>
      <c r="G342" t="s">
        <v>40</v>
      </c>
      <c r="H342">
        <v>151580</v>
      </c>
      <c r="I342">
        <v>0</v>
      </c>
      <c r="J342">
        <v>151580</v>
      </c>
      <c r="L342">
        <v>33</v>
      </c>
      <c r="M342">
        <v>375437</v>
      </c>
      <c r="N342" t="s">
        <v>51</v>
      </c>
      <c r="O342" t="s">
        <v>52</v>
      </c>
    </row>
    <row r="343" spans="2:15" x14ac:dyDescent="0.25">
      <c r="B343" t="s">
        <v>15</v>
      </c>
      <c r="C343" s="4">
        <v>44673</v>
      </c>
      <c r="D343">
        <v>4</v>
      </c>
      <c r="E343" t="s">
        <v>16</v>
      </c>
      <c r="F343" t="s">
        <v>43</v>
      </c>
      <c r="G343" t="s">
        <v>40</v>
      </c>
      <c r="H343">
        <v>28800</v>
      </c>
      <c r="I343">
        <v>0</v>
      </c>
      <c r="J343">
        <v>28800</v>
      </c>
      <c r="L343">
        <v>33</v>
      </c>
      <c r="M343">
        <v>375437</v>
      </c>
      <c r="N343" t="s">
        <v>51</v>
      </c>
      <c r="O343" t="s">
        <v>52</v>
      </c>
    </row>
    <row r="344" spans="2:15" x14ac:dyDescent="0.25">
      <c r="B344" t="s">
        <v>15</v>
      </c>
      <c r="C344" s="4">
        <v>44673</v>
      </c>
      <c r="D344">
        <v>4</v>
      </c>
      <c r="E344" t="s">
        <v>21</v>
      </c>
      <c r="F344" t="s">
        <v>44</v>
      </c>
      <c r="G344" t="s">
        <v>40</v>
      </c>
      <c r="H344">
        <v>0</v>
      </c>
      <c r="I344">
        <v>180380</v>
      </c>
      <c r="J344">
        <v>-180380</v>
      </c>
      <c r="L344">
        <v>33</v>
      </c>
      <c r="M344">
        <v>375437</v>
      </c>
      <c r="N344" t="s">
        <v>51</v>
      </c>
      <c r="O344" t="s">
        <v>52</v>
      </c>
    </row>
    <row r="345" spans="2:15" x14ac:dyDescent="0.25">
      <c r="B345" t="s">
        <v>15</v>
      </c>
      <c r="C345" s="4">
        <v>44677</v>
      </c>
      <c r="D345">
        <v>4</v>
      </c>
      <c r="E345" t="s">
        <v>38</v>
      </c>
      <c r="F345" t="s">
        <v>39</v>
      </c>
      <c r="G345" t="s">
        <v>40</v>
      </c>
      <c r="H345">
        <v>90400</v>
      </c>
      <c r="I345">
        <v>0</v>
      </c>
      <c r="J345">
        <v>90400</v>
      </c>
      <c r="L345">
        <v>33</v>
      </c>
      <c r="M345">
        <v>375980</v>
      </c>
      <c r="N345" t="s">
        <v>51</v>
      </c>
      <c r="O345" t="s">
        <v>52</v>
      </c>
    </row>
    <row r="346" spans="2:15" x14ac:dyDescent="0.25">
      <c r="B346" t="s">
        <v>15</v>
      </c>
      <c r="C346" s="4">
        <v>44677</v>
      </c>
      <c r="D346">
        <v>4</v>
      </c>
      <c r="E346" t="s">
        <v>16</v>
      </c>
      <c r="F346" t="s">
        <v>43</v>
      </c>
      <c r="G346" t="s">
        <v>40</v>
      </c>
      <c r="H346">
        <v>17176</v>
      </c>
      <c r="I346">
        <v>0</v>
      </c>
      <c r="J346">
        <v>17176</v>
      </c>
      <c r="L346">
        <v>33</v>
      </c>
      <c r="M346">
        <v>375980</v>
      </c>
      <c r="N346" t="s">
        <v>51</v>
      </c>
      <c r="O346" t="s">
        <v>52</v>
      </c>
    </row>
    <row r="347" spans="2:15" x14ac:dyDescent="0.25">
      <c r="B347" t="s">
        <v>15</v>
      </c>
      <c r="C347" s="4">
        <v>44677</v>
      </c>
      <c r="D347">
        <v>4</v>
      </c>
      <c r="E347" t="s">
        <v>21</v>
      </c>
      <c r="F347" t="s">
        <v>44</v>
      </c>
      <c r="G347" t="s">
        <v>40</v>
      </c>
      <c r="H347">
        <v>0</v>
      </c>
      <c r="I347">
        <v>107576</v>
      </c>
      <c r="J347">
        <v>-107576</v>
      </c>
      <c r="L347">
        <v>33</v>
      </c>
      <c r="M347">
        <v>375980</v>
      </c>
      <c r="N347" t="s">
        <v>51</v>
      </c>
      <c r="O347" t="s">
        <v>52</v>
      </c>
    </row>
    <row r="348" spans="2:15" x14ac:dyDescent="0.25">
      <c r="B348" t="s">
        <v>15</v>
      </c>
      <c r="C348" s="4">
        <v>44678</v>
      </c>
      <c r="D348">
        <v>4</v>
      </c>
      <c r="E348" t="s">
        <v>38</v>
      </c>
      <c r="F348" t="s">
        <v>39</v>
      </c>
      <c r="G348" t="s">
        <v>40</v>
      </c>
      <c r="H348">
        <v>341260</v>
      </c>
      <c r="I348">
        <v>0</v>
      </c>
      <c r="J348">
        <v>341260</v>
      </c>
      <c r="L348">
        <v>33</v>
      </c>
      <c r="M348">
        <v>376174</v>
      </c>
      <c r="N348" t="s">
        <v>51</v>
      </c>
      <c r="O348" t="s">
        <v>52</v>
      </c>
    </row>
    <row r="349" spans="2:15" x14ac:dyDescent="0.25">
      <c r="B349" t="s">
        <v>15</v>
      </c>
      <c r="C349" s="4">
        <v>44678</v>
      </c>
      <c r="D349">
        <v>4</v>
      </c>
      <c r="E349" t="s">
        <v>16</v>
      </c>
      <c r="F349" t="s">
        <v>43</v>
      </c>
      <c r="G349" t="s">
        <v>40</v>
      </c>
      <c r="H349">
        <v>64839</v>
      </c>
      <c r="I349">
        <v>0</v>
      </c>
      <c r="J349">
        <v>64839</v>
      </c>
      <c r="L349">
        <v>33</v>
      </c>
      <c r="M349">
        <v>376174</v>
      </c>
      <c r="N349" t="s">
        <v>51</v>
      </c>
      <c r="O349" t="s">
        <v>52</v>
      </c>
    </row>
    <row r="350" spans="2:15" x14ac:dyDescent="0.25">
      <c r="B350" t="s">
        <v>15</v>
      </c>
      <c r="C350" s="4">
        <v>44678</v>
      </c>
      <c r="D350">
        <v>4</v>
      </c>
      <c r="E350" t="s">
        <v>21</v>
      </c>
      <c r="F350" t="s">
        <v>44</v>
      </c>
      <c r="G350" t="s">
        <v>40</v>
      </c>
      <c r="H350">
        <v>0</v>
      </c>
      <c r="I350">
        <v>406099</v>
      </c>
      <c r="J350">
        <v>-406099</v>
      </c>
      <c r="L350">
        <v>33</v>
      </c>
      <c r="M350">
        <v>376174</v>
      </c>
      <c r="N350" t="s">
        <v>51</v>
      </c>
      <c r="O350" t="s">
        <v>52</v>
      </c>
    </row>
    <row r="351" spans="2:15" x14ac:dyDescent="0.25">
      <c r="B351" t="s">
        <v>15</v>
      </c>
      <c r="C351" s="4">
        <v>44678</v>
      </c>
      <c r="D351">
        <v>4</v>
      </c>
      <c r="E351" t="s">
        <v>38</v>
      </c>
      <c r="F351" t="s">
        <v>39</v>
      </c>
      <c r="G351" t="s">
        <v>40</v>
      </c>
      <c r="H351">
        <v>49010</v>
      </c>
      <c r="I351">
        <v>0</v>
      </c>
      <c r="J351">
        <v>49010</v>
      </c>
      <c r="L351">
        <v>33</v>
      </c>
      <c r="M351">
        <v>29603</v>
      </c>
      <c r="N351" t="s">
        <v>81</v>
      </c>
      <c r="O351" t="s">
        <v>82</v>
      </c>
    </row>
    <row r="352" spans="2:15" x14ac:dyDescent="0.25">
      <c r="B352" t="s">
        <v>15</v>
      </c>
      <c r="C352" s="4">
        <v>44678</v>
      </c>
      <c r="D352">
        <v>4</v>
      </c>
      <c r="E352" t="s">
        <v>16</v>
      </c>
      <c r="F352" t="s">
        <v>43</v>
      </c>
      <c r="G352" t="s">
        <v>40</v>
      </c>
      <c r="H352">
        <v>9312</v>
      </c>
      <c r="I352">
        <v>0</v>
      </c>
      <c r="J352">
        <v>9312</v>
      </c>
      <c r="L352">
        <v>33</v>
      </c>
      <c r="M352">
        <v>29603</v>
      </c>
      <c r="N352" t="s">
        <v>81</v>
      </c>
      <c r="O352" t="s">
        <v>82</v>
      </c>
    </row>
    <row r="353" spans="2:15" x14ac:dyDescent="0.25">
      <c r="B353" t="s">
        <v>15</v>
      </c>
      <c r="C353" s="4">
        <v>44678</v>
      </c>
      <c r="D353">
        <v>4</v>
      </c>
      <c r="E353" t="s">
        <v>21</v>
      </c>
      <c r="F353" t="s">
        <v>44</v>
      </c>
      <c r="G353" t="s">
        <v>40</v>
      </c>
      <c r="H353">
        <v>0</v>
      </c>
      <c r="I353">
        <v>58322</v>
      </c>
      <c r="J353">
        <v>-58322</v>
      </c>
      <c r="L353">
        <v>33</v>
      </c>
      <c r="M353">
        <v>29603</v>
      </c>
      <c r="N353" t="s">
        <v>81</v>
      </c>
      <c r="O353" t="s">
        <v>82</v>
      </c>
    </row>
    <row r="354" spans="2:15" x14ac:dyDescent="0.25">
      <c r="B354" t="s">
        <v>15</v>
      </c>
      <c r="C354" s="4">
        <v>44679</v>
      </c>
      <c r="D354">
        <v>4</v>
      </c>
      <c r="E354" t="s">
        <v>38</v>
      </c>
      <c r="F354" t="s">
        <v>39</v>
      </c>
      <c r="G354" t="s">
        <v>40</v>
      </c>
      <c r="H354">
        <v>79900</v>
      </c>
      <c r="I354">
        <v>0</v>
      </c>
      <c r="J354">
        <v>79900</v>
      </c>
      <c r="L354">
        <v>33</v>
      </c>
      <c r="M354">
        <v>2407</v>
      </c>
      <c r="N354" t="s">
        <v>87</v>
      </c>
      <c r="O354" t="s">
        <v>88</v>
      </c>
    </row>
    <row r="355" spans="2:15" x14ac:dyDescent="0.25">
      <c r="B355" t="s">
        <v>15</v>
      </c>
      <c r="C355" s="4">
        <v>44679</v>
      </c>
      <c r="D355">
        <v>4</v>
      </c>
      <c r="E355" t="s">
        <v>16</v>
      </c>
      <c r="F355" t="s">
        <v>43</v>
      </c>
      <c r="G355" t="s">
        <v>40</v>
      </c>
      <c r="H355">
        <v>15181</v>
      </c>
      <c r="I355">
        <v>0</v>
      </c>
      <c r="J355">
        <v>15181</v>
      </c>
      <c r="L355">
        <v>33</v>
      </c>
      <c r="M355">
        <v>2407</v>
      </c>
      <c r="N355" t="s">
        <v>87</v>
      </c>
      <c r="O355" t="s">
        <v>88</v>
      </c>
    </row>
    <row r="356" spans="2:15" x14ac:dyDescent="0.25">
      <c r="B356" t="s">
        <v>15</v>
      </c>
      <c r="C356" s="4">
        <v>44679</v>
      </c>
      <c r="D356">
        <v>4</v>
      </c>
      <c r="E356" t="s">
        <v>21</v>
      </c>
      <c r="F356" t="s">
        <v>44</v>
      </c>
      <c r="G356" t="s">
        <v>40</v>
      </c>
      <c r="H356">
        <v>0</v>
      </c>
      <c r="I356">
        <v>95081</v>
      </c>
      <c r="J356">
        <v>-95081</v>
      </c>
      <c r="L356">
        <v>33</v>
      </c>
      <c r="M356">
        <v>2407</v>
      </c>
      <c r="N356" t="s">
        <v>87</v>
      </c>
      <c r="O356" t="s">
        <v>88</v>
      </c>
    </row>
    <row r="357" spans="2:15" x14ac:dyDescent="0.25">
      <c r="B357" t="s">
        <v>15</v>
      </c>
      <c r="C357" s="4">
        <v>44679</v>
      </c>
      <c r="D357">
        <v>4</v>
      </c>
      <c r="E357" t="s">
        <v>38</v>
      </c>
      <c r="F357" t="s">
        <v>39</v>
      </c>
      <c r="G357" t="s">
        <v>40</v>
      </c>
      <c r="H357">
        <v>20500</v>
      </c>
      <c r="I357">
        <v>0</v>
      </c>
      <c r="J357">
        <v>20500</v>
      </c>
      <c r="L357">
        <v>33</v>
      </c>
      <c r="M357">
        <v>21465</v>
      </c>
      <c r="N357" t="s">
        <v>69</v>
      </c>
      <c r="O357" t="s">
        <v>70</v>
      </c>
    </row>
    <row r="358" spans="2:15" x14ac:dyDescent="0.25">
      <c r="B358" t="s">
        <v>15</v>
      </c>
      <c r="C358" s="4">
        <v>44679</v>
      </c>
      <c r="D358">
        <v>4</v>
      </c>
      <c r="E358" t="s">
        <v>16</v>
      </c>
      <c r="F358" t="s">
        <v>43</v>
      </c>
      <c r="G358" t="s">
        <v>40</v>
      </c>
      <c r="H358">
        <v>3895</v>
      </c>
      <c r="I358">
        <v>0</v>
      </c>
      <c r="J358">
        <v>3895</v>
      </c>
      <c r="L358">
        <v>33</v>
      </c>
      <c r="M358">
        <v>21465</v>
      </c>
      <c r="N358" t="s">
        <v>69</v>
      </c>
      <c r="O358" t="s">
        <v>70</v>
      </c>
    </row>
    <row r="359" spans="2:15" x14ac:dyDescent="0.25">
      <c r="B359" t="s">
        <v>15</v>
      </c>
      <c r="C359" s="4">
        <v>44679</v>
      </c>
      <c r="D359">
        <v>4</v>
      </c>
      <c r="E359" t="s">
        <v>21</v>
      </c>
      <c r="F359" t="s">
        <v>44</v>
      </c>
      <c r="G359" t="s">
        <v>40</v>
      </c>
      <c r="H359">
        <v>0</v>
      </c>
      <c r="I359">
        <v>24395</v>
      </c>
      <c r="J359">
        <v>-24395</v>
      </c>
      <c r="L359">
        <v>33</v>
      </c>
      <c r="M359">
        <v>21465</v>
      </c>
      <c r="N359" t="s">
        <v>69</v>
      </c>
      <c r="O359" t="s">
        <v>70</v>
      </c>
    </row>
    <row r="360" spans="2:15" x14ac:dyDescent="0.25">
      <c r="B360" t="s">
        <v>15</v>
      </c>
      <c r="C360" s="4">
        <v>44679</v>
      </c>
      <c r="D360">
        <v>4</v>
      </c>
      <c r="E360" t="s">
        <v>38</v>
      </c>
      <c r="F360" t="s">
        <v>39</v>
      </c>
      <c r="G360" t="s">
        <v>40</v>
      </c>
      <c r="H360">
        <v>53945</v>
      </c>
      <c r="I360">
        <v>0</v>
      </c>
      <c r="J360">
        <v>53945</v>
      </c>
      <c r="L360">
        <v>33</v>
      </c>
      <c r="M360">
        <v>671752</v>
      </c>
      <c r="N360" t="s">
        <v>49</v>
      </c>
      <c r="O360" t="s">
        <v>50</v>
      </c>
    </row>
    <row r="361" spans="2:15" x14ac:dyDescent="0.25">
      <c r="B361" t="s">
        <v>15</v>
      </c>
      <c r="C361" s="4">
        <v>44679</v>
      </c>
      <c r="D361">
        <v>4</v>
      </c>
      <c r="E361" t="s">
        <v>16</v>
      </c>
      <c r="F361" t="s">
        <v>43</v>
      </c>
      <c r="G361" t="s">
        <v>40</v>
      </c>
      <c r="H361">
        <v>10250</v>
      </c>
      <c r="I361">
        <v>0</v>
      </c>
      <c r="J361">
        <v>10250</v>
      </c>
      <c r="L361">
        <v>33</v>
      </c>
      <c r="M361">
        <v>671752</v>
      </c>
      <c r="N361" t="s">
        <v>49</v>
      </c>
      <c r="O361" t="s">
        <v>50</v>
      </c>
    </row>
    <row r="362" spans="2:15" x14ac:dyDescent="0.25">
      <c r="B362" t="s">
        <v>15</v>
      </c>
      <c r="C362" s="4">
        <v>44679</v>
      </c>
      <c r="D362">
        <v>4</v>
      </c>
      <c r="E362" t="s">
        <v>21</v>
      </c>
      <c r="F362" t="s">
        <v>44</v>
      </c>
      <c r="G362" t="s">
        <v>40</v>
      </c>
      <c r="H362">
        <v>0</v>
      </c>
      <c r="I362">
        <v>64195</v>
      </c>
      <c r="J362">
        <v>-64195</v>
      </c>
      <c r="L362">
        <v>33</v>
      </c>
      <c r="M362">
        <v>671752</v>
      </c>
      <c r="N362" t="s">
        <v>49</v>
      </c>
      <c r="O362" t="s">
        <v>50</v>
      </c>
    </row>
    <row r="363" spans="2:15" x14ac:dyDescent="0.25">
      <c r="B363" t="s">
        <v>15</v>
      </c>
      <c r="C363" s="4">
        <v>44679</v>
      </c>
      <c r="D363">
        <v>4</v>
      </c>
      <c r="E363" t="s">
        <v>38</v>
      </c>
      <c r="F363" t="s">
        <v>39</v>
      </c>
      <c r="G363" t="s">
        <v>40</v>
      </c>
      <c r="H363">
        <v>147970</v>
      </c>
      <c r="I363">
        <v>0</v>
      </c>
      <c r="J363">
        <v>147970</v>
      </c>
      <c r="L363">
        <v>33</v>
      </c>
      <c r="M363">
        <v>376569</v>
      </c>
      <c r="N363" t="s">
        <v>51</v>
      </c>
      <c r="O363" t="s">
        <v>52</v>
      </c>
    </row>
    <row r="364" spans="2:15" x14ac:dyDescent="0.25">
      <c r="B364" t="s">
        <v>15</v>
      </c>
      <c r="C364" s="4">
        <v>44679</v>
      </c>
      <c r="D364">
        <v>4</v>
      </c>
      <c r="E364" t="s">
        <v>16</v>
      </c>
      <c r="F364" t="s">
        <v>43</v>
      </c>
      <c r="G364" t="s">
        <v>40</v>
      </c>
      <c r="H364">
        <v>28114</v>
      </c>
      <c r="I364">
        <v>0</v>
      </c>
      <c r="J364">
        <v>28114</v>
      </c>
      <c r="L364">
        <v>33</v>
      </c>
      <c r="M364">
        <v>376569</v>
      </c>
      <c r="N364" t="s">
        <v>51</v>
      </c>
      <c r="O364" t="s">
        <v>52</v>
      </c>
    </row>
    <row r="365" spans="2:15" x14ac:dyDescent="0.25">
      <c r="B365" t="s">
        <v>15</v>
      </c>
      <c r="C365" s="4">
        <v>44679</v>
      </c>
      <c r="D365">
        <v>4</v>
      </c>
      <c r="E365" t="s">
        <v>21</v>
      </c>
      <c r="F365" t="s">
        <v>44</v>
      </c>
      <c r="G365" t="s">
        <v>40</v>
      </c>
      <c r="H365">
        <v>0</v>
      </c>
      <c r="I365">
        <v>176084</v>
      </c>
      <c r="J365">
        <v>-176084</v>
      </c>
      <c r="L365">
        <v>33</v>
      </c>
      <c r="M365">
        <v>376569</v>
      </c>
      <c r="N365" t="s">
        <v>51</v>
      </c>
      <c r="O365" t="s">
        <v>52</v>
      </c>
    </row>
    <row r="366" spans="2:15" x14ac:dyDescent="0.25">
      <c r="B366" t="s">
        <v>15</v>
      </c>
      <c r="C366" s="4">
        <v>44680</v>
      </c>
      <c r="D366">
        <v>4</v>
      </c>
      <c r="E366" t="s">
        <v>38</v>
      </c>
      <c r="F366" t="s">
        <v>39</v>
      </c>
      <c r="G366" t="s">
        <v>40</v>
      </c>
      <c r="H366">
        <v>425660</v>
      </c>
      <c r="I366">
        <v>0</v>
      </c>
      <c r="J366">
        <v>425660</v>
      </c>
      <c r="L366">
        <v>33</v>
      </c>
      <c r="M366">
        <v>377108</v>
      </c>
      <c r="N366" t="s">
        <v>51</v>
      </c>
      <c r="O366" t="s">
        <v>52</v>
      </c>
    </row>
    <row r="367" spans="2:15" x14ac:dyDescent="0.25">
      <c r="B367" t="s">
        <v>15</v>
      </c>
      <c r="C367" s="4">
        <v>44680</v>
      </c>
      <c r="D367">
        <v>4</v>
      </c>
      <c r="E367" t="s">
        <v>16</v>
      </c>
      <c r="F367" t="s">
        <v>43</v>
      </c>
      <c r="G367" t="s">
        <v>40</v>
      </c>
      <c r="H367">
        <v>80875</v>
      </c>
      <c r="I367">
        <v>0</v>
      </c>
      <c r="J367">
        <v>80875</v>
      </c>
      <c r="L367">
        <v>33</v>
      </c>
      <c r="M367">
        <v>377108</v>
      </c>
      <c r="N367" t="s">
        <v>51</v>
      </c>
      <c r="O367" t="s">
        <v>52</v>
      </c>
    </row>
    <row r="368" spans="2:15" x14ac:dyDescent="0.25">
      <c r="B368" t="s">
        <v>15</v>
      </c>
      <c r="C368" s="4">
        <v>44680</v>
      </c>
      <c r="D368">
        <v>4</v>
      </c>
      <c r="E368" t="s">
        <v>21</v>
      </c>
      <c r="F368" t="s">
        <v>44</v>
      </c>
      <c r="G368" t="s">
        <v>40</v>
      </c>
      <c r="H368">
        <v>0</v>
      </c>
      <c r="I368">
        <v>506535</v>
      </c>
      <c r="J368">
        <v>-506535</v>
      </c>
      <c r="L368">
        <v>33</v>
      </c>
      <c r="M368">
        <v>377108</v>
      </c>
      <c r="N368" t="s">
        <v>51</v>
      </c>
      <c r="O368" t="s">
        <v>52</v>
      </c>
    </row>
    <row r="369" spans="2:15" x14ac:dyDescent="0.25">
      <c r="B369" t="s">
        <v>15</v>
      </c>
      <c r="C369" s="4">
        <v>44665</v>
      </c>
      <c r="D369">
        <v>4</v>
      </c>
      <c r="E369" t="s">
        <v>38</v>
      </c>
      <c r="F369" t="s">
        <v>39</v>
      </c>
      <c r="G369" t="s">
        <v>40</v>
      </c>
      <c r="H369">
        <v>111493</v>
      </c>
      <c r="I369">
        <v>0</v>
      </c>
      <c r="J369">
        <v>111493</v>
      </c>
      <c r="L369">
        <v>34</v>
      </c>
      <c r="M369">
        <v>85</v>
      </c>
      <c r="N369" t="s">
        <v>71</v>
      </c>
      <c r="O369" t="s">
        <v>72</v>
      </c>
    </row>
    <row r="370" spans="2:15" x14ac:dyDescent="0.25">
      <c r="B370" t="s">
        <v>15</v>
      </c>
      <c r="C370" s="4">
        <v>44665</v>
      </c>
      <c r="D370">
        <v>4</v>
      </c>
      <c r="E370" t="s">
        <v>16</v>
      </c>
      <c r="F370" t="s">
        <v>43</v>
      </c>
      <c r="G370" t="s">
        <v>40</v>
      </c>
      <c r="H370">
        <v>0</v>
      </c>
      <c r="I370">
        <v>0</v>
      </c>
      <c r="J370">
        <v>0</v>
      </c>
      <c r="L370">
        <v>34</v>
      </c>
      <c r="M370">
        <v>85</v>
      </c>
      <c r="N370" t="s">
        <v>71</v>
      </c>
      <c r="O370" t="s">
        <v>72</v>
      </c>
    </row>
    <row r="371" spans="2:15" x14ac:dyDescent="0.25">
      <c r="B371" t="s">
        <v>15</v>
      </c>
      <c r="C371" s="4">
        <v>44665</v>
      </c>
      <c r="D371">
        <v>4</v>
      </c>
      <c r="E371" t="s">
        <v>21</v>
      </c>
      <c r="F371" t="s">
        <v>44</v>
      </c>
      <c r="G371" t="s">
        <v>40</v>
      </c>
      <c r="H371">
        <v>0</v>
      </c>
      <c r="I371">
        <v>111493</v>
      </c>
      <c r="J371">
        <v>-111493</v>
      </c>
      <c r="L371">
        <v>34</v>
      </c>
      <c r="M371">
        <v>85</v>
      </c>
      <c r="N371" t="s">
        <v>71</v>
      </c>
      <c r="O371" t="s">
        <v>72</v>
      </c>
    </row>
    <row r="372" spans="2:15" x14ac:dyDescent="0.25">
      <c r="B372" t="s">
        <v>15</v>
      </c>
      <c r="C372" s="4">
        <v>44684</v>
      </c>
      <c r="D372">
        <v>5</v>
      </c>
      <c r="E372" t="s">
        <v>38</v>
      </c>
      <c r="F372" t="s">
        <v>39</v>
      </c>
      <c r="G372" t="s">
        <v>40</v>
      </c>
      <c r="H372">
        <v>19202</v>
      </c>
      <c r="I372">
        <v>0</v>
      </c>
      <c r="J372">
        <v>19202</v>
      </c>
      <c r="L372">
        <v>33</v>
      </c>
      <c r="M372">
        <v>43169</v>
      </c>
      <c r="N372" t="s">
        <v>65</v>
      </c>
      <c r="O372" t="s">
        <v>66</v>
      </c>
    </row>
    <row r="373" spans="2:15" x14ac:dyDescent="0.25">
      <c r="B373" t="s">
        <v>15</v>
      </c>
      <c r="C373" s="4">
        <v>44684</v>
      </c>
      <c r="D373">
        <v>5</v>
      </c>
      <c r="E373" t="s">
        <v>16</v>
      </c>
      <c r="F373" t="s">
        <v>43</v>
      </c>
      <c r="G373" t="s">
        <v>40</v>
      </c>
      <c r="H373">
        <v>3648</v>
      </c>
      <c r="I373">
        <v>0</v>
      </c>
      <c r="J373">
        <v>3648</v>
      </c>
      <c r="L373">
        <v>33</v>
      </c>
      <c r="M373">
        <v>43169</v>
      </c>
      <c r="N373" t="s">
        <v>65</v>
      </c>
      <c r="O373" t="s">
        <v>66</v>
      </c>
    </row>
    <row r="374" spans="2:15" x14ac:dyDescent="0.25">
      <c r="B374" t="s">
        <v>15</v>
      </c>
      <c r="C374" s="4">
        <v>44684</v>
      </c>
      <c r="D374">
        <v>5</v>
      </c>
      <c r="E374" t="s">
        <v>21</v>
      </c>
      <c r="F374" t="s">
        <v>44</v>
      </c>
      <c r="G374" t="s">
        <v>40</v>
      </c>
      <c r="H374">
        <v>0</v>
      </c>
      <c r="I374">
        <v>22850</v>
      </c>
      <c r="J374">
        <v>-22850</v>
      </c>
      <c r="L374">
        <v>33</v>
      </c>
      <c r="M374">
        <v>43169</v>
      </c>
      <c r="N374" t="s">
        <v>65</v>
      </c>
      <c r="O374" t="s">
        <v>66</v>
      </c>
    </row>
    <row r="375" spans="2:15" x14ac:dyDescent="0.25">
      <c r="B375" t="s">
        <v>15</v>
      </c>
      <c r="C375" s="4">
        <v>44686</v>
      </c>
      <c r="D375">
        <v>5</v>
      </c>
      <c r="E375" t="s">
        <v>38</v>
      </c>
      <c r="F375" t="s">
        <v>39</v>
      </c>
      <c r="G375" t="s">
        <v>40</v>
      </c>
      <c r="H375">
        <v>71820</v>
      </c>
      <c r="I375">
        <v>0</v>
      </c>
      <c r="J375">
        <v>71820</v>
      </c>
      <c r="L375">
        <v>33</v>
      </c>
      <c r="M375">
        <v>1783</v>
      </c>
      <c r="N375" t="s">
        <v>77</v>
      </c>
      <c r="O375" t="s">
        <v>78</v>
      </c>
    </row>
    <row r="376" spans="2:15" x14ac:dyDescent="0.25">
      <c r="B376" t="s">
        <v>15</v>
      </c>
      <c r="C376" s="4">
        <v>44686</v>
      </c>
      <c r="D376">
        <v>5</v>
      </c>
      <c r="E376" t="s">
        <v>16</v>
      </c>
      <c r="F376" t="s">
        <v>43</v>
      </c>
      <c r="G376" t="s">
        <v>40</v>
      </c>
      <c r="H376">
        <v>13646</v>
      </c>
      <c r="I376">
        <v>0</v>
      </c>
      <c r="J376">
        <v>13646</v>
      </c>
      <c r="L376">
        <v>33</v>
      </c>
      <c r="M376">
        <v>1783</v>
      </c>
      <c r="N376" t="s">
        <v>77</v>
      </c>
      <c r="O376" t="s">
        <v>78</v>
      </c>
    </row>
    <row r="377" spans="2:15" x14ac:dyDescent="0.25">
      <c r="B377" t="s">
        <v>15</v>
      </c>
      <c r="C377" s="4">
        <v>44686</v>
      </c>
      <c r="D377">
        <v>5</v>
      </c>
      <c r="E377" t="s">
        <v>21</v>
      </c>
      <c r="F377" t="s">
        <v>44</v>
      </c>
      <c r="G377" t="s">
        <v>40</v>
      </c>
      <c r="H377">
        <v>0</v>
      </c>
      <c r="I377">
        <v>85466</v>
      </c>
      <c r="J377">
        <v>-85466</v>
      </c>
      <c r="L377">
        <v>33</v>
      </c>
      <c r="M377">
        <v>1783</v>
      </c>
      <c r="N377" t="s">
        <v>77</v>
      </c>
      <c r="O377" t="s">
        <v>78</v>
      </c>
    </row>
    <row r="378" spans="2:15" x14ac:dyDescent="0.25">
      <c r="B378" t="s">
        <v>15</v>
      </c>
      <c r="C378" s="4">
        <v>44691</v>
      </c>
      <c r="D378">
        <v>5</v>
      </c>
      <c r="E378" t="s">
        <v>38</v>
      </c>
      <c r="F378" t="s">
        <v>39</v>
      </c>
      <c r="G378" t="s">
        <v>40</v>
      </c>
      <c r="H378">
        <v>20924</v>
      </c>
      <c r="I378">
        <v>0</v>
      </c>
      <c r="J378">
        <v>20924</v>
      </c>
      <c r="L378">
        <v>33</v>
      </c>
      <c r="M378">
        <v>9903</v>
      </c>
      <c r="N378" t="s">
        <v>61</v>
      </c>
      <c r="O378" t="s">
        <v>62</v>
      </c>
    </row>
    <row r="379" spans="2:15" x14ac:dyDescent="0.25">
      <c r="B379" t="s">
        <v>15</v>
      </c>
      <c r="C379" s="4">
        <v>44691</v>
      </c>
      <c r="D379">
        <v>5</v>
      </c>
      <c r="E379" t="s">
        <v>16</v>
      </c>
      <c r="F379" t="s">
        <v>43</v>
      </c>
      <c r="G379" t="s">
        <v>40</v>
      </c>
      <c r="H379">
        <v>3976</v>
      </c>
      <c r="I379">
        <v>0</v>
      </c>
      <c r="J379">
        <v>3976</v>
      </c>
      <c r="L379">
        <v>33</v>
      </c>
      <c r="M379">
        <v>9903</v>
      </c>
      <c r="N379" t="s">
        <v>61</v>
      </c>
      <c r="O379" t="s">
        <v>62</v>
      </c>
    </row>
    <row r="380" spans="2:15" x14ac:dyDescent="0.25">
      <c r="B380" t="s">
        <v>15</v>
      </c>
      <c r="C380" s="4">
        <v>44691</v>
      </c>
      <c r="D380">
        <v>5</v>
      </c>
      <c r="E380" t="s">
        <v>21</v>
      </c>
      <c r="F380" t="s">
        <v>44</v>
      </c>
      <c r="G380" t="s">
        <v>40</v>
      </c>
      <c r="H380">
        <v>0</v>
      </c>
      <c r="I380">
        <v>24900</v>
      </c>
      <c r="J380">
        <v>-24900</v>
      </c>
      <c r="L380">
        <v>33</v>
      </c>
      <c r="M380">
        <v>9903</v>
      </c>
      <c r="N380" t="s">
        <v>61</v>
      </c>
      <c r="O380" t="s">
        <v>62</v>
      </c>
    </row>
    <row r="381" spans="2:15" x14ac:dyDescent="0.25">
      <c r="B381" t="s">
        <v>15</v>
      </c>
      <c r="C381" s="4">
        <v>44691</v>
      </c>
      <c r="D381">
        <v>5</v>
      </c>
      <c r="E381" t="s">
        <v>38</v>
      </c>
      <c r="F381" t="s">
        <v>39</v>
      </c>
      <c r="G381" t="s">
        <v>40</v>
      </c>
      <c r="H381">
        <v>12185</v>
      </c>
      <c r="I381">
        <v>0</v>
      </c>
      <c r="J381">
        <v>12185</v>
      </c>
      <c r="L381">
        <v>33</v>
      </c>
      <c r="M381">
        <v>43403</v>
      </c>
      <c r="N381" t="s">
        <v>65</v>
      </c>
      <c r="O381" t="s">
        <v>66</v>
      </c>
    </row>
    <row r="382" spans="2:15" x14ac:dyDescent="0.25">
      <c r="B382" t="s">
        <v>15</v>
      </c>
      <c r="C382" s="4">
        <v>44691</v>
      </c>
      <c r="D382">
        <v>5</v>
      </c>
      <c r="E382" t="s">
        <v>16</v>
      </c>
      <c r="F382" t="s">
        <v>43</v>
      </c>
      <c r="G382" t="s">
        <v>40</v>
      </c>
      <c r="H382">
        <v>2315</v>
      </c>
      <c r="I382">
        <v>0</v>
      </c>
      <c r="J382">
        <v>2315</v>
      </c>
      <c r="L382">
        <v>33</v>
      </c>
      <c r="M382">
        <v>43403</v>
      </c>
      <c r="N382" t="s">
        <v>65</v>
      </c>
      <c r="O382" t="s">
        <v>66</v>
      </c>
    </row>
    <row r="383" spans="2:15" x14ac:dyDescent="0.25">
      <c r="B383" t="s">
        <v>15</v>
      </c>
      <c r="C383" s="4">
        <v>44691</v>
      </c>
      <c r="D383">
        <v>5</v>
      </c>
      <c r="E383" t="s">
        <v>21</v>
      </c>
      <c r="F383" t="s">
        <v>44</v>
      </c>
      <c r="G383" t="s">
        <v>40</v>
      </c>
      <c r="H383">
        <v>0</v>
      </c>
      <c r="I383">
        <v>14500</v>
      </c>
      <c r="J383">
        <v>-14500</v>
      </c>
      <c r="L383">
        <v>33</v>
      </c>
      <c r="M383">
        <v>43403</v>
      </c>
      <c r="N383" t="s">
        <v>65</v>
      </c>
      <c r="O383" t="s">
        <v>66</v>
      </c>
    </row>
    <row r="384" spans="2:15" x14ac:dyDescent="0.25">
      <c r="B384" t="s">
        <v>15</v>
      </c>
      <c r="C384" s="4">
        <v>44691</v>
      </c>
      <c r="D384">
        <v>5</v>
      </c>
      <c r="E384" t="s">
        <v>38</v>
      </c>
      <c r="F384" t="s">
        <v>39</v>
      </c>
      <c r="G384" t="s">
        <v>40</v>
      </c>
      <c r="H384">
        <v>292455</v>
      </c>
      <c r="I384">
        <v>0</v>
      </c>
      <c r="J384">
        <v>292455</v>
      </c>
      <c r="L384">
        <v>33</v>
      </c>
      <c r="M384">
        <v>172737</v>
      </c>
      <c r="N384" t="s">
        <v>53</v>
      </c>
      <c r="O384" t="s">
        <v>54</v>
      </c>
    </row>
    <row r="385" spans="2:15" x14ac:dyDescent="0.25">
      <c r="B385" t="s">
        <v>15</v>
      </c>
      <c r="C385" s="4">
        <v>44691</v>
      </c>
      <c r="D385">
        <v>5</v>
      </c>
      <c r="E385" t="s">
        <v>16</v>
      </c>
      <c r="F385" t="s">
        <v>43</v>
      </c>
      <c r="G385" t="s">
        <v>40</v>
      </c>
      <c r="H385">
        <v>55566</v>
      </c>
      <c r="I385">
        <v>0</v>
      </c>
      <c r="J385">
        <v>55566</v>
      </c>
      <c r="L385">
        <v>33</v>
      </c>
      <c r="M385">
        <v>172737</v>
      </c>
      <c r="N385" t="s">
        <v>53</v>
      </c>
      <c r="O385" t="s">
        <v>54</v>
      </c>
    </row>
    <row r="386" spans="2:15" x14ac:dyDescent="0.25">
      <c r="B386" t="s">
        <v>15</v>
      </c>
      <c r="C386" s="4">
        <v>44691</v>
      </c>
      <c r="D386">
        <v>5</v>
      </c>
      <c r="E386" t="s">
        <v>21</v>
      </c>
      <c r="F386" t="s">
        <v>44</v>
      </c>
      <c r="G386" t="s">
        <v>40</v>
      </c>
      <c r="H386">
        <v>0</v>
      </c>
      <c r="I386">
        <v>348021</v>
      </c>
      <c r="J386">
        <v>-348021</v>
      </c>
      <c r="L386">
        <v>33</v>
      </c>
      <c r="M386">
        <v>172737</v>
      </c>
      <c r="N386" t="s">
        <v>53</v>
      </c>
      <c r="O386" t="s">
        <v>54</v>
      </c>
    </row>
    <row r="387" spans="2:15" x14ac:dyDescent="0.25">
      <c r="B387" t="s">
        <v>15</v>
      </c>
      <c r="C387" s="4">
        <v>44691</v>
      </c>
      <c r="D387">
        <v>5</v>
      </c>
      <c r="E387" t="s">
        <v>38</v>
      </c>
      <c r="F387" t="s">
        <v>39</v>
      </c>
      <c r="G387" t="s">
        <v>40</v>
      </c>
      <c r="H387">
        <v>4118</v>
      </c>
      <c r="I387">
        <v>0</v>
      </c>
      <c r="J387">
        <v>4118</v>
      </c>
      <c r="L387">
        <v>33</v>
      </c>
      <c r="M387">
        <v>1928628</v>
      </c>
      <c r="N387" t="s">
        <v>89</v>
      </c>
      <c r="O387" t="s">
        <v>90</v>
      </c>
    </row>
    <row r="388" spans="2:15" x14ac:dyDescent="0.25">
      <c r="B388" t="s">
        <v>15</v>
      </c>
      <c r="C388" s="4">
        <v>44691</v>
      </c>
      <c r="D388">
        <v>5</v>
      </c>
      <c r="E388" t="s">
        <v>16</v>
      </c>
      <c r="F388" t="s">
        <v>43</v>
      </c>
      <c r="G388" t="s">
        <v>40</v>
      </c>
      <c r="H388">
        <v>782</v>
      </c>
      <c r="I388">
        <v>0</v>
      </c>
      <c r="J388">
        <v>782</v>
      </c>
      <c r="L388">
        <v>33</v>
      </c>
      <c r="M388">
        <v>1928628</v>
      </c>
      <c r="N388" t="s">
        <v>89</v>
      </c>
      <c r="O388" t="s">
        <v>90</v>
      </c>
    </row>
    <row r="389" spans="2:15" x14ac:dyDescent="0.25">
      <c r="B389" t="s">
        <v>15</v>
      </c>
      <c r="C389" s="4">
        <v>44691</v>
      </c>
      <c r="D389">
        <v>5</v>
      </c>
      <c r="E389" t="s">
        <v>21</v>
      </c>
      <c r="F389" t="s">
        <v>44</v>
      </c>
      <c r="G389" t="s">
        <v>40</v>
      </c>
      <c r="H389">
        <v>0</v>
      </c>
      <c r="I389">
        <v>4900</v>
      </c>
      <c r="J389">
        <v>-4900</v>
      </c>
      <c r="L389">
        <v>33</v>
      </c>
      <c r="M389">
        <v>1928628</v>
      </c>
      <c r="N389" t="s">
        <v>89</v>
      </c>
      <c r="O389" t="s">
        <v>90</v>
      </c>
    </row>
    <row r="390" spans="2:15" x14ac:dyDescent="0.25">
      <c r="B390" t="s">
        <v>15</v>
      </c>
      <c r="C390" s="4">
        <v>44691</v>
      </c>
      <c r="D390">
        <v>5</v>
      </c>
      <c r="E390" t="s">
        <v>38</v>
      </c>
      <c r="F390" t="s">
        <v>39</v>
      </c>
      <c r="G390" t="s">
        <v>40</v>
      </c>
      <c r="H390">
        <v>602610</v>
      </c>
      <c r="I390">
        <v>0</v>
      </c>
      <c r="J390">
        <v>602610</v>
      </c>
      <c r="L390">
        <v>33</v>
      </c>
      <c r="M390">
        <v>378905</v>
      </c>
      <c r="N390" t="s">
        <v>51</v>
      </c>
      <c r="O390" t="s">
        <v>52</v>
      </c>
    </row>
    <row r="391" spans="2:15" x14ac:dyDescent="0.25">
      <c r="B391" t="s">
        <v>15</v>
      </c>
      <c r="C391" s="4">
        <v>44691</v>
      </c>
      <c r="D391">
        <v>5</v>
      </c>
      <c r="E391" t="s">
        <v>16</v>
      </c>
      <c r="F391" t="s">
        <v>43</v>
      </c>
      <c r="G391" t="s">
        <v>40</v>
      </c>
      <c r="H391">
        <v>114496</v>
      </c>
      <c r="I391">
        <v>0</v>
      </c>
      <c r="J391">
        <v>114496</v>
      </c>
      <c r="L391">
        <v>33</v>
      </c>
      <c r="M391">
        <v>378905</v>
      </c>
      <c r="N391" t="s">
        <v>51</v>
      </c>
      <c r="O391" t="s">
        <v>52</v>
      </c>
    </row>
    <row r="392" spans="2:15" x14ac:dyDescent="0.25">
      <c r="B392" t="s">
        <v>15</v>
      </c>
      <c r="C392" s="4">
        <v>44691</v>
      </c>
      <c r="D392">
        <v>5</v>
      </c>
      <c r="E392" t="s">
        <v>21</v>
      </c>
      <c r="F392" t="s">
        <v>44</v>
      </c>
      <c r="G392" t="s">
        <v>40</v>
      </c>
      <c r="H392">
        <v>0</v>
      </c>
      <c r="I392">
        <v>717106</v>
      </c>
      <c r="J392">
        <v>-717106</v>
      </c>
      <c r="L392">
        <v>33</v>
      </c>
      <c r="M392">
        <v>378905</v>
      </c>
      <c r="N392" t="s">
        <v>51</v>
      </c>
      <c r="O392" t="s">
        <v>52</v>
      </c>
    </row>
    <row r="393" spans="2:15" x14ac:dyDescent="0.25">
      <c r="B393" t="s">
        <v>15</v>
      </c>
      <c r="C393" s="4">
        <v>44698</v>
      </c>
      <c r="D393">
        <v>5</v>
      </c>
      <c r="E393" t="s">
        <v>38</v>
      </c>
      <c r="F393" t="s">
        <v>39</v>
      </c>
      <c r="G393" t="s">
        <v>40</v>
      </c>
      <c r="H393">
        <v>12261</v>
      </c>
      <c r="I393">
        <v>0</v>
      </c>
      <c r="J393">
        <v>12261</v>
      </c>
      <c r="L393">
        <v>33</v>
      </c>
      <c r="M393">
        <v>30653</v>
      </c>
      <c r="N393" t="s">
        <v>81</v>
      </c>
      <c r="O393" t="s">
        <v>82</v>
      </c>
    </row>
    <row r="394" spans="2:15" x14ac:dyDescent="0.25">
      <c r="B394" t="s">
        <v>15</v>
      </c>
      <c r="C394" s="4">
        <v>44698</v>
      </c>
      <c r="D394">
        <v>5</v>
      </c>
      <c r="E394" t="s">
        <v>16</v>
      </c>
      <c r="F394" t="s">
        <v>43</v>
      </c>
      <c r="G394" t="s">
        <v>40</v>
      </c>
      <c r="H394">
        <v>2330</v>
      </c>
      <c r="I394">
        <v>0</v>
      </c>
      <c r="J394">
        <v>2330</v>
      </c>
      <c r="L394">
        <v>33</v>
      </c>
      <c r="M394">
        <v>30653</v>
      </c>
      <c r="N394" t="s">
        <v>81</v>
      </c>
      <c r="O394" t="s">
        <v>82</v>
      </c>
    </row>
    <row r="395" spans="2:15" x14ac:dyDescent="0.25">
      <c r="B395" t="s">
        <v>15</v>
      </c>
      <c r="C395" s="4">
        <v>44698</v>
      </c>
      <c r="D395">
        <v>5</v>
      </c>
      <c r="E395" t="s">
        <v>21</v>
      </c>
      <c r="F395" t="s">
        <v>44</v>
      </c>
      <c r="G395" t="s">
        <v>40</v>
      </c>
      <c r="H395">
        <v>0</v>
      </c>
      <c r="I395">
        <v>14591</v>
      </c>
      <c r="J395">
        <v>-14591</v>
      </c>
      <c r="L395">
        <v>33</v>
      </c>
      <c r="M395">
        <v>30653</v>
      </c>
      <c r="N395" t="s">
        <v>81</v>
      </c>
      <c r="O395" t="s">
        <v>82</v>
      </c>
    </row>
    <row r="396" spans="2:15" x14ac:dyDescent="0.25">
      <c r="B396" t="s">
        <v>15</v>
      </c>
      <c r="C396" s="4">
        <v>44700</v>
      </c>
      <c r="D396">
        <v>5</v>
      </c>
      <c r="E396" t="s">
        <v>38</v>
      </c>
      <c r="F396" t="s">
        <v>39</v>
      </c>
      <c r="G396" t="s">
        <v>40</v>
      </c>
      <c r="H396">
        <v>233899</v>
      </c>
      <c r="I396">
        <v>0</v>
      </c>
      <c r="J396">
        <v>233899</v>
      </c>
      <c r="L396">
        <v>33</v>
      </c>
      <c r="M396">
        <v>349296</v>
      </c>
      <c r="N396" t="s">
        <v>85</v>
      </c>
      <c r="O396" t="s">
        <v>86</v>
      </c>
    </row>
    <row r="397" spans="2:15" x14ac:dyDescent="0.25">
      <c r="B397" t="s">
        <v>15</v>
      </c>
      <c r="C397" s="4">
        <v>44700</v>
      </c>
      <c r="D397">
        <v>5</v>
      </c>
      <c r="E397" t="s">
        <v>16</v>
      </c>
      <c r="F397" t="s">
        <v>43</v>
      </c>
      <c r="G397" t="s">
        <v>40</v>
      </c>
      <c r="H397">
        <v>44441</v>
      </c>
      <c r="I397">
        <v>0</v>
      </c>
      <c r="J397">
        <v>44441</v>
      </c>
      <c r="L397">
        <v>33</v>
      </c>
      <c r="M397">
        <v>349296</v>
      </c>
      <c r="N397" t="s">
        <v>85</v>
      </c>
      <c r="O397" t="s">
        <v>86</v>
      </c>
    </row>
    <row r="398" spans="2:15" x14ac:dyDescent="0.25">
      <c r="B398" t="s">
        <v>15</v>
      </c>
      <c r="C398" s="4">
        <v>44700</v>
      </c>
      <c r="D398">
        <v>5</v>
      </c>
      <c r="E398" t="s">
        <v>21</v>
      </c>
      <c r="F398" t="s">
        <v>44</v>
      </c>
      <c r="G398" t="s">
        <v>40</v>
      </c>
      <c r="H398">
        <v>0</v>
      </c>
      <c r="I398">
        <v>278340</v>
      </c>
      <c r="J398">
        <v>-278340</v>
      </c>
      <c r="L398">
        <v>33</v>
      </c>
      <c r="M398">
        <v>349296</v>
      </c>
      <c r="N398" t="s">
        <v>85</v>
      </c>
      <c r="O398" t="s">
        <v>86</v>
      </c>
    </row>
    <row r="399" spans="2:15" x14ac:dyDescent="0.25">
      <c r="B399" t="s">
        <v>15</v>
      </c>
      <c r="C399" s="4">
        <v>44697</v>
      </c>
      <c r="D399">
        <v>5</v>
      </c>
      <c r="E399" t="s">
        <v>38</v>
      </c>
      <c r="F399" t="s">
        <v>39</v>
      </c>
      <c r="G399" t="s">
        <v>40</v>
      </c>
      <c r="H399">
        <v>36101</v>
      </c>
      <c r="I399">
        <v>0</v>
      </c>
      <c r="J399">
        <v>36101</v>
      </c>
      <c r="L399">
        <v>33</v>
      </c>
      <c r="M399">
        <v>10045091</v>
      </c>
      <c r="N399" t="s">
        <v>57</v>
      </c>
      <c r="O399" t="s">
        <v>58</v>
      </c>
    </row>
    <row r="400" spans="2:15" x14ac:dyDescent="0.25">
      <c r="B400" t="s">
        <v>15</v>
      </c>
      <c r="C400" s="4">
        <v>44697</v>
      </c>
      <c r="D400">
        <v>5</v>
      </c>
      <c r="E400" t="s">
        <v>16</v>
      </c>
      <c r="F400" t="s">
        <v>43</v>
      </c>
      <c r="G400" t="s">
        <v>40</v>
      </c>
      <c r="H400">
        <v>6859</v>
      </c>
      <c r="I400">
        <v>0</v>
      </c>
      <c r="J400">
        <v>6859</v>
      </c>
      <c r="L400">
        <v>33</v>
      </c>
      <c r="M400">
        <v>10045091</v>
      </c>
      <c r="N400" t="s">
        <v>57</v>
      </c>
      <c r="O400" t="s">
        <v>58</v>
      </c>
    </row>
    <row r="401" spans="2:15" x14ac:dyDescent="0.25">
      <c r="B401" t="s">
        <v>15</v>
      </c>
      <c r="C401" s="4">
        <v>44697</v>
      </c>
      <c r="D401">
        <v>5</v>
      </c>
      <c r="E401" t="s">
        <v>21</v>
      </c>
      <c r="F401" t="s">
        <v>44</v>
      </c>
      <c r="G401" t="s">
        <v>40</v>
      </c>
      <c r="H401">
        <v>0</v>
      </c>
      <c r="I401">
        <v>42960</v>
      </c>
      <c r="J401">
        <v>-42960</v>
      </c>
      <c r="L401">
        <v>33</v>
      </c>
      <c r="M401">
        <v>10045091</v>
      </c>
      <c r="N401" t="s">
        <v>57</v>
      </c>
      <c r="O401" t="s">
        <v>58</v>
      </c>
    </row>
    <row r="402" spans="2:15" x14ac:dyDescent="0.25">
      <c r="B402" t="s">
        <v>15</v>
      </c>
      <c r="C402" s="4">
        <v>44701</v>
      </c>
      <c r="D402">
        <v>5</v>
      </c>
      <c r="E402" t="s">
        <v>38</v>
      </c>
      <c r="F402" t="s">
        <v>39</v>
      </c>
      <c r="G402" t="s">
        <v>40</v>
      </c>
      <c r="H402">
        <v>97310</v>
      </c>
      <c r="I402">
        <v>0</v>
      </c>
      <c r="J402">
        <v>97310</v>
      </c>
      <c r="L402">
        <v>33</v>
      </c>
      <c r="M402">
        <v>676306</v>
      </c>
      <c r="N402" t="s">
        <v>49</v>
      </c>
      <c r="O402" t="s">
        <v>50</v>
      </c>
    </row>
    <row r="403" spans="2:15" x14ac:dyDescent="0.25">
      <c r="B403" t="s">
        <v>15</v>
      </c>
      <c r="C403" s="4">
        <v>44701</v>
      </c>
      <c r="D403">
        <v>5</v>
      </c>
      <c r="E403" t="s">
        <v>16</v>
      </c>
      <c r="F403" t="s">
        <v>43</v>
      </c>
      <c r="G403" t="s">
        <v>40</v>
      </c>
      <c r="H403">
        <v>18489</v>
      </c>
      <c r="I403">
        <v>0</v>
      </c>
      <c r="J403">
        <v>18489</v>
      </c>
      <c r="L403">
        <v>33</v>
      </c>
      <c r="M403">
        <v>676306</v>
      </c>
      <c r="N403" t="s">
        <v>49</v>
      </c>
      <c r="O403" t="s">
        <v>50</v>
      </c>
    </row>
    <row r="404" spans="2:15" x14ac:dyDescent="0.25">
      <c r="B404" t="s">
        <v>15</v>
      </c>
      <c r="C404" s="4">
        <v>44701</v>
      </c>
      <c r="D404">
        <v>5</v>
      </c>
      <c r="E404" t="s">
        <v>21</v>
      </c>
      <c r="F404" t="s">
        <v>44</v>
      </c>
      <c r="G404" t="s">
        <v>40</v>
      </c>
      <c r="H404">
        <v>0</v>
      </c>
      <c r="I404">
        <v>115799</v>
      </c>
      <c r="J404">
        <v>-115799</v>
      </c>
      <c r="L404">
        <v>33</v>
      </c>
      <c r="M404">
        <v>676306</v>
      </c>
      <c r="N404" t="s">
        <v>49</v>
      </c>
      <c r="O404" t="s">
        <v>50</v>
      </c>
    </row>
    <row r="405" spans="2:15" x14ac:dyDescent="0.25">
      <c r="B405" t="s">
        <v>15</v>
      </c>
      <c r="C405" s="4">
        <v>44701</v>
      </c>
      <c r="D405">
        <v>5</v>
      </c>
      <c r="E405" t="s">
        <v>38</v>
      </c>
      <c r="F405" t="s">
        <v>39</v>
      </c>
      <c r="G405" t="s">
        <v>40</v>
      </c>
      <c r="H405">
        <v>279414</v>
      </c>
      <c r="I405">
        <v>0</v>
      </c>
      <c r="J405">
        <v>279414</v>
      </c>
      <c r="L405">
        <v>33</v>
      </c>
      <c r="M405">
        <v>349537</v>
      </c>
      <c r="N405" t="s">
        <v>85</v>
      </c>
      <c r="O405" t="s">
        <v>86</v>
      </c>
    </row>
    <row r="406" spans="2:15" x14ac:dyDescent="0.25">
      <c r="B406" t="s">
        <v>15</v>
      </c>
      <c r="C406" s="4">
        <v>44701</v>
      </c>
      <c r="D406">
        <v>5</v>
      </c>
      <c r="E406" t="s">
        <v>16</v>
      </c>
      <c r="F406" t="s">
        <v>43</v>
      </c>
      <c r="G406" t="s">
        <v>40</v>
      </c>
      <c r="H406">
        <v>53089</v>
      </c>
      <c r="I406">
        <v>0</v>
      </c>
      <c r="J406">
        <v>53089</v>
      </c>
      <c r="L406">
        <v>33</v>
      </c>
      <c r="M406">
        <v>349537</v>
      </c>
      <c r="N406" t="s">
        <v>85</v>
      </c>
      <c r="O406" t="s">
        <v>86</v>
      </c>
    </row>
    <row r="407" spans="2:15" x14ac:dyDescent="0.25">
      <c r="B407" t="s">
        <v>15</v>
      </c>
      <c r="C407" s="4">
        <v>44701</v>
      </c>
      <c r="D407">
        <v>5</v>
      </c>
      <c r="E407" t="s">
        <v>21</v>
      </c>
      <c r="F407" t="s">
        <v>44</v>
      </c>
      <c r="G407" t="s">
        <v>40</v>
      </c>
      <c r="H407">
        <v>0</v>
      </c>
      <c r="I407">
        <v>332503</v>
      </c>
      <c r="J407">
        <v>-332503</v>
      </c>
      <c r="L407">
        <v>33</v>
      </c>
      <c r="M407">
        <v>349537</v>
      </c>
      <c r="N407" t="s">
        <v>85</v>
      </c>
      <c r="O407" t="s">
        <v>86</v>
      </c>
    </row>
    <row r="408" spans="2:15" x14ac:dyDescent="0.25">
      <c r="B408" t="s">
        <v>15</v>
      </c>
      <c r="C408" s="4">
        <v>44704</v>
      </c>
      <c r="D408">
        <v>5</v>
      </c>
      <c r="E408" t="s">
        <v>38</v>
      </c>
      <c r="F408" t="s">
        <v>39</v>
      </c>
      <c r="G408" t="s">
        <v>40</v>
      </c>
      <c r="H408">
        <v>456810</v>
      </c>
      <c r="I408">
        <v>0</v>
      </c>
      <c r="J408">
        <v>456810</v>
      </c>
      <c r="L408">
        <v>33</v>
      </c>
      <c r="M408">
        <v>381092</v>
      </c>
      <c r="N408" t="s">
        <v>51</v>
      </c>
      <c r="O408" t="s">
        <v>52</v>
      </c>
    </row>
    <row r="409" spans="2:15" x14ac:dyDescent="0.25">
      <c r="B409" t="s">
        <v>15</v>
      </c>
      <c r="C409" s="4">
        <v>44704</v>
      </c>
      <c r="D409">
        <v>5</v>
      </c>
      <c r="E409" t="s">
        <v>16</v>
      </c>
      <c r="F409" t="s">
        <v>43</v>
      </c>
      <c r="G409" t="s">
        <v>40</v>
      </c>
      <c r="H409">
        <v>86794</v>
      </c>
      <c r="I409">
        <v>0</v>
      </c>
      <c r="J409">
        <v>86794</v>
      </c>
      <c r="L409">
        <v>33</v>
      </c>
      <c r="M409">
        <v>381092</v>
      </c>
      <c r="N409" t="s">
        <v>51</v>
      </c>
      <c r="O409" t="s">
        <v>52</v>
      </c>
    </row>
    <row r="410" spans="2:15" x14ac:dyDescent="0.25">
      <c r="B410" t="s">
        <v>15</v>
      </c>
      <c r="C410" s="4">
        <v>44704</v>
      </c>
      <c r="D410">
        <v>5</v>
      </c>
      <c r="E410" t="s">
        <v>21</v>
      </c>
      <c r="F410" t="s">
        <v>44</v>
      </c>
      <c r="G410" t="s">
        <v>40</v>
      </c>
      <c r="H410">
        <v>0</v>
      </c>
      <c r="I410">
        <v>543604</v>
      </c>
      <c r="J410">
        <v>-543604</v>
      </c>
      <c r="L410">
        <v>33</v>
      </c>
      <c r="M410">
        <v>381092</v>
      </c>
      <c r="N410" t="s">
        <v>51</v>
      </c>
      <c r="O410" t="s">
        <v>52</v>
      </c>
    </row>
    <row r="411" spans="2:15" x14ac:dyDescent="0.25">
      <c r="B411" t="s">
        <v>15</v>
      </c>
      <c r="C411" s="4">
        <v>44711</v>
      </c>
      <c r="D411">
        <v>5</v>
      </c>
      <c r="E411" t="s">
        <v>38</v>
      </c>
      <c r="F411" t="s">
        <v>39</v>
      </c>
      <c r="G411" t="s">
        <v>40</v>
      </c>
      <c r="H411">
        <v>899700</v>
      </c>
      <c r="I411">
        <v>0</v>
      </c>
      <c r="J411">
        <v>899700</v>
      </c>
      <c r="L411">
        <v>33</v>
      </c>
      <c r="M411">
        <v>382560</v>
      </c>
      <c r="N411" t="s">
        <v>51</v>
      </c>
      <c r="O411" t="s">
        <v>52</v>
      </c>
    </row>
    <row r="412" spans="2:15" x14ac:dyDescent="0.25">
      <c r="B412" t="s">
        <v>15</v>
      </c>
      <c r="C412" s="4">
        <v>44711</v>
      </c>
      <c r="D412">
        <v>5</v>
      </c>
      <c r="E412" t="s">
        <v>16</v>
      </c>
      <c r="F412" t="s">
        <v>43</v>
      </c>
      <c r="G412" t="s">
        <v>40</v>
      </c>
      <c r="H412">
        <v>170943</v>
      </c>
      <c r="I412">
        <v>0</v>
      </c>
      <c r="J412">
        <v>170943</v>
      </c>
      <c r="L412">
        <v>33</v>
      </c>
      <c r="M412">
        <v>382560</v>
      </c>
      <c r="N412" t="s">
        <v>51</v>
      </c>
      <c r="O412" t="s">
        <v>52</v>
      </c>
    </row>
    <row r="413" spans="2:15" x14ac:dyDescent="0.25">
      <c r="B413" t="s">
        <v>15</v>
      </c>
      <c r="C413" s="4">
        <v>44711</v>
      </c>
      <c r="D413">
        <v>5</v>
      </c>
      <c r="E413" t="s">
        <v>21</v>
      </c>
      <c r="F413" t="s">
        <v>44</v>
      </c>
      <c r="G413" t="s">
        <v>40</v>
      </c>
      <c r="H413">
        <v>0</v>
      </c>
      <c r="I413">
        <v>1070643</v>
      </c>
      <c r="J413">
        <v>-1070643</v>
      </c>
      <c r="L413">
        <v>33</v>
      </c>
      <c r="M413">
        <v>382560</v>
      </c>
      <c r="N413" t="s">
        <v>51</v>
      </c>
      <c r="O413" t="s">
        <v>52</v>
      </c>
    </row>
    <row r="414" spans="2:15" x14ac:dyDescent="0.25">
      <c r="B414" t="s">
        <v>15</v>
      </c>
      <c r="C414" s="4">
        <v>44712</v>
      </c>
      <c r="D414">
        <v>5</v>
      </c>
      <c r="E414" t="s">
        <v>38</v>
      </c>
      <c r="F414" t="s">
        <v>39</v>
      </c>
      <c r="G414" t="s">
        <v>40</v>
      </c>
      <c r="H414">
        <v>50400</v>
      </c>
      <c r="I414">
        <v>0</v>
      </c>
      <c r="J414">
        <v>50400</v>
      </c>
      <c r="L414">
        <v>33</v>
      </c>
      <c r="M414">
        <v>1834</v>
      </c>
      <c r="N414" t="s">
        <v>77</v>
      </c>
      <c r="O414" t="s">
        <v>78</v>
      </c>
    </row>
    <row r="415" spans="2:15" x14ac:dyDescent="0.25">
      <c r="B415" t="s">
        <v>15</v>
      </c>
      <c r="C415" s="4">
        <v>44712</v>
      </c>
      <c r="D415">
        <v>5</v>
      </c>
      <c r="E415" t="s">
        <v>16</v>
      </c>
      <c r="F415" t="s">
        <v>43</v>
      </c>
      <c r="G415" t="s">
        <v>40</v>
      </c>
      <c r="H415">
        <v>9576</v>
      </c>
      <c r="I415">
        <v>0</v>
      </c>
      <c r="J415">
        <v>9576</v>
      </c>
      <c r="L415">
        <v>33</v>
      </c>
      <c r="M415">
        <v>1834</v>
      </c>
      <c r="N415" t="s">
        <v>77</v>
      </c>
      <c r="O415" t="s">
        <v>78</v>
      </c>
    </row>
    <row r="416" spans="2:15" x14ac:dyDescent="0.25">
      <c r="B416" t="s">
        <v>15</v>
      </c>
      <c r="C416" s="4">
        <v>44712</v>
      </c>
      <c r="D416">
        <v>5</v>
      </c>
      <c r="E416" t="s">
        <v>21</v>
      </c>
      <c r="F416" t="s">
        <v>44</v>
      </c>
      <c r="G416" t="s">
        <v>40</v>
      </c>
      <c r="H416">
        <v>0</v>
      </c>
      <c r="I416">
        <v>59976</v>
      </c>
      <c r="J416">
        <v>-59976</v>
      </c>
      <c r="L416">
        <v>33</v>
      </c>
      <c r="M416">
        <v>1834</v>
      </c>
      <c r="N416" t="s">
        <v>77</v>
      </c>
      <c r="O416" t="s">
        <v>78</v>
      </c>
    </row>
    <row r="417" spans="2:15" x14ac:dyDescent="0.25">
      <c r="B417" t="s">
        <v>15</v>
      </c>
      <c r="C417" s="4">
        <v>44712</v>
      </c>
      <c r="D417">
        <v>5</v>
      </c>
      <c r="E417" t="s">
        <v>38</v>
      </c>
      <c r="F417" t="s">
        <v>39</v>
      </c>
      <c r="G417" t="s">
        <v>40</v>
      </c>
      <c r="H417">
        <v>78900</v>
      </c>
      <c r="I417">
        <v>0</v>
      </c>
      <c r="J417">
        <v>78900</v>
      </c>
      <c r="L417">
        <v>33</v>
      </c>
      <c r="M417">
        <v>382796</v>
      </c>
      <c r="N417" t="s">
        <v>51</v>
      </c>
      <c r="O417" t="s">
        <v>52</v>
      </c>
    </row>
    <row r="418" spans="2:15" x14ac:dyDescent="0.25">
      <c r="B418" t="s">
        <v>15</v>
      </c>
      <c r="C418" s="4">
        <v>44712</v>
      </c>
      <c r="D418">
        <v>5</v>
      </c>
      <c r="E418" t="s">
        <v>16</v>
      </c>
      <c r="F418" t="s">
        <v>43</v>
      </c>
      <c r="G418" t="s">
        <v>40</v>
      </c>
      <c r="H418">
        <v>14991</v>
      </c>
      <c r="I418">
        <v>0</v>
      </c>
      <c r="J418">
        <v>14991</v>
      </c>
      <c r="L418">
        <v>33</v>
      </c>
      <c r="M418">
        <v>382796</v>
      </c>
      <c r="N418" t="s">
        <v>51</v>
      </c>
      <c r="O418" t="s">
        <v>52</v>
      </c>
    </row>
    <row r="419" spans="2:15" x14ac:dyDescent="0.25">
      <c r="B419" t="s">
        <v>15</v>
      </c>
      <c r="C419" s="4">
        <v>44712</v>
      </c>
      <c r="D419">
        <v>5</v>
      </c>
      <c r="E419" t="s">
        <v>21</v>
      </c>
      <c r="F419" t="s">
        <v>44</v>
      </c>
      <c r="G419" t="s">
        <v>40</v>
      </c>
      <c r="H419">
        <v>0</v>
      </c>
      <c r="I419">
        <v>93891</v>
      </c>
      <c r="J419">
        <v>-93891</v>
      </c>
      <c r="L419">
        <v>33</v>
      </c>
      <c r="M419">
        <v>382796</v>
      </c>
      <c r="N419" t="s">
        <v>51</v>
      </c>
      <c r="O419" t="s">
        <v>52</v>
      </c>
    </row>
    <row r="420" spans="2:15" x14ac:dyDescent="0.25">
      <c r="B420" t="s">
        <v>15</v>
      </c>
      <c r="C420" s="4">
        <v>44712</v>
      </c>
      <c r="D420">
        <v>5</v>
      </c>
      <c r="E420" t="s">
        <v>38</v>
      </c>
      <c r="F420" t="s">
        <v>39</v>
      </c>
      <c r="G420" t="s">
        <v>40</v>
      </c>
      <c r="H420">
        <v>15715</v>
      </c>
      <c r="I420">
        <v>0</v>
      </c>
      <c r="J420">
        <v>15715</v>
      </c>
      <c r="L420">
        <v>33</v>
      </c>
      <c r="M420">
        <v>18</v>
      </c>
      <c r="N420" t="s">
        <v>91</v>
      </c>
      <c r="O420" t="s">
        <v>92</v>
      </c>
    </row>
    <row r="421" spans="2:15" x14ac:dyDescent="0.25">
      <c r="B421" t="s">
        <v>15</v>
      </c>
      <c r="C421" s="4">
        <v>44712</v>
      </c>
      <c r="D421">
        <v>5</v>
      </c>
      <c r="E421" t="s">
        <v>16</v>
      </c>
      <c r="F421" t="s">
        <v>43</v>
      </c>
      <c r="G421" t="s">
        <v>40</v>
      </c>
      <c r="H421">
        <v>2986</v>
      </c>
      <c r="I421">
        <v>0</v>
      </c>
      <c r="J421">
        <v>2986</v>
      </c>
      <c r="L421">
        <v>33</v>
      </c>
      <c r="M421">
        <v>18</v>
      </c>
      <c r="N421" t="s">
        <v>91</v>
      </c>
      <c r="O421" t="s">
        <v>92</v>
      </c>
    </row>
    <row r="422" spans="2:15" x14ac:dyDescent="0.25">
      <c r="B422" t="s">
        <v>15</v>
      </c>
      <c r="C422" s="4">
        <v>44712</v>
      </c>
      <c r="D422">
        <v>5</v>
      </c>
      <c r="E422" t="s">
        <v>21</v>
      </c>
      <c r="F422" t="s">
        <v>44</v>
      </c>
      <c r="G422" t="s">
        <v>40</v>
      </c>
      <c r="H422">
        <v>0</v>
      </c>
      <c r="I422">
        <v>18701</v>
      </c>
      <c r="J422">
        <v>-18701</v>
      </c>
      <c r="L422">
        <v>33</v>
      </c>
      <c r="M422">
        <v>18</v>
      </c>
      <c r="N422" t="s">
        <v>91</v>
      </c>
      <c r="O422" t="s">
        <v>92</v>
      </c>
    </row>
    <row r="423" spans="2:15" x14ac:dyDescent="0.25">
      <c r="B423" t="s">
        <v>15</v>
      </c>
      <c r="C423" s="4">
        <v>44698</v>
      </c>
      <c r="D423">
        <v>5</v>
      </c>
      <c r="E423" t="s">
        <v>38</v>
      </c>
      <c r="F423" t="s">
        <v>39</v>
      </c>
      <c r="G423" t="s">
        <v>40</v>
      </c>
      <c r="H423">
        <v>112618</v>
      </c>
      <c r="I423">
        <v>0</v>
      </c>
      <c r="J423">
        <v>112618</v>
      </c>
      <c r="L423">
        <v>34</v>
      </c>
      <c r="M423">
        <v>92</v>
      </c>
      <c r="N423" t="s">
        <v>71</v>
      </c>
      <c r="O423" t="s">
        <v>72</v>
      </c>
    </row>
    <row r="424" spans="2:15" x14ac:dyDescent="0.25">
      <c r="B424" t="s">
        <v>15</v>
      </c>
      <c r="C424" s="4">
        <v>44698</v>
      </c>
      <c r="D424">
        <v>5</v>
      </c>
      <c r="E424" t="s">
        <v>16</v>
      </c>
      <c r="F424" t="s">
        <v>43</v>
      </c>
      <c r="G424" t="s">
        <v>40</v>
      </c>
      <c r="H424">
        <v>0</v>
      </c>
      <c r="I424">
        <v>0</v>
      </c>
      <c r="J424">
        <v>0</v>
      </c>
      <c r="L424">
        <v>34</v>
      </c>
      <c r="M424">
        <v>92</v>
      </c>
      <c r="N424" t="s">
        <v>71</v>
      </c>
      <c r="O424" t="s">
        <v>72</v>
      </c>
    </row>
    <row r="425" spans="2:15" x14ac:dyDescent="0.25">
      <c r="B425" t="s">
        <v>15</v>
      </c>
      <c r="C425" s="4">
        <v>44698</v>
      </c>
      <c r="D425">
        <v>5</v>
      </c>
      <c r="E425" t="s">
        <v>21</v>
      </c>
      <c r="F425" t="s">
        <v>44</v>
      </c>
      <c r="G425" t="s">
        <v>40</v>
      </c>
      <c r="H425">
        <v>0</v>
      </c>
      <c r="I425">
        <v>112618</v>
      </c>
      <c r="J425">
        <v>-112618</v>
      </c>
      <c r="L425">
        <v>34</v>
      </c>
      <c r="M425">
        <v>92</v>
      </c>
      <c r="N425" t="s">
        <v>71</v>
      </c>
      <c r="O425" t="s">
        <v>72</v>
      </c>
    </row>
    <row r="426" spans="2:15" x14ac:dyDescent="0.25">
      <c r="B426" t="s">
        <v>15</v>
      </c>
      <c r="C426" s="4">
        <v>44705</v>
      </c>
      <c r="D426">
        <v>6</v>
      </c>
      <c r="E426" t="s">
        <v>38</v>
      </c>
      <c r="F426" t="s">
        <v>39</v>
      </c>
      <c r="G426" t="s">
        <v>40</v>
      </c>
      <c r="H426">
        <v>3361</v>
      </c>
      <c r="I426">
        <v>0</v>
      </c>
      <c r="J426">
        <v>3361</v>
      </c>
      <c r="L426">
        <v>33</v>
      </c>
      <c r="M426">
        <v>155327</v>
      </c>
      <c r="N426" t="s">
        <v>45</v>
      </c>
      <c r="O426" t="s">
        <v>46</v>
      </c>
    </row>
    <row r="427" spans="2:15" x14ac:dyDescent="0.25">
      <c r="B427" t="s">
        <v>15</v>
      </c>
      <c r="C427" s="4">
        <v>44705</v>
      </c>
      <c r="D427">
        <v>6</v>
      </c>
      <c r="E427" t="s">
        <v>16</v>
      </c>
      <c r="F427" t="s">
        <v>43</v>
      </c>
      <c r="G427" t="s">
        <v>40</v>
      </c>
      <c r="H427">
        <v>639</v>
      </c>
      <c r="I427">
        <v>0</v>
      </c>
      <c r="J427">
        <v>639</v>
      </c>
      <c r="L427">
        <v>33</v>
      </c>
      <c r="M427">
        <v>155327</v>
      </c>
      <c r="N427" t="s">
        <v>45</v>
      </c>
      <c r="O427" t="s">
        <v>46</v>
      </c>
    </row>
    <row r="428" spans="2:15" x14ac:dyDescent="0.25">
      <c r="B428" t="s">
        <v>15</v>
      </c>
      <c r="C428" s="4">
        <v>44705</v>
      </c>
      <c r="D428">
        <v>6</v>
      </c>
      <c r="E428" t="s">
        <v>21</v>
      </c>
      <c r="F428" t="s">
        <v>44</v>
      </c>
      <c r="G428" t="s">
        <v>40</v>
      </c>
      <c r="H428">
        <v>0</v>
      </c>
      <c r="I428">
        <v>4000</v>
      </c>
      <c r="J428">
        <v>-4000</v>
      </c>
      <c r="L428">
        <v>33</v>
      </c>
      <c r="M428">
        <v>155327</v>
      </c>
      <c r="N428" t="s">
        <v>45</v>
      </c>
      <c r="O428" t="s">
        <v>46</v>
      </c>
    </row>
    <row r="429" spans="2:15" x14ac:dyDescent="0.25">
      <c r="B429" t="s">
        <v>15</v>
      </c>
      <c r="C429" s="4">
        <v>44706</v>
      </c>
      <c r="D429">
        <v>6</v>
      </c>
      <c r="E429" t="s">
        <v>38</v>
      </c>
      <c r="F429" t="s">
        <v>39</v>
      </c>
      <c r="G429" t="s">
        <v>40</v>
      </c>
      <c r="H429">
        <v>54538</v>
      </c>
      <c r="I429">
        <v>0</v>
      </c>
      <c r="J429">
        <v>54538</v>
      </c>
      <c r="L429">
        <v>33</v>
      </c>
      <c r="M429">
        <v>155441</v>
      </c>
      <c r="N429" t="s">
        <v>45</v>
      </c>
      <c r="O429" t="s">
        <v>46</v>
      </c>
    </row>
    <row r="430" spans="2:15" x14ac:dyDescent="0.25">
      <c r="B430" t="s">
        <v>15</v>
      </c>
      <c r="C430" s="4">
        <v>44706</v>
      </c>
      <c r="D430">
        <v>6</v>
      </c>
      <c r="E430" t="s">
        <v>16</v>
      </c>
      <c r="F430" t="s">
        <v>43</v>
      </c>
      <c r="G430" t="s">
        <v>40</v>
      </c>
      <c r="H430">
        <v>10362</v>
      </c>
      <c r="I430">
        <v>0</v>
      </c>
      <c r="J430">
        <v>10362</v>
      </c>
      <c r="L430">
        <v>33</v>
      </c>
      <c r="M430">
        <v>155441</v>
      </c>
      <c r="N430" t="s">
        <v>45</v>
      </c>
      <c r="O430" t="s">
        <v>46</v>
      </c>
    </row>
    <row r="431" spans="2:15" x14ac:dyDescent="0.25">
      <c r="B431" t="s">
        <v>15</v>
      </c>
      <c r="C431" s="4">
        <v>44706</v>
      </c>
      <c r="D431">
        <v>6</v>
      </c>
      <c r="E431" t="s">
        <v>21</v>
      </c>
      <c r="F431" t="s">
        <v>44</v>
      </c>
      <c r="G431" t="s">
        <v>40</v>
      </c>
      <c r="H431">
        <v>0</v>
      </c>
      <c r="I431">
        <v>64900</v>
      </c>
      <c r="J431">
        <v>-64900</v>
      </c>
      <c r="L431">
        <v>33</v>
      </c>
      <c r="M431">
        <v>155441</v>
      </c>
      <c r="N431" t="s">
        <v>45</v>
      </c>
      <c r="O431" t="s">
        <v>46</v>
      </c>
    </row>
    <row r="432" spans="2:15" x14ac:dyDescent="0.25">
      <c r="B432" t="s">
        <v>15</v>
      </c>
      <c r="C432" s="4">
        <v>44707</v>
      </c>
      <c r="D432">
        <v>6</v>
      </c>
      <c r="E432" t="s">
        <v>38</v>
      </c>
      <c r="F432" t="s">
        <v>39</v>
      </c>
      <c r="G432" t="s">
        <v>40</v>
      </c>
      <c r="H432">
        <v>223541</v>
      </c>
      <c r="I432">
        <v>0</v>
      </c>
      <c r="J432">
        <v>223541</v>
      </c>
      <c r="L432">
        <v>33</v>
      </c>
      <c r="M432">
        <v>301273</v>
      </c>
      <c r="N432" t="s">
        <v>63</v>
      </c>
      <c r="O432" t="s">
        <v>64</v>
      </c>
    </row>
    <row r="433" spans="2:15" x14ac:dyDescent="0.25">
      <c r="B433" t="s">
        <v>15</v>
      </c>
      <c r="C433" s="4">
        <v>44707</v>
      </c>
      <c r="D433">
        <v>6</v>
      </c>
      <c r="E433" t="s">
        <v>16</v>
      </c>
      <c r="F433" t="s">
        <v>43</v>
      </c>
      <c r="G433" t="s">
        <v>40</v>
      </c>
      <c r="H433">
        <v>42473</v>
      </c>
      <c r="I433">
        <v>0</v>
      </c>
      <c r="J433">
        <v>42473</v>
      </c>
      <c r="L433">
        <v>33</v>
      </c>
      <c r="M433">
        <v>301273</v>
      </c>
      <c r="N433" t="s">
        <v>63</v>
      </c>
      <c r="O433" t="s">
        <v>64</v>
      </c>
    </row>
    <row r="434" spans="2:15" x14ac:dyDescent="0.25">
      <c r="B434" t="s">
        <v>15</v>
      </c>
      <c r="C434" s="4">
        <v>44707</v>
      </c>
      <c r="D434">
        <v>6</v>
      </c>
      <c r="E434" t="s">
        <v>21</v>
      </c>
      <c r="F434" t="s">
        <v>44</v>
      </c>
      <c r="G434" t="s">
        <v>40</v>
      </c>
      <c r="H434">
        <v>0</v>
      </c>
      <c r="I434">
        <v>266014</v>
      </c>
      <c r="J434">
        <v>-266014</v>
      </c>
      <c r="L434">
        <v>33</v>
      </c>
      <c r="M434">
        <v>301273</v>
      </c>
      <c r="N434" t="s">
        <v>63</v>
      </c>
      <c r="O434" t="s">
        <v>64</v>
      </c>
    </row>
    <row r="435" spans="2:15" x14ac:dyDescent="0.25">
      <c r="B435" t="s">
        <v>15</v>
      </c>
      <c r="C435" s="4">
        <v>44712</v>
      </c>
      <c r="D435">
        <v>6</v>
      </c>
      <c r="E435" t="s">
        <v>38</v>
      </c>
      <c r="F435" t="s">
        <v>39</v>
      </c>
      <c r="G435" t="s">
        <v>40</v>
      </c>
      <c r="H435">
        <v>24790</v>
      </c>
      <c r="I435">
        <v>0</v>
      </c>
      <c r="J435">
        <v>24790</v>
      </c>
      <c r="L435">
        <v>33</v>
      </c>
      <c r="M435">
        <v>155656</v>
      </c>
      <c r="N435" t="s">
        <v>45</v>
      </c>
      <c r="O435" t="s">
        <v>46</v>
      </c>
    </row>
    <row r="436" spans="2:15" x14ac:dyDescent="0.25">
      <c r="B436" t="s">
        <v>15</v>
      </c>
      <c r="C436" s="4">
        <v>44712</v>
      </c>
      <c r="D436">
        <v>6</v>
      </c>
      <c r="E436" t="s">
        <v>16</v>
      </c>
      <c r="F436" t="s">
        <v>43</v>
      </c>
      <c r="G436" t="s">
        <v>40</v>
      </c>
      <c r="H436">
        <v>4710</v>
      </c>
      <c r="I436">
        <v>0</v>
      </c>
      <c r="J436">
        <v>4710</v>
      </c>
      <c r="L436">
        <v>33</v>
      </c>
      <c r="M436">
        <v>155656</v>
      </c>
      <c r="N436" t="s">
        <v>45</v>
      </c>
      <c r="O436" t="s">
        <v>46</v>
      </c>
    </row>
    <row r="437" spans="2:15" x14ac:dyDescent="0.25">
      <c r="B437" t="s">
        <v>15</v>
      </c>
      <c r="C437" s="4">
        <v>44712</v>
      </c>
      <c r="D437">
        <v>6</v>
      </c>
      <c r="E437" t="s">
        <v>21</v>
      </c>
      <c r="F437" t="s">
        <v>44</v>
      </c>
      <c r="G437" t="s">
        <v>40</v>
      </c>
      <c r="H437">
        <v>0</v>
      </c>
      <c r="I437">
        <v>29500</v>
      </c>
      <c r="J437">
        <v>-29500</v>
      </c>
      <c r="L437">
        <v>33</v>
      </c>
      <c r="M437">
        <v>155656</v>
      </c>
      <c r="N437" t="s">
        <v>45</v>
      </c>
      <c r="O437" t="s">
        <v>46</v>
      </c>
    </row>
    <row r="438" spans="2:15" x14ac:dyDescent="0.25">
      <c r="B438" t="s">
        <v>15</v>
      </c>
      <c r="C438" s="4">
        <v>44718</v>
      </c>
      <c r="D438">
        <v>6</v>
      </c>
      <c r="E438" t="s">
        <v>38</v>
      </c>
      <c r="F438" t="s">
        <v>39</v>
      </c>
      <c r="G438" t="s">
        <v>40</v>
      </c>
      <c r="H438">
        <v>29970</v>
      </c>
      <c r="I438">
        <v>0</v>
      </c>
      <c r="J438">
        <v>29970</v>
      </c>
      <c r="L438">
        <v>33</v>
      </c>
      <c r="M438">
        <v>8048</v>
      </c>
      <c r="N438" t="s">
        <v>93</v>
      </c>
      <c r="O438" t="s">
        <v>94</v>
      </c>
    </row>
    <row r="439" spans="2:15" x14ac:dyDescent="0.25">
      <c r="B439" t="s">
        <v>15</v>
      </c>
      <c r="C439" s="4">
        <v>44718</v>
      </c>
      <c r="D439">
        <v>6</v>
      </c>
      <c r="E439" t="s">
        <v>16</v>
      </c>
      <c r="F439" t="s">
        <v>43</v>
      </c>
      <c r="G439" t="s">
        <v>40</v>
      </c>
      <c r="H439">
        <v>5694</v>
      </c>
      <c r="I439">
        <v>0</v>
      </c>
      <c r="J439">
        <v>5694</v>
      </c>
      <c r="L439">
        <v>33</v>
      </c>
      <c r="M439">
        <v>8048</v>
      </c>
      <c r="N439" t="s">
        <v>93</v>
      </c>
      <c r="O439" t="s">
        <v>94</v>
      </c>
    </row>
    <row r="440" spans="2:15" x14ac:dyDescent="0.25">
      <c r="B440" t="s">
        <v>15</v>
      </c>
      <c r="C440" s="4">
        <v>44718</v>
      </c>
      <c r="D440">
        <v>6</v>
      </c>
      <c r="E440" t="s">
        <v>21</v>
      </c>
      <c r="F440" t="s">
        <v>44</v>
      </c>
      <c r="G440" t="s">
        <v>40</v>
      </c>
      <c r="H440">
        <v>0</v>
      </c>
      <c r="I440">
        <v>35664</v>
      </c>
      <c r="J440">
        <v>-35664</v>
      </c>
      <c r="L440">
        <v>33</v>
      </c>
      <c r="M440">
        <v>8048</v>
      </c>
      <c r="N440" t="s">
        <v>93</v>
      </c>
      <c r="O440" t="s">
        <v>94</v>
      </c>
    </row>
    <row r="441" spans="2:15" x14ac:dyDescent="0.25">
      <c r="B441" t="s">
        <v>15</v>
      </c>
      <c r="C441" s="4">
        <v>44720</v>
      </c>
      <c r="D441">
        <v>6</v>
      </c>
      <c r="E441" t="s">
        <v>38</v>
      </c>
      <c r="F441" t="s">
        <v>39</v>
      </c>
      <c r="G441" t="s">
        <v>40</v>
      </c>
      <c r="H441">
        <v>206700</v>
      </c>
      <c r="I441">
        <v>0</v>
      </c>
      <c r="J441">
        <v>206700</v>
      </c>
      <c r="L441">
        <v>33</v>
      </c>
      <c r="M441">
        <v>384375</v>
      </c>
      <c r="N441" t="s">
        <v>51</v>
      </c>
      <c r="O441" t="s">
        <v>52</v>
      </c>
    </row>
    <row r="442" spans="2:15" x14ac:dyDescent="0.25">
      <c r="B442" t="s">
        <v>15</v>
      </c>
      <c r="C442" s="4">
        <v>44720</v>
      </c>
      <c r="D442">
        <v>6</v>
      </c>
      <c r="E442" t="s">
        <v>16</v>
      </c>
      <c r="F442" t="s">
        <v>43</v>
      </c>
      <c r="G442" t="s">
        <v>40</v>
      </c>
      <c r="H442">
        <v>39273</v>
      </c>
      <c r="I442">
        <v>0</v>
      </c>
      <c r="J442">
        <v>39273</v>
      </c>
      <c r="L442">
        <v>33</v>
      </c>
      <c r="M442">
        <v>384375</v>
      </c>
      <c r="N442" t="s">
        <v>51</v>
      </c>
      <c r="O442" t="s">
        <v>52</v>
      </c>
    </row>
    <row r="443" spans="2:15" x14ac:dyDescent="0.25">
      <c r="B443" t="s">
        <v>15</v>
      </c>
      <c r="C443" s="4">
        <v>44720</v>
      </c>
      <c r="D443">
        <v>6</v>
      </c>
      <c r="E443" t="s">
        <v>21</v>
      </c>
      <c r="F443" t="s">
        <v>44</v>
      </c>
      <c r="G443" t="s">
        <v>40</v>
      </c>
      <c r="H443">
        <v>0</v>
      </c>
      <c r="I443">
        <v>245973</v>
      </c>
      <c r="J443">
        <v>-245973</v>
      </c>
      <c r="L443">
        <v>33</v>
      </c>
      <c r="M443">
        <v>384375</v>
      </c>
      <c r="N443" t="s">
        <v>51</v>
      </c>
      <c r="O443" t="s">
        <v>52</v>
      </c>
    </row>
    <row r="444" spans="2:15" x14ac:dyDescent="0.25">
      <c r="B444" t="s">
        <v>15</v>
      </c>
      <c r="C444" s="4">
        <v>44720</v>
      </c>
      <c r="D444">
        <v>6</v>
      </c>
      <c r="E444" t="s">
        <v>38</v>
      </c>
      <c r="F444" t="s">
        <v>39</v>
      </c>
      <c r="G444" t="s">
        <v>40</v>
      </c>
      <c r="H444">
        <v>250520</v>
      </c>
      <c r="I444">
        <v>0</v>
      </c>
      <c r="J444">
        <v>250520</v>
      </c>
      <c r="L444">
        <v>33</v>
      </c>
      <c r="M444">
        <v>384380</v>
      </c>
      <c r="N444" t="s">
        <v>51</v>
      </c>
      <c r="O444" t="s">
        <v>52</v>
      </c>
    </row>
    <row r="445" spans="2:15" x14ac:dyDescent="0.25">
      <c r="B445" t="s">
        <v>15</v>
      </c>
      <c r="C445" s="4">
        <v>44720</v>
      </c>
      <c r="D445">
        <v>6</v>
      </c>
      <c r="E445" t="s">
        <v>16</v>
      </c>
      <c r="F445" t="s">
        <v>43</v>
      </c>
      <c r="G445" t="s">
        <v>40</v>
      </c>
      <c r="H445">
        <v>47599</v>
      </c>
      <c r="I445">
        <v>0</v>
      </c>
      <c r="J445">
        <v>47599</v>
      </c>
      <c r="L445">
        <v>33</v>
      </c>
      <c r="M445">
        <v>384380</v>
      </c>
      <c r="N445" t="s">
        <v>51</v>
      </c>
      <c r="O445" t="s">
        <v>52</v>
      </c>
    </row>
    <row r="446" spans="2:15" x14ac:dyDescent="0.25">
      <c r="B446" t="s">
        <v>15</v>
      </c>
      <c r="C446" s="4">
        <v>44720</v>
      </c>
      <c r="D446">
        <v>6</v>
      </c>
      <c r="E446" t="s">
        <v>21</v>
      </c>
      <c r="F446" t="s">
        <v>44</v>
      </c>
      <c r="G446" t="s">
        <v>40</v>
      </c>
      <c r="H446">
        <v>0</v>
      </c>
      <c r="I446">
        <v>298119</v>
      </c>
      <c r="J446">
        <v>-298119</v>
      </c>
      <c r="L446">
        <v>33</v>
      </c>
      <c r="M446">
        <v>384380</v>
      </c>
      <c r="N446" t="s">
        <v>51</v>
      </c>
      <c r="O446" t="s">
        <v>52</v>
      </c>
    </row>
    <row r="447" spans="2:15" x14ac:dyDescent="0.25">
      <c r="B447" t="s">
        <v>15</v>
      </c>
      <c r="C447" s="4">
        <v>44721</v>
      </c>
      <c r="D447">
        <v>6</v>
      </c>
      <c r="E447" t="s">
        <v>38</v>
      </c>
      <c r="F447" t="s">
        <v>39</v>
      </c>
      <c r="G447" t="s">
        <v>40</v>
      </c>
      <c r="H447">
        <v>206700</v>
      </c>
      <c r="I447">
        <v>0</v>
      </c>
      <c r="J447">
        <v>206700</v>
      </c>
      <c r="L447">
        <v>33</v>
      </c>
      <c r="M447">
        <v>384597</v>
      </c>
      <c r="N447" t="s">
        <v>51</v>
      </c>
      <c r="O447" t="s">
        <v>52</v>
      </c>
    </row>
    <row r="448" spans="2:15" x14ac:dyDescent="0.25">
      <c r="B448" t="s">
        <v>15</v>
      </c>
      <c r="C448" s="4">
        <v>44721</v>
      </c>
      <c r="D448">
        <v>6</v>
      </c>
      <c r="E448" t="s">
        <v>16</v>
      </c>
      <c r="F448" t="s">
        <v>43</v>
      </c>
      <c r="G448" t="s">
        <v>40</v>
      </c>
      <c r="H448">
        <v>39273</v>
      </c>
      <c r="I448">
        <v>0</v>
      </c>
      <c r="J448">
        <v>39273</v>
      </c>
      <c r="L448">
        <v>33</v>
      </c>
      <c r="M448">
        <v>384597</v>
      </c>
      <c r="N448" t="s">
        <v>51</v>
      </c>
      <c r="O448" t="s">
        <v>52</v>
      </c>
    </row>
    <row r="449" spans="2:15" x14ac:dyDescent="0.25">
      <c r="B449" t="s">
        <v>15</v>
      </c>
      <c r="C449" s="4">
        <v>44721</v>
      </c>
      <c r="D449">
        <v>6</v>
      </c>
      <c r="E449" t="s">
        <v>21</v>
      </c>
      <c r="F449" t="s">
        <v>44</v>
      </c>
      <c r="G449" t="s">
        <v>40</v>
      </c>
      <c r="H449">
        <v>0</v>
      </c>
      <c r="I449">
        <v>245973</v>
      </c>
      <c r="J449">
        <v>-245973</v>
      </c>
      <c r="L449">
        <v>33</v>
      </c>
      <c r="M449">
        <v>384597</v>
      </c>
      <c r="N449" t="s">
        <v>51</v>
      </c>
      <c r="O449" t="s">
        <v>52</v>
      </c>
    </row>
    <row r="450" spans="2:15" x14ac:dyDescent="0.25">
      <c r="B450" t="s">
        <v>15</v>
      </c>
      <c r="C450" s="4">
        <v>44725</v>
      </c>
      <c r="D450">
        <v>6</v>
      </c>
      <c r="E450" t="s">
        <v>38</v>
      </c>
      <c r="F450" t="s">
        <v>39</v>
      </c>
      <c r="G450" t="s">
        <v>40</v>
      </c>
      <c r="H450">
        <v>396210</v>
      </c>
      <c r="I450">
        <v>0</v>
      </c>
      <c r="J450">
        <v>396210</v>
      </c>
      <c r="L450">
        <v>33</v>
      </c>
      <c r="M450">
        <v>385254</v>
      </c>
      <c r="N450" t="s">
        <v>51</v>
      </c>
      <c r="O450" t="s">
        <v>52</v>
      </c>
    </row>
    <row r="451" spans="2:15" x14ac:dyDescent="0.25">
      <c r="B451" t="s">
        <v>15</v>
      </c>
      <c r="C451" s="4">
        <v>44725</v>
      </c>
      <c r="D451">
        <v>6</v>
      </c>
      <c r="E451" t="s">
        <v>16</v>
      </c>
      <c r="F451" t="s">
        <v>43</v>
      </c>
      <c r="G451" t="s">
        <v>40</v>
      </c>
      <c r="H451">
        <v>75280</v>
      </c>
      <c r="I451">
        <v>0</v>
      </c>
      <c r="J451">
        <v>75280</v>
      </c>
      <c r="L451">
        <v>33</v>
      </c>
      <c r="M451">
        <v>385254</v>
      </c>
      <c r="N451" t="s">
        <v>51</v>
      </c>
      <c r="O451" t="s">
        <v>52</v>
      </c>
    </row>
    <row r="452" spans="2:15" x14ac:dyDescent="0.25">
      <c r="B452" t="s">
        <v>15</v>
      </c>
      <c r="C452" s="4">
        <v>44725</v>
      </c>
      <c r="D452">
        <v>6</v>
      </c>
      <c r="E452" t="s">
        <v>21</v>
      </c>
      <c r="F452" t="s">
        <v>44</v>
      </c>
      <c r="G452" t="s">
        <v>40</v>
      </c>
      <c r="H452">
        <v>0</v>
      </c>
      <c r="I452">
        <v>471490</v>
      </c>
      <c r="J452">
        <v>-471490</v>
      </c>
      <c r="L452">
        <v>33</v>
      </c>
      <c r="M452">
        <v>385254</v>
      </c>
      <c r="N452" t="s">
        <v>51</v>
      </c>
      <c r="O452" t="s">
        <v>52</v>
      </c>
    </row>
    <row r="453" spans="2:15" x14ac:dyDescent="0.25">
      <c r="B453" t="s">
        <v>15</v>
      </c>
      <c r="C453" s="4">
        <v>44726</v>
      </c>
      <c r="D453">
        <v>6</v>
      </c>
      <c r="E453" t="s">
        <v>38</v>
      </c>
      <c r="F453" t="s">
        <v>39</v>
      </c>
      <c r="G453" t="s">
        <v>40</v>
      </c>
      <c r="H453">
        <v>30592</v>
      </c>
      <c r="I453">
        <v>0</v>
      </c>
      <c r="J453">
        <v>30592</v>
      </c>
      <c r="L453">
        <v>33</v>
      </c>
      <c r="M453">
        <v>2916332</v>
      </c>
      <c r="N453" t="s">
        <v>95</v>
      </c>
      <c r="O453" t="s">
        <v>96</v>
      </c>
    </row>
    <row r="454" spans="2:15" x14ac:dyDescent="0.25">
      <c r="B454" t="s">
        <v>15</v>
      </c>
      <c r="C454" s="4">
        <v>44726</v>
      </c>
      <c r="D454">
        <v>6</v>
      </c>
      <c r="E454" t="s">
        <v>16</v>
      </c>
      <c r="F454" t="s">
        <v>43</v>
      </c>
      <c r="G454" t="s">
        <v>40</v>
      </c>
      <c r="H454">
        <v>5813</v>
      </c>
      <c r="I454">
        <v>0</v>
      </c>
      <c r="J454">
        <v>5813</v>
      </c>
      <c r="L454">
        <v>33</v>
      </c>
      <c r="M454">
        <v>2916332</v>
      </c>
      <c r="N454" t="s">
        <v>95</v>
      </c>
      <c r="O454" t="s">
        <v>96</v>
      </c>
    </row>
    <row r="455" spans="2:15" x14ac:dyDescent="0.25">
      <c r="B455" t="s">
        <v>15</v>
      </c>
      <c r="C455" s="4">
        <v>44726</v>
      </c>
      <c r="D455">
        <v>6</v>
      </c>
      <c r="E455" t="s">
        <v>21</v>
      </c>
      <c r="F455" t="s">
        <v>44</v>
      </c>
      <c r="G455" t="s">
        <v>40</v>
      </c>
      <c r="H455">
        <v>0</v>
      </c>
      <c r="I455">
        <v>36405</v>
      </c>
      <c r="J455">
        <v>-36405</v>
      </c>
      <c r="L455">
        <v>33</v>
      </c>
      <c r="M455">
        <v>2916332</v>
      </c>
      <c r="N455" t="s">
        <v>95</v>
      </c>
      <c r="O455" t="s">
        <v>96</v>
      </c>
    </row>
    <row r="456" spans="2:15" x14ac:dyDescent="0.25">
      <c r="B456" t="s">
        <v>15</v>
      </c>
      <c r="C456" s="4">
        <v>44727</v>
      </c>
      <c r="D456">
        <v>6</v>
      </c>
      <c r="E456" t="s">
        <v>38</v>
      </c>
      <c r="F456" t="s">
        <v>39</v>
      </c>
      <c r="G456" t="s">
        <v>40</v>
      </c>
      <c r="H456">
        <v>16950</v>
      </c>
      <c r="I456">
        <v>0</v>
      </c>
      <c r="J456">
        <v>16950</v>
      </c>
      <c r="L456">
        <v>33</v>
      </c>
      <c r="M456">
        <v>385678</v>
      </c>
      <c r="N456" t="s">
        <v>51</v>
      </c>
      <c r="O456" t="s">
        <v>52</v>
      </c>
    </row>
    <row r="457" spans="2:15" x14ac:dyDescent="0.25">
      <c r="B457" t="s">
        <v>15</v>
      </c>
      <c r="C457" s="4">
        <v>44727</v>
      </c>
      <c r="D457">
        <v>6</v>
      </c>
      <c r="E457" t="s">
        <v>16</v>
      </c>
      <c r="F457" t="s">
        <v>43</v>
      </c>
      <c r="G457" t="s">
        <v>40</v>
      </c>
      <c r="H457">
        <v>3221</v>
      </c>
      <c r="I457">
        <v>0</v>
      </c>
      <c r="J457">
        <v>3221</v>
      </c>
      <c r="L457">
        <v>33</v>
      </c>
      <c r="M457">
        <v>385678</v>
      </c>
      <c r="N457" t="s">
        <v>51</v>
      </c>
      <c r="O457" t="s">
        <v>52</v>
      </c>
    </row>
    <row r="458" spans="2:15" x14ac:dyDescent="0.25">
      <c r="B458" t="s">
        <v>15</v>
      </c>
      <c r="C458" s="4">
        <v>44727</v>
      </c>
      <c r="D458">
        <v>6</v>
      </c>
      <c r="E458" t="s">
        <v>21</v>
      </c>
      <c r="F458" t="s">
        <v>44</v>
      </c>
      <c r="G458" t="s">
        <v>40</v>
      </c>
      <c r="H458">
        <v>0</v>
      </c>
      <c r="I458">
        <v>20171</v>
      </c>
      <c r="J458">
        <v>-20171</v>
      </c>
      <c r="L458">
        <v>33</v>
      </c>
      <c r="M458">
        <v>385678</v>
      </c>
      <c r="N458" t="s">
        <v>51</v>
      </c>
      <c r="O458" t="s">
        <v>52</v>
      </c>
    </row>
    <row r="459" spans="2:15" x14ac:dyDescent="0.25">
      <c r="B459" t="s">
        <v>15</v>
      </c>
      <c r="C459" s="4">
        <v>44728</v>
      </c>
      <c r="D459">
        <v>6</v>
      </c>
      <c r="E459" t="s">
        <v>38</v>
      </c>
      <c r="F459" t="s">
        <v>39</v>
      </c>
      <c r="G459" t="s">
        <v>40</v>
      </c>
      <c r="H459">
        <v>65940</v>
      </c>
      <c r="I459">
        <v>0</v>
      </c>
      <c r="J459">
        <v>65940</v>
      </c>
      <c r="L459">
        <v>33</v>
      </c>
      <c r="M459">
        <v>33279</v>
      </c>
      <c r="N459" t="s">
        <v>97</v>
      </c>
      <c r="O459" t="s">
        <v>98</v>
      </c>
    </row>
    <row r="460" spans="2:15" x14ac:dyDescent="0.25">
      <c r="B460" t="s">
        <v>15</v>
      </c>
      <c r="C460" s="4">
        <v>44728</v>
      </c>
      <c r="D460">
        <v>6</v>
      </c>
      <c r="E460" t="s">
        <v>16</v>
      </c>
      <c r="F460" t="s">
        <v>43</v>
      </c>
      <c r="G460" t="s">
        <v>40</v>
      </c>
      <c r="H460">
        <v>12529</v>
      </c>
      <c r="I460">
        <v>0</v>
      </c>
      <c r="J460">
        <v>12529</v>
      </c>
      <c r="L460">
        <v>33</v>
      </c>
      <c r="M460">
        <v>33279</v>
      </c>
      <c r="N460" t="s">
        <v>97</v>
      </c>
      <c r="O460" t="s">
        <v>98</v>
      </c>
    </row>
    <row r="461" spans="2:15" x14ac:dyDescent="0.25">
      <c r="B461" t="s">
        <v>15</v>
      </c>
      <c r="C461" s="4">
        <v>44728</v>
      </c>
      <c r="D461">
        <v>6</v>
      </c>
      <c r="E461" t="s">
        <v>21</v>
      </c>
      <c r="F461" t="s">
        <v>44</v>
      </c>
      <c r="G461" t="s">
        <v>40</v>
      </c>
      <c r="H461">
        <v>0</v>
      </c>
      <c r="I461">
        <v>78469</v>
      </c>
      <c r="J461">
        <v>-78469</v>
      </c>
      <c r="L461">
        <v>33</v>
      </c>
      <c r="M461">
        <v>33279</v>
      </c>
      <c r="N461" t="s">
        <v>97</v>
      </c>
      <c r="O461" t="s">
        <v>98</v>
      </c>
    </row>
    <row r="462" spans="2:15" x14ac:dyDescent="0.25">
      <c r="B462" t="s">
        <v>15</v>
      </c>
      <c r="C462" s="4">
        <v>44728</v>
      </c>
      <c r="D462">
        <v>6</v>
      </c>
      <c r="E462" t="s">
        <v>38</v>
      </c>
      <c r="F462" t="s">
        <v>39</v>
      </c>
      <c r="G462" t="s">
        <v>40</v>
      </c>
      <c r="H462">
        <v>341600</v>
      </c>
      <c r="I462">
        <v>0</v>
      </c>
      <c r="J462">
        <v>341600</v>
      </c>
      <c r="L462">
        <v>33</v>
      </c>
      <c r="M462">
        <v>386158</v>
      </c>
      <c r="N462" t="s">
        <v>51</v>
      </c>
      <c r="O462" t="s">
        <v>52</v>
      </c>
    </row>
    <row r="463" spans="2:15" x14ac:dyDescent="0.25">
      <c r="B463" t="s">
        <v>15</v>
      </c>
      <c r="C463" s="4">
        <v>44728</v>
      </c>
      <c r="D463">
        <v>6</v>
      </c>
      <c r="E463" t="s">
        <v>16</v>
      </c>
      <c r="F463" t="s">
        <v>43</v>
      </c>
      <c r="G463" t="s">
        <v>40</v>
      </c>
      <c r="H463">
        <v>64904</v>
      </c>
      <c r="I463">
        <v>0</v>
      </c>
      <c r="J463">
        <v>64904</v>
      </c>
      <c r="L463">
        <v>33</v>
      </c>
      <c r="M463">
        <v>386158</v>
      </c>
      <c r="N463" t="s">
        <v>51</v>
      </c>
      <c r="O463" t="s">
        <v>52</v>
      </c>
    </row>
    <row r="464" spans="2:15" x14ac:dyDescent="0.25">
      <c r="B464" t="s">
        <v>15</v>
      </c>
      <c r="C464" s="4">
        <v>44728</v>
      </c>
      <c r="D464">
        <v>6</v>
      </c>
      <c r="E464" t="s">
        <v>21</v>
      </c>
      <c r="F464" t="s">
        <v>44</v>
      </c>
      <c r="G464" t="s">
        <v>40</v>
      </c>
      <c r="H464">
        <v>0</v>
      </c>
      <c r="I464">
        <v>406504</v>
      </c>
      <c r="J464">
        <v>-406504</v>
      </c>
      <c r="L464">
        <v>33</v>
      </c>
      <c r="M464">
        <v>386158</v>
      </c>
      <c r="N464" t="s">
        <v>51</v>
      </c>
      <c r="O464" t="s">
        <v>52</v>
      </c>
    </row>
    <row r="465" spans="2:15" x14ac:dyDescent="0.25">
      <c r="B465" t="s">
        <v>15</v>
      </c>
      <c r="C465" s="4">
        <v>44734</v>
      </c>
      <c r="D465">
        <v>6</v>
      </c>
      <c r="E465" t="s">
        <v>38</v>
      </c>
      <c r="F465" t="s">
        <v>39</v>
      </c>
      <c r="G465" t="s">
        <v>40</v>
      </c>
      <c r="H465">
        <v>243340</v>
      </c>
      <c r="I465">
        <v>0</v>
      </c>
      <c r="J465">
        <v>243340</v>
      </c>
      <c r="L465">
        <v>33</v>
      </c>
      <c r="M465">
        <v>386988</v>
      </c>
      <c r="N465" t="s">
        <v>51</v>
      </c>
      <c r="O465" t="s">
        <v>52</v>
      </c>
    </row>
    <row r="466" spans="2:15" x14ac:dyDescent="0.25">
      <c r="B466" t="s">
        <v>15</v>
      </c>
      <c r="C466" s="4">
        <v>44734</v>
      </c>
      <c r="D466">
        <v>6</v>
      </c>
      <c r="E466" t="s">
        <v>16</v>
      </c>
      <c r="F466" t="s">
        <v>43</v>
      </c>
      <c r="G466" t="s">
        <v>40</v>
      </c>
      <c r="H466">
        <v>46235</v>
      </c>
      <c r="I466">
        <v>0</v>
      </c>
      <c r="J466">
        <v>46235</v>
      </c>
      <c r="L466">
        <v>33</v>
      </c>
      <c r="M466">
        <v>386988</v>
      </c>
      <c r="N466" t="s">
        <v>51</v>
      </c>
      <c r="O466" t="s">
        <v>52</v>
      </c>
    </row>
    <row r="467" spans="2:15" x14ac:dyDescent="0.25">
      <c r="B467" t="s">
        <v>15</v>
      </c>
      <c r="C467" s="4">
        <v>44734</v>
      </c>
      <c r="D467">
        <v>6</v>
      </c>
      <c r="E467" t="s">
        <v>21</v>
      </c>
      <c r="F467" t="s">
        <v>44</v>
      </c>
      <c r="G467" t="s">
        <v>40</v>
      </c>
      <c r="H467">
        <v>0</v>
      </c>
      <c r="I467">
        <v>289575</v>
      </c>
      <c r="J467">
        <v>-289575</v>
      </c>
      <c r="L467">
        <v>33</v>
      </c>
      <c r="M467">
        <v>386988</v>
      </c>
      <c r="N467" t="s">
        <v>51</v>
      </c>
      <c r="O467" t="s">
        <v>52</v>
      </c>
    </row>
    <row r="468" spans="2:15" x14ac:dyDescent="0.25">
      <c r="B468" t="s">
        <v>15</v>
      </c>
      <c r="C468" s="4">
        <v>44728</v>
      </c>
      <c r="D468">
        <v>6</v>
      </c>
      <c r="E468" t="s">
        <v>38</v>
      </c>
      <c r="F468" t="s">
        <v>39</v>
      </c>
      <c r="G468" t="s">
        <v>40</v>
      </c>
      <c r="H468">
        <v>36101</v>
      </c>
      <c r="I468">
        <v>0</v>
      </c>
      <c r="J468">
        <v>36101</v>
      </c>
      <c r="L468">
        <v>33</v>
      </c>
      <c r="M468">
        <v>10199231</v>
      </c>
      <c r="N468" t="s">
        <v>57</v>
      </c>
      <c r="O468" t="s">
        <v>58</v>
      </c>
    </row>
    <row r="469" spans="2:15" x14ac:dyDescent="0.25">
      <c r="B469" t="s">
        <v>15</v>
      </c>
      <c r="C469" s="4">
        <v>44728</v>
      </c>
      <c r="D469">
        <v>6</v>
      </c>
      <c r="E469" t="s">
        <v>16</v>
      </c>
      <c r="F469" t="s">
        <v>43</v>
      </c>
      <c r="G469" t="s">
        <v>40</v>
      </c>
      <c r="H469">
        <v>6859</v>
      </c>
      <c r="I469">
        <v>0</v>
      </c>
      <c r="J469">
        <v>6859</v>
      </c>
      <c r="L469">
        <v>33</v>
      </c>
      <c r="M469">
        <v>10199231</v>
      </c>
      <c r="N469" t="s">
        <v>57</v>
      </c>
      <c r="O469" t="s">
        <v>58</v>
      </c>
    </row>
    <row r="470" spans="2:15" x14ac:dyDescent="0.25">
      <c r="B470" t="s">
        <v>15</v>
      </c>
      <c r="C470" s="4">
        <v>44728</v>
      </c>
      <c r="D470">
        <v>6</v>
      </c>
      <c r="E470" t="s">
        <v>21</v>
      </c>
      <c r="F470" t="s">
        <v>44</v>
      </c>
      <c r="G470" t="s">
        <v>40</v>
      </c>
      <c r="H470">
        <v>0</v>
      </c>
      <c r="I470">
        <v>42960</v>
      </c>
      <c r="J470">
        <v>-42960</v>
      </c>
      <c r="L470">
        <v>33</v>
      </c>
      <c r="M470">
        <v>10199231</v>
      </c>
      <c r="N470" t="s">
        <v>57</v>
      </c>
      <c r="O470" t="s">
        <v>58</v>
      </c>
    </row>
    <row r="471" spans="2:15" x14ac:dyDescent="0.25">
      <c r="B471" t="s">
        <v>15</v>
      </c>
      <c r="C471" s="4">
        <v>44735</v>
      </c>
      <c r="D471">
        <v>6</v>
      </c>
      <c r="E471" t="s">
        <v>38</v>
      </c>
      <c r="F471" t="s">
        <v>39</v>
      </c>
      <c r="G471" t="s">
        <v>40</v>
      </c>
      <c r="H471">
        <v>114650</v>
      </c>
      <c r="I471">
        <v>0</v>
      </c>
      <c r="J471">
        <v>114650</v>
      </c>
      <c r="L471">
        <v>33</v>
      </c>
      <c r="M471">
        <v>387267</v>
      </c>
      <c r="N471" t="s">
        <v>51</v>
      </c>
      <c r="O471" t="s">
        <v>52</v>
      </c>
    </row>
    <row r="472" spans="2:15" x14ac:dyDescent="0.25">
      <c r="B472" t="s">
        <v>15</v>
      </c>
      <c r="C472" s="4">
        <v>44735</v>
      </c>
      <c r="D472">
        <v>6</v>
      </c>
      <c r="E472" t="s">
        <v>16</v>
      </c>
      <c r="F472" t="s">
        <v>43</v>
      </c>
      <c r="G472" t="s">
        <v>40</v>
      </c>
      <c r="H472">
        <v>21784</v>
      </c>
      <c r="I472">
        <v>0</v>
      </c>
      <c r="J472">
        <v>21784</v>
      </c>
      <c r="L472">
        <v>33</v>
      </c>
      <c r="M472">
        <v>387267</v>
      </c>
      <c r="N472" t="s">
        <v>51</v>
      </c>
      <c r="O472" t="s">
        <v>52</v>
      </c>
    </row>
    <row r="473" spans="2:15" x14ac:dyDescent="0.25">
      <c r="B473" t="s">
        <v>15</v>
      </c>
      <c r="C473" s="4">
        <v>44735</v>
      </c>
      <c r="D473">
        <v>6</v>
      </c>
      <c r="E473" t="s">
        <v>21</v>
      </c>
      <c r="F473" t="s">
        <v>44</v>
      </c>
      <c r="G473" t="s">
        <v>40</v>
      </c>
      <c r="H473">
        <v>0</v>
      </c>
      <c r="I473">
        <v>136434</v>
      </c>
      <c r="J473">
        <v>-136434</v>
      </c>
      <c r="L473">
        <v>33</v>
      </c>
      <c r="M473">
        <v>387267</v>
      </c>
      <c r="N473" t="s">
        <v>51</v>
      </c>
      <c r="O473" t="s">
        <v>52</v>
      </c>
    </row>
    <row r="474" spans="2:15" x14ac:dyDescent="0.25">
      <c r="B474" t="s">
        <v>15</v>
      </c>
      <c r="C474" s="4">
        <v>44735</v>
      </c>
      <c r="D474">
        <v>6</v>
      </c>
      <c r="E474" t="s">
        <v>38</v>
      </c>
      <c r="F474" t="s">
        <v>39</v>
      </c>
      <c r="G474" t="s">
        <v>40</v>
      </c>
      <c r="H474">
        <v>62964</v>
      </c>
      <c r="I474">
        <v>0</v>
      </c>
      <c r="J474">
        <v>62964</v>
      </c>
      <c r="L474">
        <v>33</v>
      </c>
      <c r="M474">
        <v>32885</v>
      </c>
      <c r="N474" t="s">
        <v>81</v>
      </c>
      <c r="O474" t="s">
        <v>82</v>
      </c>
    </row>
    <row r="475" spans="2:15" x14ac:dyDescent="0.25">
      <c r="B475" t="s">
        <v>15</v>
      </c>
      <c r="C475" s="4">
        <v>44735</v>
      </c>
      <c r="D475">
        <v>6</v>
      </c>
      <c r="E475" t="s">
        <v>16</v>
      </c>
      <c r="F475" t="s">
        <v>43</v>
      </c>
      <c r="G475" t="s">
        <v>40</v>
      </c>
      <c r="H475">
        <v>11963</v>
      </c>
      <c r="I475">
        <v>0</v>
      </c>
      <c r="J475">
        <v>11963</v>
      </c>
      <c r="L475">
        <v>33</v>
      </c>
      <c r="M475">
        <v>32885</v>
      </c>
      <c r="N475" t="s">
        <v>81</v>
      </c>
      <c r="O475" t="s">
        <v>82</v>
      </c>
    </row>
    <row r="476" spans="2:15" x14ac:dyDescent="0.25">
      <c r="B476" t="s">
        <v>15</v>
      </c>
      <c r="C476" s="4">
        <v>44735</v>
      </c>
      <c r="D476">
        <v>6</v>
      </c>
      <c r="E476" t="s">
        <v>21</v>
      </c>
      <c r="F476" t="s">
        <v>44</v>
      </c>
      <c r="G476" t="s">
        <v>40</v>
      </c>
      <c r="H476">
        <v>0</v>
      </c>
      <c r="I476">
        <v>74927</v>
      </c>
      <c r="J476">
        <v>-74927</v>
      </c>
      <c r="L476">
        <v>33</v>
      </c>
      <c r="M476">
        <v>32885</v>
      </c>
      <c r="N476" t="s">
        <v>81</v>
      </c>
      <c r="O476" t="s">
        <v>82</v>
      </c>
    </row>
    <row r="477" spans="2:15" x14ac:dyDescent="0.25">
      <c r="B477" t="s">
        <v>15</v>
      </c>
      <c r="C477" s="4">
        <v>44740</v>
      </c>
      <c r="D477">
        <v>6</v>
      </c>
      <c r="E477" t="s">
        <v>38</v>
      </c>
      <c r="F477" t="s">
        <v>39</v>
      </c>
      <c r="G477" t="s">
        <v>40</v>
      </c>
      <c r="H477">
        <v>27560</v>
      </c>
      <c r="I477">
        <v>0</v>
      </c>
      <c r="J477">
        <v>27560</v>
      </c>
      <c r="L477">
        <v>33</v>
      </c>
      <c r="M477">
        <v>388255</v>
      </c>
      <c r="N477" t="s">
        <v>51</v>
      </c>
      <c r="O477" t="s">
        <v>52</v>
      </c>
    </row>
    <row r="478" spans="2:15" x14ac:dyDescent="0.25">
      <c r="B478" t="s">
        <v>15</v>
      </c>
      <c r="C478" s="4">
        <v>44740</v>
      </c>
      <c r="D478">
        <v>6</v>
      </c>
      <c r="E478" t="s">
        <v>16</v>
      </c>
      <c r="F478" t="s">
        <v>43</v>
      </c>
      <c r="G478" t="s">
        <v>40</v>
      </c>
      <c r="H478">
        <v>5236</v>
      </c>
      <c r="I478">
        <v>0</v>
      </c>
      <c r="J478">
        <v>5236</v>
      </c>
      <c r="L478">
        <v>33</v>
      </c>
      <c r="M478">
        <v>388255</v>
      </c>
      <c r="N478" t="s">
        <v>51</v>
      </c>
      <c r="O478" t="s">
        <v>52</v>
      </c>
    </row>
    <row r="479" spans="2:15" x14ac:dyDescent="0.25">
      <c r="B479" t="s">
        <v>15</v>
      </c>
      <c r="C479" s="4">
        <v>44740</v>
      </c>
      <c r="D479">
        <v>6</v>
      </c>
      <c r="E479" t="s">
        <v>21</v>
      </c>
      <c r="F479" t="s">
        <v>44</v>
      </c>
      <c r="G479" t="s">
        <v>40</v>
      </c>
      <c r="H479">
        <v>0</v>
      </c>
      <c r="I479">
        <v>32796</v>
      </c>
      <c r="J479">
        <v>-32796</v>
      </c>
      <c r="L479">
        <v>33</v>
      </c>
      <c r="M479">
        <v>388255</v>
      </c>
      <c r="N479" t="s">
        <v>51</v>
      </c>
      <c r="O479" t="s">
        <v>52</v>
      </c>
    </row>
    <row r="480" spans="2:15" x14ac:dyDescent="0.25">
      <c r="B480" t="s">
        <v>15</v>
      </c>
      <c r="C480" s="4">
        <v>44741</v>
      </c>
      <c r="D480">
        <v>6</v>
      </c>
      <c r="E480" t="s">
        <v>38</v>
      </c>
      <c r="F480" t="s">
        <v>39</v>
      </c>
      <c r="G480" t="s">
        <v>40</v>
      </c>
      <c r="H480">
        <v>71000</v>
      </c>
      <c r="I480">
        <v>0</v>
      </c>
      <c r="J480">
        <v>71000</v>
      </c>
      <c r="L480">
        <v>33</v>
      </c>
      <c r="M480">
        <v>388495</v>
      </c>
      <c r="N480" t="s">
        <v>51</v>
      </c>
      <c r="O480" t="s">
        <v>52</v>
      </c>
    </row>
    <row r="481" spans="2:15" x14ac:dyDescent="0.25">
      <c r="B481" t="s">
        <v>15</v>
      </c>
      <c r="C481" s="4">
        <v>44741</v>
      </c>
      <c r="D481">
        <v>6</v>
      </c>
      <c r="E481" t="s">
        <v>16</v>
      </c>
      <c r="F481" t="s">
        <v>43</v>
      </c>
      <c r="G481" t="s">
        <v>40</v>
      </c>
      <c r="H481">
        <v>13490</v>
      </c>
      <c r="I481">
        <v>0</v>
      </c>
      <c r="J481">
        <v>13490</v>
      </c>
      <c r="L481">
        <v>33</v>
      </c>
      <c r="M481">
        <v>388495</v>
      </c>
      <c r="N481" t="s">
        <v>51</v>
      </c>
      <c r="O481" t="s">
        <v>52</v>
      </c>
    </row>
    <row r="482" spans="2:15" x14ac:dyDescent="0.25">
      <c r="B482" t="s">
        <v>15</v>
      </c>
      <c r="C482" s="4">
        <v>44741</v>
      </c>
      <c r="D482">
        <v>6</v>
      </c>
      <c r="E482" t="s">
        <v>21</v>
      </c>
      <c r="F482" t="s">
        <v>44</v>
      </c>
      <c r="G482" t="s">
        <v>40</v>
      </c>
      <c r="H482">
        <v>0</v>
      </c>
      <c r="I482">
        <v>84490</v>
      </c>
      <c r="J482">
        <v>-84490</v>
      </c>
      <c r="L482">
        <v>33</v>
      </c>
      <c r="M482">
        <v>388495</v>
      </c>
      <c r="N482" t="s">
        <v>51</v>
      </c>
      <c r="O482" t="s">
        <v>52</v>
      </c>
    </row>
    <row r="483" spans="2:15" x14ac:dyDescent="0.25">
      <c r="B483" t="s">
        <v>15</v>
      </c>
      <c r="C483" s="4">
        <v>44722</v>
      </c>
      <c r="D483">
        <v>6</v>
      </c>
      <c r="E483" t="s">
        <v>38</v>
      </c>
      <c r="F483" t="s">
        <v>39</v>
      </c>
      <c r="G483" t="s">
        <v>40</v>
      </c>
      <c r="H483">
        <v>114377</v>
      </c>
      <c r="I483">
        <v>0</v>
      </c>
      <c r="J483">
        <v>114377</v>
      </c>
      <c r="L483">
        <v>34</v>
      </c>
      <c r="M483">
        <v>98</v>
      </c>
      <c r="N483" t="s">
        <v>71</v>
      </c>
      <c r="O483" t="s">
        <v>72</v>
      </c>
    </row>
    <row r="484" spans="2:15" x14ac:dyDescent="0.25">
      <c r="B484" t="s">
        <v>15</v>
      </c>
      <c r="C484" s="4">
        <v>44722</v>
      </c>
      <c r="D484">
        <v>6</v>
      </c>
      <c r="E484" t="s">
        <v>16</v>
      </c>
      <c r="F484" t="s">
        <v>43</v>
      </c>
      <c r="G484" t="s">
        <v>40</v>
      </c>
      <c r="H484">
        <v>0</v>
      </c>
      <c r="I484">
        <v>0</v>
      </c>
      <c r="J484">
        <v>0</v>
      </c>
      <c r="L484">
        <v>34</v>
      </c>
      <c r="M484">
        <v>98</v>
      </c>
      <c r="N484" t="s">
        <v>71</v>
      </c>
      <c r="O484" t="s">
        <v>72</v>
      </c>
    </row>
    <row r="485" spans="2:15" x14ac:dyDescent="0.25">
      <c r="B485" t="s">
        <v>15</v>
      </c>
      <c r="C485" s="4">
        <v>44722</v>
      </c>
      <c r="D485">
        <v>6</v>
      </c>
      <c r="E485" t="s">
        <v>21</v>
      </c>
      <c r="F485" t="s">
        <v>44</v>
      </c>
      <c r="G485" t="s">
        <v>40</v>
      </c>
      <c r="H485">
        <v>0</v>
      </c>
      <c r="I485">
        <v>114377</v>
      </c>
      <c r="J485">
        <v>-114377</v>
      </c>
      <c r="L485">
        <v>34</v>
      </c>
      <c r="M485">
        <v>98</v>
      </c>
      <c r="N485" t="s">
        <v>71</v>
      </c>
      <c r="O485" t="s">
        <v>72</v>
      </c>
    </row>
    <row r="486" spans="2:15" x14ac:dyDescent="0.25">
      <c r="B486" t="s">
        <v>15</v>
      </c>
      <c r="C486" s="4">
        <v>44746</v>
      </c>
      <c r="D486">
        <v>7</v>
      </c>
      <c r="E486" t="s">
        <v>38</v>
      </c>
      <c r="F486" t="s">
        <v>39</v>
      </c>
      <c r="G486" t="s">
        <v>40</v>
      </c>
      <c r="H486">
        <v>176020</v>
      </c>
      <c r="I486">
        <v>0</v>
      </c>
      <c r="J486">
        <v>176020</v>
      </c>
      <c r="L486">
        <v>33</v>
      </c>
      <c r="M486">
        <v>389080</v>
      </c>
      <c r="N486" t="s">
        <v>51</v>
      </c>
      <c r="O486" t="s">
        <v>52</v>
      </c>
    </row>
    <row r="487" spans="2:15" x14ac:dyDescent="0.25">
      <c r="B487" t="s">
        <v>15</v>
      </c>
      <c r="C487" s="4">
        <v>44746</v>
      </c>
      <c r="D487">
        <v>7</v>
      </c>
      <c r="E487" t="s">
        <v>16</v>
      </c>
      <c r="F487" t="s">
        <v>43</v>
      </c>
      <c r="G487" t="s">
        <v>40</v>
      </c>
      <c r="H487">
        <v>33444</v>
      </c>
      <c r="I487">
        <v>0</v>
      </c>
      <c r="J487">
        <v>33444</v>
      </c>
      <c r="L487">
        <v>33</v>
      </c>
      <c r="M487">
        <v>389080</v>
      </c>
      <c r="N487" t="s">
        <v>51</v>
      </c>
      <c r="O487" t="s">
        <v>52</v>
      </c>
    </row>
    <row r="488" spans="2:15" x14ac:dyDescent="0.25">
      <c r="B488" t="s">
        <v>15</v>
      </c>
      <c r="C488" s="4">
        <v>44746</v>
      </c>
      <c r="D488">
        <v>7</v>
      </c>
      <c r="E488" t="s">
        <v>21</v>
      </c>
      <c r="F488" t="s">
        <v>44</v>
      </c>
      <c r="G488" t="s">
        <v>40</v>
      </c>
      <c r="H488">
        <v>0</v>
      </c>
      <c r="I488">
        <v>209464</v>
      </c>
      <c r="J488">
        <v>-209464</v>
      </c>
      <c r="L488">
        <v>33</v>
      </c>
      <c r="M488">
        <v>389080</v>
      </c>
      <c r="N488" t="s">
        <v>51</v>
      </c>
      <c r="O488" t="s">
        <v>52</v>
      </c>
    </row>
    <row r="489" spans="2:15" x14ac:dyDescent="0.25">
      <c r="B489" t="s">
        <v>15</v>
      </c>
      <c r="C489" s="4">
        <v>44750</v>
      </c>
      <c r="D489">
        <v>7</v>
      </c>
      <c r="E489" t="s">
        <v>38</v>
      </c>
      <c r="F489" t="s">
        <v>39</v>
      </c>
      <c r="G489" t="s">
        <v>40</v>
      </c>
      <c r="H489">
        <v>10084</v>
      </c>
      <c r="I489">
        <v>0</v>
      </c>
      <c r="J489">
        <v>10084</v>
      </c>
      <c r="L489">
        <v>33</v>
      </c>
      <c r="M489">
        <v>18005</v>
      </c>
      <c r="N489" t="s">
        <v>75</v>
      </c>
      <c r="O489" t="s">
        <v>76</v>
      </c>
    </row>
    <row r="490" spans="2:15" x14ac:dyDescent="0.25">
      <c r="B490" t="s">
        <v>15</v>
      </c>
      <c r="C490" s="4">
        <v>44750</v>
      </c>
      <c r="D490">
        <v>7</v>
      </c>
      <c r="E490" t="s">
        <v>16</v>
      </c>
      <c r="F490" t="s">
        <v>43</v>
      </c>
      <c r="G490" t="s">
        <v>40</v>
      </c>
      <c r="H490">
        <v>1916</v>
      </c>
      <c r="I490">
        <v>0</v>
      </c>
      <c r="J490">
        <v>1916</v>
      </c>
      <c r="L490">
        <v>33</v>
      </c>
      <c r="M490">
        <v>18005</v>
      </c>
      <c r="N490" t="s">
        <v>75</v>
      </c>
      <c r="O490" t="s">
        <v>76</v>
      </c>
    </row>
    <row r="491" spans="2:15" x14ac:dyDescent="0.25">
      <c r="B491" t="s">
        <v>15</v>
      </c>
      <c r="C491" s="4">
        <v>44750</v>
      </c>
      <c r="D491">
        <v>7</v>
      </c>
      <c r="E491" t="s">
        <v>21</v>
      </c>
      <c r="F491" t="s">
        <v>44</v>
      </c>
      <c r="G491" t="s">
        <v>40</v>
      </c>
      <c r="H491">
        <v>0</v>
      </c>
      <c r="I491">
        <v>12000</v>
      </c>
      <c r="J491">
        <v>-12000</v>
      </c>
      <c r="L491">
        <v>33</v>
      </c>
      <c r="M491">
        <v>18005</v>
      </c>
      <c r="N491" t="s">
        <v>75</v>
      </c>
      <c r="O491" t="s">
        <v>76</v>
      </c>
    </row>
    <row r="492" spans="2:15" x14ac:dyDescent="0.25">
      <c r="B492" t="s">
        <v>15</v>
      </c>
      <c r="C492" s="4">
        <v>44756</v>
      </c>
      <c r="D492">
        <v>7</v>
      </c>
      <c r="E492" t="s">
        <v>38</v>
      </c>
      <c r="F492" t="s">
        <v>39</v>
      </c>
      <c r="G492" t="s">
        <v>40</v>
      </c>
      <c r="H492">
        <v>79960</v>
      </c>
      <c r="I492">
        <v>0</v>
      </c>
      <c r="J492">
        <v>79960</v>
      </c>
      <c r="L492">
        <v>33</v>
      </c>
      <c r="M492">
        <v>390768</v>
      </c>
      <c r="N492" t="s">
        <v>51</v>
      </c>
      <c r="O492" t="s">
        <v>52</v>
      </c>
    </row>
    <row r="493" spans="2:15" x14ac:dyDescent="0.25">
      <c r="B493" t="s">
        <v>15</v>
      </c>
      <c r="C493" s="4">
        <v>44756</v>
      </c>
      <c r="D493">
        <v>7</v>
      </c>
      <c r="E493" t="s">
        <v>16</v>
      </c>
      <c r="F493" t="s">
        <v>43</v>
      </c>
      <c r="G493" t="s">
        <v>40</v>
      </c>
      <c r="H493">
        <v>15192</v>
      </c>
      <c r="I493">
        <v>0</v>
      </c>
      <c r="J493">
        <v>15192</v>
      </c>
      <c r="L493">
        <v>33</v>
      </c>
      <c r="M493">
        <v>390768</v>
      </c>
      <c r="N493" t="s">
        <v>51</v>
      </c>
      <c r="O493" t="s">
        <v>52</v>
      </c>
    </row>
    <row r="494" spans="2:15" x14ac:dyDescent="0.25">
      <c r="B494" t="s">
        <v>15</v>
      </c>
      <c r="C494" s="4">
        <v>44756</v>
      </c>
      <c r="D494">
        <v>7</v>
      </c>
      <c r="E494" t="s">
        <v>21</v>
      </c>
      <c r="F494" t="s">
        <v>44</v>
      </c>
      <c r="G494" t="s">
        <v>40</v>
      </c>
      <c r="H494">
        <v>0</v>
      </c>
      <c r="I494">
        <v>95152</v>
      </c>
      <c r="J494">
        <v>-95152</v>
      </c>
      <c r="L494">
        <v>33</v>
      </c>
      <c r="M494">
        <v>390768</v>
      </c>
      <c r="N494" t="s">
        <v>51</v>
      </c>
      <c r="O494" t="s">
        <v>52</v>
      </c>
    </row>
    <row r="495" spans="2:15" x14ac:dyDescent="0.25">
      <c r="B495" t="s">
        <v>15</v>
      </c>
      <c r="C495" s="4">
        <v>44757</v>
      </c>
      <c r="D495">
        <v>7</v>
      </c>
      <c r="E495" t="s">
        <v>38</v>
      </c>
      <c r="F495" t="s">
        <v>39</v>
      </c>
      <c r="G495" t="s">
        <v>40</v>
      </c>
      <c r="H495">
        <v>58779</v>
      </c>
      <c r="I495">
        <v>0</v>
      </c>
      <c r="J495">
        <v>58779</v>
      </c>
      <c r="L495">
        <v>33</v>
      </c>
      <c r="M495">
        <v>176186</v>
      </c>
      <c r="N495" t="s">
        <v>53</v>
      </c>
      <c r="O495" t="s">
        <v>54</v>
      </c>
    </row>
    <row r="496" spans="2:15" x14ac:dyDescent="0.25">
      <c r="B496" t="s">
        <v>15</v>
      </c>
      <c r="C496" s="4">
        <v>44757</v>
      </c>
      <c r="D496">
        <v>7</v>
      </c>
      <c r="E496" t="s">
        <v>16</v>
      </c>
      <c r="F496" t="s">
        <v>43</v>
      </c>
      <c r="G496" t="s">
        <v>40</v>
      </c>
      <c r="H496">
        <v>11168</v>
      </c>
      <c r="I496">
        <v>0</v>
      </c>
      <c r="J496">
        <v>11168</v>
      </c>
      <c r="L496">
        <v>33</v>
      </c>
      <c r="M496">
        <v>176186</v>
      </c>
      <c r="N496" t="s">
        <v>53</v>
      </c>
      <c r="O496" t="s">
        <v>54</v>
      </c>
    </row>
    <row r="497" spans="2:15" x14ac:dyDescent="0.25">
      <c r="B497" t="s">
        <v>15</v>
      </c>
      <c r="C497" s="4">
        <v>44757</v>
      </c>
      <c r="D497">
        <v>7</v>
      </c>
      <c r="E497" t="s">
        <v>21</v>
      </c>
      <c r="F497" t="s">
        <v>44</v>
      </c>
      <c r="G497" t="s">
        <v>40</v>
      </c>
      <c r="H497">
        <v>0</v>
      </c>
      <c r="I497">
        <v>69947</v>
      </c>
      <c r="J497">
        <v>-69947</v>
      </c>
      <c r="L497">
        <v>33</v>
      </c>
      <c r="M497">
        <v>176186</v>
      </c>
      <c r="N497" t="s">
        <v>53</v>
      </c>
      <c r="O497" t="s">
        <v>54</v>
      </c>
    </row>
    <row r="498" spans="2:15" x14ac:dyDescent="0.25">
      <c r="B498" t="s">
        <v>15</v>
      </c>
      <c r="C498" s="4">
        <v>44762</v>
      </c>
      <c r="D498">
        <v>7</v>
      </c>
      <c r="E498" t="s">
        <v>38</v>
      </c>
      <c r="F498" t="s">
        <v>39</v>
      </c>
      <c r="G498" t="s">
        <v>40</v>
      </c>
      <c r="H498">
        <v>104289</v>
      </c>
      <c r="I498">
        <v>0</v>
      </c>
      <c r="J498">
        <v>104289</v>
      </c>
      <c r="L498">
        <v>33</v>
      </c>
      <c r="M498">
        <v>356113</v>
      </c>
      <c r="N498" t="s">
        <v>85</v>
      </c>
      <c r="O498" t="s">
        <v>86</v>
      </c>
    </row>
    <row r="499" spans="2:15" x14ac:dyDescent="0.25">
      <c r="B499" t="s">
        <v>15</v>
      </c>
      <c r="C499" s="4">
        <v>44762</v>
      </c>
      <c r="D499">
        <v>7</v>
      </c>
      <c r="E499" t="s">
        <v>16</v>
      </c>
      <c r="F499" t="s">
        <v>43</v>
      </c>
      <c r="G499" t="s">
        <v>40</v>
      </c>
      <c r="H499">
        <v>19815</v>
      </c>
      <c r="I499">
        <v>0</v>
      </c>
      <c r="J499">
        <v>19815</v>
      </c>
      <c r="L499">
        <v>33</v>
      </c>
      <c r="M499">
        <v>356113</v>
      </c>
      <c r="N499" t="s">
        <v>85</v>
      </c>
      <c r="O499" t="s">
        <v>86</v>
      </c>
    </row>
    <row r="500" spans="2:15" x14ac:dyDescent="0.25">
      <c r="B500" t="s">
        <v>15</v>
      </c>
      <c r="C500" s="4">
        <v>44762</v>
      </c>
      <c r="D500">
        <v>7</v>
      </c>
      <c r="E500" t="s">
        <v>21</v>
      </c>
      <c r="F500" t="s">
        <v>44</v>
      </c>
      <c r="G500" t="s">
        <v>40</v>
      </c>
      <c r="H500">
        <v>0</v>
      </c>
      <c r="I500">
        <v>124104</v>
      </c>
      <c r="J500">
        <v>-124104</v>
      </c>
      <c r="L500">
        <v>33</v>
      </c>
      <c r="M500">
        <v>356113</v>
      </c>
      <c r="N500" t="s">
        <v>85</v>
      </c>
      <c r="O500" t="s">
        <v>86</v>
      </c>
    </row>
    <row r="501" spans="2:15" x14ac:dyDescent="0.25">
      <c r="B501" t="s">
        <v>15</v>
      </c>
      <c r="C501" s="4">
        <v>44758</v>
      </c>
      <c r="D501">
        <v>7</v>
      </c>
      <c r="E501" t="s">
        <v>38</v>
      </c>
      <c r="F501" t="s">
        <v>39</v>
      </c>
      <c r="G501" t="s">
        <v>40</v>
      </c>
      <c r="H501">
        <v>36101</v>
      </c>
      <c r="I501">
        <v>0</v>
      </c>
      <c r="J501">
        <v>36101</v>
      </c>
      <c r="L501">
        <v>33</v>
      </c>
      <c r="M501">
        <v>10350611</v>
      </c>
      <c r="N501" t="s">
        <v>57</v>
      </c>
      <c r="O501" t="s">
        <v>58</v>
      </c>
    </row>
    <row r="502" spans="2:15" x14ac:dyDescent="0.25">
      <c r="B502" t="s">
        <v>15</v>
      </c>
      <c r="C502" s="4">
        <v>44758</v>
      </c>
      <c r="D502">
        <v>7</v>
      </c>
      <c r="E502" t="s">
        <v>16</v>
      </c>
      <c r="F502" t="s">
        <v>43</v>
      </c>
      <c r="G502" t="s">
        <v>40</v>
      </c>
      <c r="H502">
        <v>6859</v>
      </c>
      <c r="I502">
        <v>0</v>
      </c>
      <c r="J502">
        <v>6859</v>
      </c>
      <c r="L502">
        <v>33</v>
      </c>
      <c r="M502">
        <v>10350611</v>
      </c>
      <c r="N502" t="s">
        <v>57</v>
      </c>
      <c r="O502" t="s">
        <v>58</v>
      </c>
    </row>
    <row r="503" spans="2:15" x14ac:dyDescent="0.25">
      <c r="B503" t="s">
        <v>15</v>
      </c>
      <c r="C503" s="4">
        <v>44758</v>
      </c>
      <c r="D503">
        <v>7</v>
      </c>
      <c r="E503" t="s">
        <v>21</v>
      </c>
      <c r="F503" t="s">
        <v>44</v>
      </c>
      <c r="G503" t="s">
        <v>40</v>
      </c>
      <c r="H503">
        <v>0</v>
      </c>
      <c r="I503">
        <v>42960</v>
      </c>
      <c r="J503">
        <v>-42960</v>
      </c>
      <c r="L503">
        <v>33</v>
      </c>
      <c r="M503">
        <v>10350611</v>
      </c>
      <c r="N503" t="s">
        <v>57</v>
      </c>
      <c r="O503" t="s">
        <v>58</v>
      </c>
    </row>
    <row r="504" spans="2:15" x14ac:dyDescent="0.25">
      <c r="B504" t="s">
        <v>15</v>
      </c>
      <c r="C504" s="4">
        <v>44767</v>
      </c>
      <c r="D504">
        <v>7</v>
      </c>
      <c r="E504" t="s">
        <v>38</v>
      </c>
      <c r="F504" t="s">
        <v>39</v>
      </c>
      <c r="G504" t="s">
        <v>40</v>
      </c>
      <c r="H504">
        <v>2163830</v>
      </c>
      <c r="I504">
        <v>0</v>
      </c>
      <c r="J504">
        <v>2163830</v>
      </c>
      <c r="L504">
        <v>33</v>
      </c>
      <c r="M504">
        <v>392204</v>
      </c>
      <c r="N504" t="s">
        <v>51</v>
      </c>
      <c r="O504" t="s">
        <v>52</v>
      </c>
    </row>
    <row r="505" spans="2:15" x14ac:dyDescent="0.25">
      <c r="B505" t="s">
        <v>15</v>
      </c>
      <c r="C505" s="4">
        <v>44767</v>
      </c>
      <c r="D505">
        <v>7</v>
      </c>
      <c r="E505" t="s">
        <v>16</v>
      </c>
      <c r="F505" t="s">
        <v>43</v>
      </c>
      <c r="G505" t="s">
        <v>40</v>
      </c>
      <c r="H505">
        <v>411128</v>
      </c>
      <c r="I505">
        <v>0</v>
      </c>
      <c r="J505">
        <v>411128</v>
      </c>
      <c r="L505">
        <v>33</v>
      </c>
      <c r="M505">
        <v>392204</v>
      </c>
      <c r="N505" t="s">
        <v>51</v>
      </c>
      <c r="O505" t="s">
        <v>52</v>
      </c>
    </row>
    <row r="506" spans="2:15" x14ac:dyDescent="0.25">
      <c r="B506" t="s">
        <v>15</v>
      </c>
      <c r="C506" s="4">
        <v>44767</v>
      </c>
      <c r="D506">
        <v>7</v>
      </c>
      <c r="E506" t="s">
        <v>21</v>
      </c>
      <c r="F506" t="s">
        <v>44</v>
      </c>
      <c r="G506" t="s">
        <v>40</v>
      </c>
      <c r="H506">
        <v>0</v>
      </c>
      <c r="I506">
        <v>2574958</v>
      </c>
      <c r="J506">
        <v>-2574958</v>
      </c>
      <c r="L506">
        <v>33</v>
      </c>
      <c r="M506">
        <v>392204</v>
      </c>
      <c r="N506" t="s">
        <v>51</v>
      </c>
      <c r="O506" t="s">
        <v>52</v>
      </c>
    </row>
    <row r="507" spans="2:15" x14ac:dyDescent="0.25">
      <c r="B507" t="s">
        <v>15</v>
      </c>
      <c r="C507" s="4">
        <v>44768</v>
      </c>
      <c r="D507">
        <v>7</v>
      </c>
      <c r="E507" t="s">
        <v>38</v>
      </c>
      <c r="F507" t="s">
        <v>39</v>
      </c>
      <c r="G507" t="s">
        <v>40</v>
      </c>
      <c r="H507">
        <v>73529</v>
      </c>
      <c r="I507">
        <v>0</v>
      </c>
      <c r="J507">
        <v>73529</v>
      </c>
      <c r="L507">
        <v>33</v>
      </c>
      <c r="M507">
        <v>3237</v>
      </c>
      <c r="N507" t="s">
        <v>83</v>
      </c>
      <c r="O507" t="s">
        <v>84</v>
      </c>
    </row>
    <row r="508" spans="2:15" x14ac:dyDescent="0.25">
      <c r="B508" t="s">
        <v>15</v>
      </c>
      <c r="C508" s="4">
        <v>44768</v>
      </c>
      <c r="D508">
        <v>7</v>
      </c>
      <c r="E508" t="s">
        <v>16</v>
      </c>
      <c r="F508" t="s">
        <v>43</v>
      </c>
      <c r="G508" t="s">
        <v>40</v>
      </c>
      <c r="H508">
        <v>13971</v>
      </c>
      <c r="I508">
        <v>0</v>
      </c>
      <c r="J508">
        <v>13971</v>
      </c>
      <c r="L508">
        <v>33</v>
      </c>
      <c r="M508">
        <v>3237</v>
      </c>
      <c r="N508" t="s">
        <v>83</v>
      </c>
      <c r="O508" t="s">
        <v>84</v>
      </c>
    </row>
    <row r="509" spans="2:15" x14ac:dyDescent="0.25">
      <c r="B509" t="s">
        <v>15</v>
      </c>
      <c r="C509" s="4">
        <v>44768</v>
      </c>
      <c r="D509">
        <v>7</v>
      </c>
      <c r="E509" t="s">
        <v>21</v>
      </c>
      <c r="F509" t="s">
        <v>44</v>
      </c>
      <c r="G509" t="s">
        <v>40</v>
      </c>
      <c r="H509">
        <v>0</v>
      </c>
      <c r="I509">
        <v>87500</v>
      </c>
      <c r="J509">
        <v>-87500</v>
      </c>
      <c r="L509">
        <v>33</v>
      </c>
      <c r="M509">
        <v>3237</v>
      </c>
      <c r="N509" t="s">
        <v>83</v>
      </c>
      <c r="O509" t="s">
        <v>84</v>
      </c>
    </row>
    <row r="510" spans="2:15" x14ac:dyDescent="0.25">
      <c r="B510" t="s">
        <v>15</v>
      </c>
      <c r="C510" s="4">
        <v>44769</v>
      </c>
      <c r="D510">
        <v>7</v>
      </c>
      <c r="E510" t="s">
        <v>38</v>
      </c>
      <c r="F510" t="s">
        <v>39</v>
      </c>
      <c r="G510" t="s">
        <v>40</v>
      </c>
      <c r="H510">
        <v>387730</v>
      </c>
      <c r="I510">
        <v>0</v>
      </c>
      <c r="J510">
        <v>387730</v>
      </c>
      <c r="L510">
        <v>33</v>
      </c>
      <c r="M510">
        <v>392719</v>
      </c>
      <c r="N510" t="s">
        <v>51</v>
      </c>
      <c r="O510" t="s">
        <v>52</v>
      </c>
    </row>
    <row r="511" spans="2:15" x14ac:dyDescent="0.25">
      <c r="B511" t="s">
        <v>15</v>
      </c>
      <c r="C511" s="4">
        <v>44769</v>
      </c>
      <c r="D511">
        <v>7</v>
      </c>
      <c r="E511" t="s">
        <v>16</v>
      </c>
      <c r="F511" t="s">
        <v>43</v>
      </c>
      <c r="G511" t="s">
        <v>40</v>
      </c>
      <c r="H511">
        <v>73669</v>
      </c>
      <c r="I511">
        <v>0</v>
      </c>
      <c r="J511">
        <v>73669</v>
      </c>
      <c r="L511">
        <v>33</v>
      </c>
      <c r="M511">
        <v>392719</v>
      </c>
      <c r="N511" t="s">
        <v>51</v>
      </c>
      <c r="O511" t="s">
        <v>52</v>
      </c>
    </row>
    <row r="512" spans="2:15" x14ac:dyDescent="0.25">
      <c r="B512" t="s">
        <v>15</v>
      </c>
      <c r="C512" s="4">
        <v>44769</v>
      </c>
      <c r="D512">
        <v>7</v>
      </c>
      <c r="E512" t="s">
        <v>21</v>
      </c>
      <c r="F512" t="s">
        <v>44</v>
      </c>
      <c r="G512" t="s">
        <v>40</v>
      </c>
      <c r="H512">
        <v>0</v>
      </c>
      <c r="I512">
        <v>461399</v>
      </c>
      <c r="J512">
        <v>-461399</v>
      </c>
      <c r="L512">
        <v>33</v>
      </c>
      <c r="M512">
        <v>392719</v>
      </c>
      <c r="N512" t="s">
        <v>51</v>
      </c>
      <c r="O512" t="s">
        <v>52</v>
      </c>
    </row>
    <row r="513" spans="2:15" x14ac:dyDescent="0.25">
      <c r="B513" t="s">
        <v>15</v>
      </c>
      <c r="C513" s="4">
        <v>44769</v>
      </c>
      <c r="D513">
        <v>7</v>
      </c>
      <c r="E513" t="s">
        <v>38</v>
      </c>
      <c r="F513" t="s">
        <v>39</v>
      </c>
      <c r="G513" t="s">
        <v>40</v>
      </c>
      <c r="H513">
        <v>40680</v>
      </c>
      <c r="I513">
        <v>0</v>
      </c>
      <c r="J513">
        <v>40680</v>
      </c>
      <c r="L513">
        <v>33</v>
      </c>
      <c r="M513">
        <v>392721</v>
      </c>
      <c r="N513" t="s">
        <v>51</v>
      </c>
      <c r="O513" t="s">
        <v>52</v>
      </c>
    </row>
    <row r="514" spans="2:15" x14ac:dyDescent="0.25">
      <c r="B514" t="s">
        <v>15</v>
      </c>
      <c r="C514" s="4">
        <v>44769</v>
      </c>
      <c r="D514">
        <v>7</v>
      </c>
      <c r="E514" t="s">
        <v>16</v>
      </c>
      <c r="F514" t="s">
        <v>43</v>
      </c>
      <c r="G514" t="s">
        <v>40</v>
      </c>
      <c r="H514">
        <v>7729</v>
      </c>
      <c r="I514">
        <v>0</v>
      </c>
      <c r="J514">
        <v>7729</v>
      </c>
      <c r="L514">
        <v>33</v>
      </c>
      <c r="M514">
        <v>392721</v>
      </c>
      <c r="N514" t="s">
        <v>51</v>
      </c>
      <c r="O514" t="s">
        <v>52</v>
      </c>
    </row>
    <row r="515" spans="2:15" x14ac:dyDescent="0.25">
      <c r="B515" t="s">
        <v>15</v>
      </c>
      <c r="C515" s="4">
        <v>44769</v>
      </c>
      <c r="D515">
        <v>7</v>
      </c>
      <c r="E515" t="s">
        <v>21</v>
      </c>
      <c r="F515" t="s">
        <v>44</v>
      </c>
      <c r="G515" t="s">
        <v>40</v>
      </c>
      <c r="H515">
        <v>0</v>
      </c>
      <c r="I515">
        <v>48409</v>
      </c>
      <c r="J515">
        <v>-48409</v>
      </c>
      <c r="L515">
        <v>33</v>
      </c>
      <c r="M515">
        <v>392721</v>
      </c>
      <c r="N515" t="s">
        <v>51</v>
      </c>
      <c r="O515" t="s">
        <v>52</v>
      </c>
    </row>
    <row r="516" spans="2:15" x14ac:dyDescent="0.25">
      <c r="B516" t="s">
        <v>15</v>
      </c>
      <c r="C516" s="4">
        <v>44770</v>
      </c>
      <c r="D516">
        <v>7</v>
      </c>
      <c r="E516" t="s">
        <v>38</v>
      </c>
      <c r="F516" t="s">
        <v>39</v>
      </c>
      <c r="G516" t="s">
        <v>40</v>
      </c>
      <c r="H516">
        <v>49020</v>
      </c>
      <c r="I516">
        <v>0</v>
      </c>
      <c r="J516">
        <v>49020</v>
      </c>
      <c r="L516">
        <v>33</v>
      </c>
      <c r="M516">
        <v>392837</v>
      </c>
      <c r="N516" t="s">
        <v>51</v>
      </c>
      <c r="O516" t="s">
        <v>52</v>
      </c>
    </row>
    <row r="517" spans="2:15" x14ac:dyDescent="0.25">
      <c r="B517" t="s">
        <v>15</v>
      </c>
      <c r="C517" s="4">
        <v>44770</v>
      </c>
      <c r="D517">
        <v>7</v>
      </c>
      <c r="E517" t="s">
        <v>16</v>
      </c>
      <c r="F517" t="s">
        <v>43</v>
      </c>
      <c r="G517" t="s">
        <v>40</v>
      </c>
      <c r="H517">
        <v>9314</v>
      </c>
      <c r="I517">
        <v>0</v>
      </c>
      <c r="J517">
        <v>9314</v>
      </c>
      <c r="L517">
        <v>33</v>
      </c>
      <c r="M517">
        <v>392837</v>
      </c>
      <c r="N517" t="s">
        <v>51</v>
      </c>
      <c r="O517" t="s">
        <v>52</v>
      </c>
    </row>
    <row r="518" spans="2:15" x14ac:dyDescent="0.25">
      <c r="B518" t="s">
        <v>15</v>
      </c>
      <c r="C518" s="4">
        <v>44770</v>
      </c>
      <c r="D518">
        <v>7</v>
      </c>
      <c r="E518" t="s">
        <v>21</v>
      </c>
      <c r="F518" t="s">
        <v>44</v>
      </c>
      <c r="G518" t="s">
        <v>40</v>
      </c>
      <c r="H518">
        <v>0</v>
      </c>
      <c r="I518">
        <v>58334</v>
      </c>
      <c r="J518">
        <v>-58334</v>
      </c>
      <c r="L518">
        <v>33</v>
      </c>
      <c r="M518">
        <v>392837</v>
      </c>
      <c r="N518" t="s">
        <v>51</v>
      </c>
      <c r="O518" t="s">
        <v>52</v>
      </c>
    </row>
    <row r="519" spans="2:15" x14ac:dyDescent="0.25">
      <c r="B519" t="s">
        <v>15</v>
      </c>
      <c r="C519" s="4">
        <v>44770</v>
      </c>
      <c r="D519">
        <v>7</v>
      </c>
      <c r="E519" t="s">
        <v>38</v>
      </c>
      <c r="F519" t="s">
        <v>39</v>
      </c>
      <c r="G519" t="s">
        <v>40</v>
      </c>
      <c r="H519">
        <v>115801</v>
      </c>
      <c r="I519">
        <v>0</v>
      </c>
      <c r="J519">
        <v>115801</v>
      </c>
      <c r="L519">
        <v>34</v>
      </c>
      <c r="M519">
        <v>103</v>
      </c>
      <c r="N519" t="s">
        <v>71</v>
      </c>
      <c r="O519" t="s">
        <v>72</v>
      </c>
    </row>
    <row r="520" spans="2:15" x14ac:dyDescent="0.25">
      <c r="B520" t="s">
        <v>15</v>
      </c>
      <c r="C520" s="4">
        <v>44770</v>
      </c>
      <c r="D520">
        <v>7</v>
      </c>
      <c r="E520" t="s">
        <v>16</v>
      </c>
      <c r="F520" t="s">
        <v>43</v>
      </c>
      <c r="G520" t="s">
        <v>40</v>
      </c>
      <c r="H520">
        <v>0</v>
      </c>
      <c r="I520">
        <v>0</v>
      </c>
      <c r="J520">
        <v>0</v>
      </c>
      <c r="L520">
        <v>34</v>
      </c>
      <c r="M520">
        <v>103</v>
      </c>
      <c r="N520" t="s">
        <v>71</v>
      </c>
      <c r="O520" t="s">
        <v>72</v>
      </c>
    </row>
    <row r="521" spans="2:15" x14ac:dyDescent="0.25">
      <c r="B521" t="s">
        <v>15</v>
      </c>
      <c r="C521" s="4">
        <v>44770</v>
      </c>
      <c r="D521">
        <v>7</v>
      </c>
      <c r="E521" t="s">
        <v>21</v>
      </c>
      <c r="F521" t="s">
        <v>44</v>
      </c>
      <c r="G521" t="s">
        <v>40</v>
      </c>
      <c r="H521">
        <v>0</v>
      </c>
      <c r="I521">
        <v>115801</v>
      </c>
      <c r="J521">
        <v>-115801</v>
      </c>
      <c r="L521">
        <v>34</v>
      </c>
      <c r="M521">
        <v>103</v>
      </c>
      <c r="N521" t="s">
        <v>71</v>
      </c>
      <c r="O521" t="s">
        <v>72</v>
      </c>
    </row>
    <row r="522" spans="2:15" x14ac:dyDescent="0.25">
      <c r="B522" t="s">
        <v>15</v>
      </c>
      <c r="C522" s="4">
        <v>44774</v>
      </c>
      <c r="D522">
        <v>8</v>
      </c>
      <c r="E522" t="s">
        <v>38</v>
      </c>
      <c r="F522" t="s">
        <v>39</v>
      </c>
      <c r="G522" t="s">
        <v>40</v>
      </c>
      <c r="H522">
        <v>35710</v>
      </c>
      <c r="I522">
        <v>0</v>
      </c>
      <c r="J522">
        <v>35710</v>
      </c>
      <c r="L522">
        <v>33</v>
      </c>
      <c r="M522">
        <v>309181</v>
      </c>
      <c r="N522" t="s">
        <v>63</v>
      </c>
      <c r="O522" t="s">
        <v>64</v>
      </c>
    </row>
    <row r="523" spans="2:15" x14ac:dyDescent="0.25">
      <c r="B523" t="s">
        <v>15</v>
      </c>
      <c r="C523" s="4">
        <v>44774</v>
      </c>
      <c r="D523">
        <v>8</v>
      </c>
      <c r="E523" t="s">
        <v>16</v>
      </c>
      <c r="F523" t="s">
        <v>43</v>
      </c>
      <c r="G523" t="s">
        <v>40</v>
      </c>
      <c r="H523">
        <v>6785</v>
      </c>
      <c r="I523">
        <v>0</v>
      </c>
      <c r="J523">
        <v>6785</v>
      </c>
      <c r="L523">
        <v>33</v>
      </c>
      <c r="M523">
        <v>309181</v>
      </c>
      <c r="N523" t="s">
        <v>63</v>
      </c>
      <c r="O523" t="s">
        <v>64</v>
      </c>
    </row>
    <row r="524" spans="2:15" x14ac:dyDescent="0.25">
      <c r="B524" t="s">
        <v>15</v>
      </c>
      <c r="C524" s="4">
        <v>44774</v>
      </c>
      <c r="D524">
        <v>8</v>
      </c>
      <c r="E524" t="s">
        <v>21</v>
      </c>
      <c r="F524" t="s">
        <v>44</v>
      </c>
      <c r="G524" t="s">
        <v>40</v>
      </c>
      <c r="H524">
        <v>0</v>
      </c>
      <c r="I524">
        <v>42495</v>
      </c>
      <c r="J524">
        <v>-42495</v>
      </c>
      <c r="L524">
        <v>33</v>
      </c>
      <c r="M524">
        <v>309181</v>
      </c>
      <c r="N524" t="s">
        <v>63</v>
      </c>
      <c r="O524" t="s">
        <v>64</v>
      </c>
    </row>
    <row r="525" spans="2:15" x14ac:dyDescent="0.25">
      <c r="B525" t="s">
        <v>15</v>
      </c>
      <c r="C525" s="4">
        <v>44774</v>
      </c>
      <c r="D525">
        <v>8</v>
      </c>
      <c r="E525" t="s">
        <v>38</v>
      </c>
      <c r="F525" t="s">
        <v>39</v>
      </c>
      <c r="G525" t="s">
        <v>40</v>
      </c>
      <c r="H525">
        <v>17855</v>
      </c>
      <c r="I525">
        <v>0</v>
      </c>
      <c r="J525">
        <v>17855</v>
      </c>
      <c r="L525">
        <v>33</v>
      </c>
      <c r="M525">
        <v>309185</v>
      </c>
      <c r="N525" t="s">
        <v>63</v>
      </c>
      <c r="O525" t="s">
        <v>64</v>
      </c>
    </row>
    <row r="526" spans="2:15" x14ac:dyDescent="0.25">
      <c r="B526" t="s">
        <v>15</v>
      </c>
      <c r="C526" s="4">
        <v>44774</v>
      </c>
      <c r="D526">
        <v>8</v>
      </c>
      <c r="E526" t="s">
        <v>16</v>
      </c>
      <c r="F526" t="s">
        <v>43</v>
      </c>
      <c r="G526" t="s">
        <v>40</v>
      </c>
      <c r="H526">
        <v>3392</v>
      </c>
      <c r="I526">
        <v>0</v>
      </c>
      <c r="J526">
        <v>3392</v>
      </c>
      <c r="L526">
        <v>33</v>
      </c>
      <c r="M526">
        <v>309185</v>
      </c>
      <c r="N526" t="s">
        <v>63</v>
      </c>
      <c r="O526" t="s">
        <v>64</v>
      </c>
    </row>
    <row r="527" spans="2:15" x14ac:dyDescent="0.25">
      <c r="B527" t="s">
        <v>15</v>
      </c>
      <c r="C527" s="4">
        <v>44774</v>
      </c>
      <c r="D527">
        <v>8</v>
      </c>
      <c r="E527" t="s">
        <v>21</v>
      </c>
      <c r="F527" t="s">
        <v>44</v>
      </c>
      <c r="G527" t="s">
        <v>40</v>
      </c>
      <c r="H527">
        <v>0</v>
      </c>
      <c r="I527">
        <v>21247</v>
      </c>
      <c r="J527">
        <v>-21247</v>
      </c>
      <c r="L527">
        <v>33</v>
      </c>
      <c r="M527">
        <v>309185</v>
      </c>
      <c r="N527" t="s">
        <v>63</v>
      </c>
      <c r="O527" t="s">
        <v>64</v>
      </c>
    </row>
    <row r="528" spans="2:15" x14ac:dyDescent="0.25">
      <c r="B528" t="s">
        <v>15</v>
      </c>
      <c r="C528" s="4">
        <v>44774</v>
      </c>
      <c r="D528">
        <v>8</v>
      </c>
      <c r="E528" t="s">
        <v>38</v>
      </c>
      <c r="F528" t="s">
        <v>39</v>
      </c>
      <c r="G528" t="s">
        <v>40</v>
      </c>
      <c r="H528">
        <v>9916</v>
      </c>
      <c r="I528">
        <v>0</v>
      </c>
      <c r="J528">
        <v>9916</v>
      </c>
      <c r="L528">
        <v>33</v>
      </c>
      <c r="M528">
        <v>208</v>
      </c>
      <c r="N528" t="s">
        <v>99</v>
      </c>
      <c r="O528" t="s">
        <v>100</v>
      </c>
    </row>
    <row r="529" spans="2:15" x14ac:dyDescent="0.25">
      <c r="B529" t="s">
        <v>15</v>
      </c>
      <c r="C529" s="4">
        <v>44774</v>
      </c>
      <c r="D529">
        <v>8</v>
      </c>
      <c r="E529" t="s">
        <v>16</v>
      </c>
      <c r="F529" t="s">
        <v>43</v>
      </c>
      <c r="G529" t="s">
        <v>40</v>
      </c>
      <c r="H529">
        <v>1884</v>
      </c>
      <c r="I529">
        <v>0</v>
      </c>
      <c r="J529">
        <v>1884</v>
      </c>
      <c r="L529">
        <v>33</v>
      </c>
      <c r="M529">
        <v>208</v>
      </c>
      <c r="N529" t="s">
        <v>99</v>
      </c>
      <c r="O529" t="s">
        <v>100</v>
      </c>
    </row>
    <row r="530" spans="2:15" x14ac:dyDescent="0.25">
      <c r="B530" t="s">
        <v>15</v>
      </c>
      <c r="C530" s="4">
        <v>44774</v>
      </c>
      <c r="D530">
        <v>8</v>
      </c>
      <c r="E530" t="s">
        <v>21</v>
      </c>
      <c r="F530" t="s">
        <v>44</v>
      </c>
      <c r="G530" t="s">
        <v>40</v>
      </c>
      <c r="H530">
        <v>0</v>
      </c>
      <c r="I530">
        <v>11800</v>
      </c>
      <c r="J530">
        <v>-11800</v>
      </c>
      <c r="L530">
        <v>33</v>
      </c>
      <c r="M530">
        <v>208</v>
      </c>
      <c r="N530" t="s">
        <v>99</v>
      </c>
      <c r="O530" t="s">
        <v>100</v>
      </c>
    </row>
    <row r="531" spans="2:15" x14ac:dyDescent="0.25">
      <c r="B531" t="s">
        <v>15</v>
      </c>
      <c r="C531" s="4">
        <v>44775</v>
      </c>
      <c r="D531">
        <v>8</v>
      </c>
      <c r="E531" t="s">
        <v>38</v>
      </c>
      <c r="F531" t="s">
        <v>39</v>
      </c>
      <c r="G531" t="s">
        <v>40</v>
      </c>
      <c r="H531">
        <v>70417</v>
      </c>
      <c r="I531">
        <v>0</v>
      </c>
      <c r="J531">
        <v>70417</v>
      </c>
      <c r="L531">
        <v>33</v>
      </c>
      <c r="M531">
        <v>357215</v>
      </c>
      <c r="N531" t="s">
        <v>85</v>
      </c>
      <c r="O531" t="s">
        <v>86</v>
      </c>
    </row>
    <row r="532" spans="2:15" x14ac:dyDescent="0.25">
      <c r="B532" t="s">
        <v>15</v>
      </c>
      <c r="C532" s="4">
        <v>44775</v>
      </c>
      <c r="D532">
        <v>8</v>
      </c>
      <c r="E532" t="s">
        <v>16</v>
      </c>
      <c r="F532" t="s">
        <v>43</v>
      </c>
      <c r="G532" t="s">
        <v>40</v>
      </c>
      <c r="H532">
        <v>13379</v>
      </c>
      <c r="I532">
        <v>0</v>
      </c>
      <c r="J532">
        <v>13379</v>
      </c>
      <c r="L532">
        <v>33</v>
      </c>
      <c r="M532">
        <v>357215</v>
      </c>
      <c r="N532" t="s">
        <v>85</v>
      </c>
      <c r="O532" t="s">
        <v>86</v>
      </c>
    </row>
    <row r="533" spans="2:15" x14ac:dyDescent="0.25">
      <c r="B533" t="s">
        <v>15</v>
      </c>
      <c r="C533" s="4">
        <v>44775</v>
      </c>
      <c r="D533">
        <v>8</v>
      </c>
      <c r="E533" t="s">
        <v>21</v>
      </c>
      <c r="F533" t="s">
        <v>44</v>
      </c>
      <c r="G533" t="s">
        <v>40</v>
      </c>
      <c r="H533">
        <v>0</v>
      </c>
      <c r="I533">
        <v>83796</v>
      </c>
      <c r="J533">
        <v>-83796</v>
      </c>
      <c r="L533">
        <v>33</v>
      </c>
      <c r="M533">
        <v>357215</v>
      </c>
      <c r="N533" t="s">
        <v>85</v>
      </c>
      <c r="O533" t="s">
        <v>86</v>
      </c>
    </row>
    <row r="534" spans="2:15" x14ac:dyDescent="0.25">
      <c r="B534" t="s">
        <v>15</v>
      </c>
      <c r="C534" s="4">
        <v>44776</v>
      </c>
      <c r="D534">
        <v>8</v>
      </c>
      <c r="E534" t="s">
        <v>38</v>
      </c>
      <c r="F534" t="s">
        <v>39</v>
      </c>
      <c r="G534" t="s">
        <v>40</v>
      </c>
      <c r="H534">
        <v>216356</v>
      </c>
      <c r="I534">
        <v>0</v>
      </c>
      <c r="J534">
        <v>216356</v>
      </c>
      <c r="L534">
        <v>33</v>
      </c>
      <c r="M534">
        <v>34874</v>
      </c>
      <c r="N534" t="s">
        <v>81</v>
      </c>
      <c r="O534" t="s">
        <v>82</v>
      </c>
    </row>
    <row r="535" spans="2:15" x14ac:dyDescent="0.25">
      <c r="B535" t="s">
        <v>15</v>
      </c>
      <c r="C535" s="4">
        <v>44776</v>
      </c>
      <c r="D535">
        <v>8</v>
      </c>
      <c r="E535" t="s">
        <v>16</v>
      </c>
      <c r="F535" t="s">
        <v>43</v>
      </c>
      <c r="G535" t="s">
        <v>40</v>
      </c>
      <c r="H535">
        <v>41108</v>
      </c>
      <c r="I535">
        <v>0</v>
      </c>
      <c r="J535">
        <v>41108</v>
      </c>
      <c r="L535">
        <v>33</v>
      </c>
      <c r="M535">
        <v>34874</v>
      </c>
      <c r="N535" t="s">
        <v>81</v>
      </c>
      <c r="O535" t="s">
        <v>82</v>
      </c>
    </row>
    <row r="536" spans="2:15" x14ac:dyDescent="0.25">
      <c r="B536" t="s">
        <v>15</v>
      </c>
      <c r="C536" s="4">
        <v>44776</v>
      </c>
      <c r="D536">
        <v>8</v>
      </c>
      <c r="E536" t="s">
        <v>21</v>
      </c>
      <c r="F536" t="s">
        <v>44</v>
      </c>
      <c r="G536" t="s">
        <v>40</v>
      </c>
      <c r="H536">
        <v>0</v>
      </c>
      <c r="I536">
        <v>257464</v>
      </c>
      <c r="J536">
        <v>-257464</v>
      </c>
      <c r="L536">
        <v>33</v>
      </c>
      <c r="M536">
        <v>34874</v>
      </c>
      <c r="N536" t="s">
        <v>81</v>
      </c>
      <c r="O536" t="s">
        <v>82</v>
      </c>
    </row>
    <row r="537" spans="2:15" x14ac:dyDescent="0.25">
      <c r="B537" t="s">
        <v>15</v>
      </c>
      <c r="C537" s="4">
        <v>44776</v>
      </c>
      <c r="D537">
        <v>8</v>
      </c>
      <c r="E537" t="s">
        <v>38</v>
      </c>
      <c r="F537" t="s">
        <v>39</v>
      </c>
      <c r="G537" t="s">
        <v>40</v>
      </c>
      <c r="H537">
        <v>14970</v>
      </c>
      <c r="I537">
        <v>0</v>
      </c>
      <c r="J537">
        <v>14970</v>
      </c>
      <c r="L537">
        <v>33</v>
      </c>
      <c r="M537">
        <v>393527</v>
      </c>
      <c r="N537" t="s">
        <v>51</v>
      </c>
      <c r="O537" t="s">
        <v>52</v>
      </c>
    </row>
    <row r="538" spans="2:15" x14ac:dyDescent="0.25">
      <c r="B538" t="s">
        <v>15</v>
      </c>
      <c r="C538" s="4">
        <v>44776</v>
      </c>
      <c r="D538">
        <v>8</v>
      </c>
      <c r="E538" t="s">
        <v>16</v>
      </c>
      <c r="F538" t="s">
        <v>43</v>
      </c>
      <c r="G538" t="s">
        <v>40</v>
      </c>
      <c r="H538">
        <v>2844</v>
      </c>
      <c r="I538">
        <v>0</v>
      </c>
      <c r="J538">
        <v>2844</v>
      </c>
      <c r="L538">
        <v>33</v>
      </c>
      <c r="M538">
        <v>393527</v>
      </c>
      <c r="N538" t="s">
        <v>51</v>
      </c>
      <c r="O538" t="s">
        <v>52</v>
      </c>
    </row>
    <row r="539" spans="2:15" x14ac:dyDescent="0.25">
      <c r="B539" t="s">
        <v>15</v>
      </c>
      <c r="C539" s="4">
        <v>44776</v>
      </c>
      <c r="D539">
        <v>8</v>
      </c>
      <c r="E539" t="s">
        <v>21</v>
      </c>
      <c r="F539" t="s">
        <v>44</v>
      </c>
      <c r="G539" t="s">
        <v>40</v>
      </c>
      <c r="H539">
        <v>0</v>
      </c>
      <c r="I539">
        <v>17814</v>
      </c>
      <c r="J539">
        <v>-17814</v>
      </c>
      <c r="L539">
        <v>33</v>
      </c>
      <c r="M539">
        <v>393527</v>
      </c>
      <c r="N539" t="s">
        <v>51</v>
      </c>
      <c r="O539" t="s">
        <v>52</v>
      </c>
    </row>
    <row r="540" spans="2:15" x14ac:dyDescent="0.25">
      <c r="B540" t="s">
        <v>15</v>
      </c>
      <c r="C540" s="4">
        <v>44778</v>
      </c>
      <c r="D540">
        <v>8</v>
      </c>
      <c r="E540" t="s">
        <v>38</v>
      </c>
      <c r="F540" t="s">
        <v>39</v>
      </c>
      <c r="G540" t="s">
        <v>40</v>
      </c>
      <c r="H540">
        <v>23520</v>
      </c>
      <c r="I540">
        <v>0</v>
      </c>
      <c r="J540">
        <v>23520</v>
      </c>
      <c r="L540">
        <v>33</v>
      </c>
      <c r="M540">
        <v>393868</v>
      </c>
      <c r="N540" t="s">
        <v>51</v>
      </c>
      <c r="O540" t="s">
        <v>52</v>
      </c>
    </row>
    <row r="541" spans="2:15" x14ac:dyDescent="0.25">
      <c r="B541" t="s">
        <v>15</v>
      </c>
      <c r="C541" s="4">
        <v>44778</v>
      </c>
      <c r="D541">
        <v>8</v>
      </c>
      <c r="E541" t="s">
        <v>16</v>
      </c>
      <c r="F541" t="s">
        <v>43</v>
      </c>
      <c r="G541" t="s">
        <v>40</v>
      </c>
      <c r="H541">
        <v>4469</v>
      </c>
      <c r="I541">
        <v>0</v>
      </c>
      <c r="J541">
        <v>4469</v>
      </c>
      <c r="L541">
        <v>33</v>
      </c>
      <c r="M541">
        <v>393868</v>
      </c>
      <c r="N541" t="s">
        <v>51</v>
      </c>
      <c r="O541" t="s">
        <v>52</v>
      </c>
    </row>
    <row r="542" spans="2:15" x14ac:dyDescent="0.25">
      <c r="B542" t="s">
        <v>15</v>
      </c>
      <c r="C542" s="4">
        <v>44778</v>
      </c>
      <c r="D542">
        <v>8</v>
      </c>
      <c r="E542" t="s">
        <v>21</v>
      </c>
      <c r="F542" t="s">
        <v>44</v>
      </c>
      <c r="G542" t="s">
        <v>40</v>
      </c>
      <c r="H542">
        <v>0</v>
      </c>
      <c r="I542">
        <v>27989</v>
      </c>
      <c r="J542">
        <v>-27989</v>
      </c>
      <c r="L542">
        <v>33</v>
      </c>
      <c r="M542">
        <v>393868</v>
      </c>
      <c r="N542" t="s">
        <v>51</v>
      </c>
      <c r="O542" t="s">
        <v>52</v>
      </c>
    </row>
    <row r="543" spans="2:15" x14ac:dyDescent="0.25">
      <c r="B543" t="s">
        <v>15</v>
      </c>
      <c r="C543" s="4">
        <v>44782</v>
      </c>
      <c r="D543">
        <v>8</v>
      </c>
      <c r="E543" t="s">
        <v>38</v>
      </c>
      <c r="F543" t="s">
        <v>39</v>
      </c>
      <c r="G543" t="s">
        <v>40</v>
      </c>
      <c r="H543">
        <v>9916</v>
      </c>
      <c r="I543">
        <v>0</v>
      </c>
      <c r="J543">
        <v>9916</v>
      </c>
      <c r="L543">
        <v>33</v>
      </c>
      <c r="M543">
        <v>31</v>
      </c>
      <c r="N543" t="s">
        <v>91</v>
      </c>
      <c r="O543" t="s">
        <v>92</v>
      </c>
    </row>
    <row r="544" spans="2:15" x14ac:dyDescent="0.25">
      <c r="B544" t="s">
        <v>15</v>
      </c>
      <c r="C544" s="4">
        <v>44782</v>
      </c>
      <c r="D544">
        <v>8</v>
      </c>
      <c r="E544" t="s">
        <v>16</v>
      </c>
      <c r="F544" t="s">
        <v>43</v>
      </c>
      <c r="G544" t="s">
        <v>40</v>
      </c>
      <c r="H544">
        <v>1884</v>
      </c>
      <c r="I544">
        <v>0</v>
      </c>
      <c r="J544">
        <v>1884</v>
      </c>
      <c r="L544">
        <v>33</v>
      </c>
      <c r="M544">
        <v>31</v>
      </c>
      <c r="N544" t="s">
        <v>91</v>
      </c>
      <c r="O544" t="s">
        <v>92</v>
      </c>
    </row>
    <row r="545" spans="2:15" x14ac:dyDescent="0.25">
      <c r="B545" t="s">
        <v>15</v>
      </c>
      <c r="C545" s="4">
        <v>44782</v>
      </c>
      <c r="D545">
        <v>8</v>
      </c>
      <c r="E545" t="s">
        <v>21</v>
      </c>
      <c r="F545" t="s">
        <v>44</v>
      </c>
      <c r="G545" t="s">
        <v>40</v>
      </c>
      <c r="H545">
        <v>0</v>
      </c>
      <c r="I545">
        <v>11800</v>
      </c>
      <c r="J545">
        <v>-11800</v>
      </c>
      <c r="L545">
        <v>33</v>
      </c>
      <c r="M545">
        <v>31</v>
      </c>
      <c r="N545" t="s">
        <v>91</v>
      </c>
      <c r="O545" t="s">
        <v>92</v>
      </c>
    </row>
    <row r="546" spans="2:15" x14ac:dyDescent="0.25">
      <c r="B546" t="s">
        <v>15</v>
      </c>
      <c r="C546" s="4">
        <v>44784</v>
      </c>
      <c r="D546">
        <v>8</v>
      </c>
      <c r="E546" t="s">
        <v>38</v>
      </c>
      <c r="F546" t="s">
        <v>39</v>
      </c>
      <c r="G546" t="s">
        <v>40</v>
      </c>
      <c r="H546">
        <v>47100</v>
      </c>
      <c r="I546">
        <v>0</v>
      </c>
      <c r="J546">
        <v>47100</v>
      </c>
      <c r="L546">
        <v>33</v>
      </c>
      <c r="M546">
        <v>952</v>
      </c>
      <c r="N546" t="s">
        <v>73</v>
      </c>
      <c r="O546" t="s">
        <v>74</v>
      </c>
    </row>
    <row r="547" spans="2:15" x14ac:dyDescent="0.25">
      <c r="B547" t="s">
        <v>15</v>
      </c>
      <c r="C547" s="4">
        <v>44784</v>
      </c>
      <c r="D547">
        <v>8</v>
      </c>
      <c r="E547" t="s">
        <v>16</v>
      </c>
      <c r="F547" t="s">
        <v>43</v>
      </c>
      <c r="G547" t="s">
        <v>40</v>
      </c>
      <c r="H547">
        <v>8949</v>
      </c>
      <c r="I547">
        <v>0</v>
      </c>
      <c r="J547">
        <v>8949</v>
      </c>
      <c r="L547">
        <v>33</v>
      </c>
      <c r="M547">
        <v>952</v>
      </c>
      <c r="N547" t="s">
        <v>73</v>
      </c>
      <c r="O547" t="s">
        <v>74</v>
      </c>
    </row>
    <row r="548" spans="2:15" x14ac:dyDescent="0.25">
      <c r="B548" t="s">
        <v>15</v>
      </c>
      <c r="C548" s="4">
        <v>44784</v>
      </c>
      <c r="D548">
        <v>8</v>
      </c>
      <c r="E548" t="s">
        <v>21</v>
      </c>
      <c r="F548" t="s">
        <v>44</v>
      </c>
      <c r="G548" t="s">
        <v>40</v>
      </c>
      <c r="H548">
        <v>0</v>
      </c>
      <c r="I548">
        <v>56049</v>
      </c>
      <c r="J548">
        <v>-56049</v>
      </c>
      <c r="L548">
        <v>33</v>
      </c>
      <c r="M548">
        <v>952</v>
      </c>
      <c r="N548" t="s">
        <v>73</v>
      </c>
      <c r="O548" t="s">
        <v>74</v>
      </c>
    </row>
    <row r="549" spans="2:15" x14ac:dyDescent="0.25">
      <c r="B549" t="s">
        <v>15</v>
      </c>
      <c r="C549" s="4">
        <v>44784</v>
      </c>
      <c r="D549">
        <v>8</v>
      </c>
      <c r="E549" t="s">
        <v>38</v>
      </c>
      <c r="F549" t="s">
        <v>39</v>
      </c>
      <c r="G549" t="s">
        <v>40</v>
      </c>
      <c r="H549">
        <v>51030</v>
      </c>
      <c r="I549">
        <v>0</v>
      </c>
      <c r="J549">
        <v>51030</v>
      </c>
      <c r="L549">
        <v>33</v>
      </c>
      <c r="M549">
        <v>394705</v>
      </c>
      <c r="N549" t="s">
        <v>51</v>
      </c>
      <c r="O549" t="s">
        <v>52</v>
      </c>
    </row>
    <row r="550" spans="2:15" x14ac:dyDescent="0.25">
      <c r="B550" t="s">
        <v>15</v>
      </c>
      <c r="C550" s="4">
        <v>44784</v>
      </c>
      <c r="D550">
        <v>8</v>
      </c>
      <c r="E550" t="s">
        <v>16</v>
      </c>
      <c r="F550" t="s">
        <v>43</v>
      </c>
      <c r="G550" t="s">
        <v>40</v>
      </c>
      <c r="H550">
        <v>9696</v>
      </c>
      <c r="I550">
        <v>0</v>
      </c>
      <c r="J550">
        <v>9696</v>
      </c>
      <c r="L550">
        <v>33</v>
      </c>
      <c r="M550">
        <v>394705</v>
      </c>
      <c r="N550" t="s">
        <v>51</v>
      </c>
      <c r="O550" t="s">
        <v>52</v>
      </c>
    </row>
    <row r="551" spans="2:15" x14ac:dyDescent="0.25">
      <c r="B551" t="s">
        <v>15</v>
      </c>
      <c r="C551" s="4">
        <v>44784</v>
      </c>
      <c r="D551">
        <v>8</v>
      </c>
      <c r="E551" t="s">
        <v>21</v>
      </c>
      <c r="F551" t="s">
        <v>44</v>
      </c>
      <c r="G551" t="s">
        <v>40</v>
      </c>
      <c r="H551">
        <v>0</v>
      </c>
      <c r="I551">
        <v>60726</v>
      </c>
      <c r="J551">
        <v>-60726</v>
      </c>
      <c r="L551">
        <v>33</v>
      </c>
      <c r="M551">
        <v>394705</v>
      </c>
      <c r="N551" t="s">
        <v>51</v>
      </c>
      <c r="O551" t="s">
        <v>52</v>
      </c>
    </row>
    <row r="552" spans="2:15" x14ac:dyDescent="0.25">
      <c r="B552" t="s">
        <v>15</v>
      </c>
      <c r="C552" s="4">
        <v>44784</v>
      </c>
      <c r="D552">
        <v>8</v>
      </c>
      <c r="E552" t="s">
        <v>38</v>
      </c>
      <c r="F552" t="s">
        <v>39</v>
      </c>
      <c r="G552" t="s">
        <v>40</v>
      </c>
      <c r="H552">
        <v>155675</v>
      </c>
      <c r="I552">
        <v>0</v>
      </c>
      <c r="J552">
        <v>155675</v>
      </c>
      <c r="L552">
        <v>33</v>
      </c>
      <c r="M552">
        <v>690593</v>
      </c>
      <c r="N552" t="s">
        <v>49</v>
      </c>
      <c r="O552" t="s">
        <v>50</v>
      </c>
    </row>
    <row r="553" spans="2:15" x14ac:dyDescent="0.25">
      <c r="B553" t="s">
        <v>15</v>
      </c>
      <c r="C553" s="4">
        <v>44784</v>
      </c>
      <c r="D553">
        <v>8</v>
      </c>
      <c r="E553" t="s">
        <v>16</v>
      </c>
      <c r="F553" t="s">
        <v>43</v>
      </c>
      <c r="G553" t="s">
        <v>40</v>
      </c>
      <c r="H553">
        <v>29578</v>
      </c>
      <c r="I553">
        <v>0</v>
      </c>
      <c r="J553">
        <v>29578</v>
      </c>
      <c r="L553">
        <v>33</v>
      </c>
      <c r="M553">
        <v>690593</v>
      </c>
      <c r="N553" t="s">
        <v>49</v>
      </c>
      <c r="O553" t="s">
        <v>50</v>
      </c>
    </row>
    <row r="554" spans="2:15" x14ac:dyDescent="0.25">
      <c r="B554" t="s">
        <v>15</v>
      </c>
      <c r="C554" s="4">
        <v>44784</v>
      </c>
      <c r="D554">
        <v>8</v>
      </c>
      <c r="E554" t="s">
        <v>21</v>
      </c>
      <c r="F554" t="s">
        <v>44</v>
      </c>
      <c r="G554" t="s">
        <v>40</v>
      </c>
      <c r="H554">
        <v>0</v>
      </c>
      <c r="I554">
        <v>185253</v>
      </c>
      <c r="J554">
        <v>-185253</v>
      </c>
      <c r="L554">
        <v>33</v>
      </c>
      <c r="M554">
        <v>690593</v>
      </c>
      <c r="N554" t="s">
        <v>49</v>
      </c>
      <c r="O554" t="s">
        <v>50</v>
      </c>
    </row>
    <row r="555" spans="2:15" x14ac:dyDescent="0.25">
      <c r="B555" t="s">
        <v>15</v>
      </c>
      <c r="C555" s="4">
        <v>44785</v>
      </c>
      <c r="D555">
        <v>8</v>
      </c>
      <c r="E555" t="s">
        <v>38</v>
      </c>
      <c r="F555" t="s">
        <v>39</v>
      </c>
      <c r="G555" t="s">
        <v>40</v>
      </c>
      <c r="H555">
        <v>126520</v>
      </c>
      <c r="I555">
        <v>0</v>
      </c>
      <c r="J555">
        <v>126520</v>
      </c>
      <c r="L555">
        <v>33</v>
      </c>
      <c r="M555">
        <v>394870</v>
      </c>
      <c r="N555" t="s">
        <v>51</v>
      </c>
      <c r="O555" t="s">
        <v>52</v>
      </c>
    </row>
    <row r="556" spans="2:15" x14ac:dyDescent="0.25">
      <c r="B556" t="s">
        <v>15</v>
      </c>
      <c r="C556" s="4">
        <v>44785</v>
      </c>
      <c r="D556">
        <v>8</v>
      </c>
      <c r="E556" t="s">
        <v>16</v>
      </c>
      <c r="F556" t="s">
        <v>43</v>
      </c>
      <c r="G556" t="s">
        <v>40</v>
      </c>
      <c r="H556">
        <v>24039</v>
      </c>
      <c r="I556">
        <v>0</v>
      </c>
      <c r="J556">
        <v>24039</v>
      </c>
      <c r="L556">
        <v>33</v>
      </c>
      <c r="M556">
        <v>394870</v>
      </c>
      <c r="N556" t="s">
        <v>51</v>
      </c>
      <c r="O556" t="s">
        <v>52</v>
      </c>
    </row>
    <row r="557" spans="2:15" x14ac:dyDescent="0.25">
      <c r="B557" t="s">
        <v>15</v>
      </c>
      <c r="C557" s="4">
        <v>44785</v>
      </c>
      <c r="D557">
        <v>8</v>
      </c>
      <c r="E557" t="s">
        <v>21</v>
      </c>
      <c r="F557" t="s">
        <v>44</v>
      </c>
      <c r="G557" t="s">
        <v>40</v>
      </c>
      <c r="H557">
        <v>0</v>
      </c>
      <c r="I557">
        <v>150559</v>
      </c>
      <c r="J557">
        <v>-150559</v>
      </c>
      <c r="L557">
        <v>33</v>
      </c>
      <c r="M557">
        <v>394870</v>
      </c>
      <c r="N557" t="s">
        <v>51</v>
      </c>
      <c r="O557" t="s">
        <v>52</v>
      </c>
    </row>
    <row r="558" spans="2:15" x14ac:dyDescent="0.25">
      <c r="B558" t="s">
        <v>15</v>
      </c>
      <c r="C558" s="4">
        <v>44785</v>
      </c>
      <c r="D558">
        <v>8</v>
      </c>
      <c r="E558" t="s">
        <v>38</v>
      </c>
      <c r="F558" t="s">
        <v>39</v>
      </c>
      <c r="G558" t="s">
        <v>40</v>
      </c>
      <c r="H558">
        <v>137480</v>
      </c>
      <c r="I558">
        <v>0</v>
      </c>
      <c r="J558">
        <v>137480</v>
      </c>
      <c r="L558">
        <v>33</v>
      </c>
      <c r="M558">
        <v>394873</v>
      </c>
      <c r="N558" t="s">
        <v>51</v>
      </c>
      <c r="O558" t="s">
        <v>52</v>
      </c>
    </row>
    <row r="559" spans="2:15" x14ac:dyDescent="0.25">
      <c r="B559" t="s">
        <v>15</v>
      </c>
      <c r="C559" s="4">
        <v>44785</v>
      </c>
      <c r="D559">
        <v>8</v>
      </c>
      <c r="E559" t="s">
        <v>16</v>
      </c>
      <c r="F559" t="s">
        <v>43</v>
      </c>
      <c r="G559" t="s">
        <v>40</v>
      </c>
      <c r="H559">
        <v>26121</v>
      </c>
      <c r="I559">
        <v>0</v>
      </c>
      <c r="J559">
        <v>26121</v>
      </c>
      <c r="L559">
        <v>33</v>
      </c>
      <c r="M559">
        <v>394873</v>
      </c>
      <c r="N559" t="s">
        <v>51</v>
      </c>
      <c r="O559" t="s">
        <v>52</v>
      </c>
    </row>
    <row r="560" spans="2:15" x14ac:dyDescent="0.25">
      <c r="B560" t="s">
        <v>15</v>
      </c>
      <c r="C560" s="4">
        <v>44785</v>
      </c>
      <c r="D560">
        <v>8</v>
      </c>
      <c r="E560" t="s">
        <v>21</v>
      </c>
      <c r="F560" t="s">
        <v>44</v>
      </c>
      <c r="G560" t="s">
        <v>40</v>
      </c>
      <c r="H560">
        <v>0</v>
      </c>
      <c r="I560">
        <v>163601</v>
      </c>
      <c r="J560">
        <v>-163601</v>
      </c>
      <c r="L560">
        <v>33</v>
      </c>
      <c r="M560">
        <v>394873</v>
      </c>
      <c r="N560" t="s">
        <v>51</v>
      </c>
      <c r="O560" t="s">
        <v>52</v>
      </c>
    </row>
    <row r="561" spans="2:15" x14ac:dyDescent="0.25">
      <c r="B561" t="s">
        <v>15</v>
      </c>
      <c r="C561" s="4">
        <v>44785</v>
      </c>
      <c r="D561">
        <v>8</v>
      </c>
      <c r="E561" t="s">
        <v>38</v>
      </c>
      <c r="F561" t="s">
        <v>39</v>
      </c>
      <c r="G561" t="s">
        <v>40</v>
      </c>
      <c r="H561">
        <v>294060</v>
      </c>
      <c r="I561">
        <v>0</v>
      </c>
      <c r="J561">
        <v>294060</v>
      </c>
      <c r="L561">
        <v>33</v>
      </c>
      <c r="M561">
        <v>394874</v>
      </c>
      <c r="N561" t="s">
        <v>51</v>
      </c>
      <c r="O561" t="s">
        <v>52</v>
      </c>
    </row>
    <row r="562" spans="2:15" x14ac:dyDescent="0.25">
      <c r="B562" t="s">
        <v>15</v>
      </c>
      <c r="C562" s="4">
        <v>44785</v>
      </c>
      <c r="D562">
        <v>8</v>
      </c>
      <c r="E562" t="s">
        <v>16</v>
      </c>
      <c r="F562" t="s">
        <v>43</v>
      </c>
      <c r="G562" t="s">
        <v>40</v>
      </c>
      <c r="H562">
        <v>55871</v>
      </c>
      <c r="I562">
        <v>0</v>
      </c>
      <c r="J562">
        <v>55871</v>
      </c>
      <c r="L562">
        <v>33</v>
      </c>
      <c r="M562">
        <v>394874</v>
      </c>
      <c r="N562" t="s">
        <v>51</v>
      </c>
      <c r="O562" t="s">
        <v>52</v>
      </c>
    </row>
    <row r="563" spans="2:15" x14ac:dyDescent="0.25">
      <c r="B563" t="s">
        <v>15</v>
      </c>
      <c r="C563" s="4">
        <v>44785</v>
      </c>
      <c r="D563">
        <v>8</v>
      </c>
      <c r="E563" t="s">
        <v>21</v>
      </c>
      <c r="F563" t="s">
        <v>44</v>
      </c>
      <c r="G563" t="s">
        <v>40</v>
      </c>
      <c r="H563">
        <v>0</v>
      </c>
      <c r="I563">
        <v>349931</v>
      </c>
      <c r="J563">
        <v>-349931</v>
      </c>
      <c r="L563">
        <v>33</v>
      </c>
      <c r="M563">
        <v>394874</v>
      </c>
      <c r="N563" t="s">
        <v>51</v>
      </c>
      <c r="O563" t="s">
        <v>52</v>
      </c>
    </row>
    <row r="564" spans="2:15" x14ac:dyDescent="0.25">
      <c r="B564" t="s">
        <v>15</v>
      </c>
      <c r="C564" s="4">
        <v>44785</v>
      </c>
      <c r="D564">
        <v>8</v>
      </c>
      <c r="E564" t="s">
        <v>38</v>
      </c>
      <c r="F564" t="s">
        <v>39</v>
      </c>
      <c r="G564" t="s">
        <v>40</v>
      </c>
      <c r="H564">
        <v>79530</v>
      </c>
      <c r="I564">
        <v>0</v>
      </c>
      <c r="J564">
        <v>79530</v>
      </c>
      <c r="L564">
        <v>33</v>
      </c>
      <c r="M564">
        <v>394872</v>
      </c>
      <c r="N564" t="s">
        <v>51</v>
      </c>
      <c r="O564" t="s">
        <v>52</v>
      </c>
    </row>
    <row r="565" spans="2:15" x14ac:dyDescent="0.25">
      <c r="B565" t="s">
        <v>15</v>
      </c>
      <c r="C565" s="4">
        <v>44785</v>
      </c>
      <c r="D565">
        <v>8</v>
      </c>
      <c r="E565" t="s">
        <v>16</v>
      </c>
      <c r="F565" t="s">
        <v>43</v>
      </c>
      <c r="G565" t="s">
        <v>40</v>
      </c>
      <c r="H565">
        <v>15111</v>
      </c>
      <c r="I565">
        <v>0</v>
      </c>
      <c r="J565">
        <v>15111</v>
      </c>
      <c r="L565">
        <v>33</v>
      </c>
      <c r="M565">
        <v>394872</v>
      </c>
      <c r="N565" t="s">
        <v>51</v>
      </c>
      <c r="O565" t="s">
        <v>52</v>
      </c>
    </row>
    <row r="566" spans="2:15" x14ac:dyDescent="0.25">
      <c r="B566" t="s">
        <v>15</v>
      </c>
      <c r="C566" s="4">
        <v>44785</v>
      </c>
      <c r="D566">
        <v>8</v>
      </c>
      <c r="E566" t="s">
        <v>21</v>
      </c>
      <c r="F566" t="s">
        <v>44</v>
      </c>
      <c r="G566" t="s">
        <v>40</v>
      </c>
      <c r="H566">
        <v>0</v>
      </c>
      <c r="I566">
        <v>94641</v>
      </c>
      <c r="J566">
        <v>-94641</v>
      </c>
      <c r="L566">
        <v>33</v>
      </c>
      <c r="M566">
        <v>394872</v>
      </c>
      <c r="N566" t="s">
        <v>51</v>
      </c>
      <c r="O566" t="s">
        <v>52</v>
      </c>
    </row>
    <row r="567" spans="2:15" x14ac:dyDescent="0.25">
      <c r="B567" t="s">
        <v>15</v>
      </c>
      <c r="C567" s="4">
        <v>44785</v>
      </c>
      <c r="D567">
        <v>8</v>
      </c>
      <c r="E567" t="s">
        <v>38</v>
      </c>
      <c r="F567" t="s">
        <v>39</v>
      </c>
      <c r="G567" t="s">
        <v>40</v>
      </c>
      <c r="H567">
        <v>50208</v>
      </c>
      <c r="I567">
        <v>0</v>
      </c>
      <c r="J567">
        <v>50208</v>
      </c>
      <c r="L567">
        <v>33</v>
      </c>
      <c r="M567">
        <v>690826</v>
      </c>
      <c r="N567" t="s">
        <v>49</v>
      </c>
      <c r="O567" t="s">
        <v>50</v>
      </c>
    </row>
    <row r="568" spans="2:15" x14ac:dyDescent="0.25">
      <c r="B568" t="s">
        <v>15</v>
      </c>
      <c r="C568" s="4">
        <v>44785</v>
      </c>
      <c r="D568">
        <v>8</v>
      </c>
      <c r="E568" t="s">
        <v>16</v>
      </c>
      <c r="F568" t="s">
        <v>43</v>
      </c>
      <c r="G568" t="s">
        <v>40</v>
      </c>
      <c r="H568">
        <v>9540</v>
      </c>
      <c r="I568">
        <v>0</v>
      </c>
      <c r="J568">
        <v>9540</v>
      </c>
      <c r="L568">
        <v>33</v>
      </c>
      <c r="M568">
        <v>690826</v>
      </c>
      <c r="N568" t="s">
        <v>49</v>
      </c>
      <c r="O568" t="s">
        <v>50</v>
      </c>
    </row>
    <row r="569" spans="2:15" x14ac:dyDescent="0.25">
      <c r="B569" t="s">
        <v>15</v>
      </c>
      <c r="C569" s="4">
        <v>44785</v>
      </c>
      <c r="D569">
        <v>8</v>
      </c>
      <c r="E569" t="s">
        <v>21</v>
      </c>
      <c r="F569" t="s">
        <v>44</v>
      </c>
      <c r="G569" t="s">
        <v>40</v>
      </c>
      <c r="H569">
        <v>0</v>
      </c>
      <c r="I569">
        <v>59748</v>
      </c>
      <c r="J569">
        <v>-59748</v>
      </c>
      <c r="L569">
        <v>33</v>
      </c>
      <c r="M569">
        <v>690826</v>
      </c>
      <c r="N569" t="s">
        <v>49</v>
      </c>
      <c r="O569" t="s">
        <v>50</v>
      </c>
    </row>
    <row r="570" spans="2:15" x14ac:dyDescent="0.25">
      <c r="B570" t="s">
        <v>15</v>
      </c>
      <c r="C570" s="4">
        <v>44789</v>
      </c>
      <c r="D570">
        <v>8</v>
      </c>
      <c r="E570" t="s">
        <v>38</v>
      </c>
      <c r="F570" t="s">
        <v>39</v>
      </c>
      <c r="G570" t="s">
        <v>40</v>
      </c>
      <c r="H570">
        <v>68610</v>
      </c>
      <c r="I570">
        <v>0</v>
      </c>
      <c r="J570">
        <v>68610</v>
      </c>
      <c r="L570">
        <v>33</v>
      </c>
      <c r="M570">
        <v>395181</v>
      </c>
      <c r="N570" t="s">
        <v>51</v>
      </c>
      <c r="O570" t="s">
        <v>52</v>
      </c>
    </row>
    <row r="571" spans="2:15" x14ac:dyDescent="0.25">
      <c r="B571" t="s">
        <v>15</v>
      </c>
      <c r="C571" s="4">
        <v>44789</v>
      </c>
      <c r="D571">
        <v>8</v>
      </c>
      <c r="E571" t="s">
        <v>16</v>
      </c>
      <c r="F571" t="s">
        <v>43</v>
      </c>
      <c r="G571" t="s">
        <v>40</v>
      </c>
      <c r="H571">
        <v>13036</v>
      </c>
      <c r="I571">
        <v>0</v>
      </c>
      <c r="J571">
        <v>13036</v>
      </c>
      <c r="L571">
        <v>33</v>
      </c>
      <c r="M571">
        <v>395181</v>
      </c>
      <c r="N571" t="s">
        <v>51</v>
      </c>
      <c r="O571" t="s">
        <v>52</v>
      </c>
    </row>
    <row r="572" spans="2:15" x14ac:dyDescent="0.25">
      <c r="B572" t="s">
        <v>15</v>
      </c>
      <c r="C572" s="4">
        <v>44789</v>
      </c>
      <c r="D572">
        <v>8</v>
      </c>
      <c r="E572" t="s">
        <v>21</v>
      </c>
      <c r="F572" t="s">
        <v>44</v>
      </c>
      <c r="G572" t="s">
        <v>40</v>
      </c>
      <c r="H572">
        <v>0</v>
      </c>
      <c r="I572">
        <v>81646</v>
      </c>
      <c r="J572">
        <v>-81646</v>
      </c>
      <c r="L572">
        <v>33</v>
      </c>
      <c r="M572">
        <v>395181</v>
      </c>
      <c r="N572" t="s">
        <v>51</v>
      </c>
      <c r="O572" t="s">
        <v>52</v>
      </c>
    </row>
    <row r="573" spans="2:15" x14ac:dyDescent="0.25">
      <c r="B573" t="s">
        <v>15</v>
      </c>
      <c r="C573" s="4">
        <v>44790</v>
      </c>
      <c r="D573">
        <v>8</v>
      </c>
      <c r="E573" t="s">
        <v>38</v>
      </c>
      <c r="F573" t="s">
        <v>39</v>
      </c>
      <c r="G573" t="s">
        <v>40</v>
      </c>
      <c r="H573">
        <v>117550</v>
      </c>
      <c r="I573">
        <v>0</v>
      </c>
      <c r="J573">
        <v>117550</v>
      </c>
      <c r="L573">
        <v>33</v>
      </c>
      <c r="M573">
        <v>395280</v>
      </c>
      <c r="N573" t="s">
        <v>51</v>
      </c>
      <c r="O573" t="s">
        <v>52</v>
      </c>
    </row>
    <row r="574" spans="2:15" x14ac:dyDescent="0.25">
      <c r="B574" t="s">
        <v>15</v>
      </c>
      <c r="C574" s="4">
        <v>44790</v>
      </c>
      <c r="D574">
        <v>8</v>
      </c>
      <c r="E574" t="s">
        <v>16</v>
      </c>
      <c r="F574" t="s">
        <v>43</v>
      </c>
      <c r="G574" t="s">
        <v>40</v>
      </c>
      <c r="H574">
        <v>22335</v>
      </c>
      <c r="I574">
        <v>0</v>
      </c>
      <c r="J574">
        <v>22335</v>
      </c>
      <c r="L574">
        <v>33</v>
      </c>
      <c r="M574">
        <v>395280</v>
      </c>
      <c r="N574" t="s">
        <v>51</v>
      </c>
      <c r="O574" t="s">
        <v>52</v>
      </c>
    </row>
    <row r="575" spans="2:15" x14ac:dyDescent="0.25">
      <c r="B575" t="s">
        <v>15</v>
      </c>
      <c r="C575" s="4">
        <v>44790</v>
      </c>
      <c r="D575">
        <v>8</v>
      </c>
      <c r="E575" t="s">
        <v>21</v>
      </c>
      <c r="F575" t="s">
        <v>44</v>
      </c>
      <c r="G575" t="s">
        <v>40</v>
      </c>
      <c r="H575">
        <v>0</v>
      </c>
      <c r="I575">
        <v>139885</v>
      </c>
      <c r="J575">
        <v>-139885</v>
      </c>
      <c r="L575">
        <v>33</v>
      </c>
      <c r="M575">
        <v>395280</v>
      </c>
      <c r="N575" t="s">
        <v>51</v>
      </c>
      <c r="O575" t="s">
        <v>52</v>
      </c>
    </row>
    <row r="576" spans="2:15" x14ac:dyDescent="0.25">
      <c r="B576" t="s">
        <v>15</v>
      </c>
      <c r="C576" s="4">
        <v>44792</v>
      </c>
      <c r="D576">
        <v>8</v>
      </c>
      <c r="E576" t="s">
        <v>38</v>
      </c>
      <c r="F576" t="s">
        <v>39</v>
      </c>
      <c r="G576" t="s">
        <v>40</v>
      </c>
      <c r="H576">
        <v>441100</v>
      </c>
      <c r="I576">
        <v>0</v>
      </c>
      <c r="J576">
        <v>441100</v>
      </c>
      <c r="L576">
        <v>33</v>
      </c>
      <c r="M576">
        <v>395591</v>
      </c>
      <c r="N576" t="s">
        <v>51</v>
      </c>
      <c r="O576" t="s">
        <v>52</v>
      </c>
    </row>
    <row r="577" spans="2:15" x14ac:dyDescent="0.25">
      <c r="B577" t="s">
        <v>15</v>
      </c>
      <c r="C577" s="4">
        <v>44792</v>
      </c>
      <c r="D577">
        <v>8</v>
      </c>
      <c r="E577" t="s">
        <v>16</v>
      </c>
      <c r="F577" t="s">
        <v>43</v>
      </c>
      <c r="G577" t="s">
        <v>40</v>
      </c>
      <c r="H577">
        <v>83809</v>
      </c>
      <c r="I577">
        <v>0</v>
      </c>
      <c r="J577">
        <v>83809</v>
      </c>
      <c r="L577">
        <v>33</v>
      </c>
      <c r="M577">
        <v>395591</v>
      </c>
      <c r="N577" t="s">
        <v>51</v>
      </c>
      <c r="O577" t="s">
        <v>52</v>
      </c>
    </row>
    <row r="578" spans="2:15" x14ac:dyDescent="0.25">
      <c r="B578" t="s">
        <v>15</v>
      </c>
      <c r="C578" s="4">
        <v>44792</v>
      </c>
      <c r="D578">
        <v>8</v>
      </c>
      <c r="E578" t="s">
        <v>21</v>
      </c>
      <c r="F578" t="s">
        <v>44</v>
      </c>
      <c r="G578" t="s">
        <v>40</v>
      </c>
      <c r="H578">
        <v>0</v>
      </c>
      <c r="I578">
        <v>524909</v>
      </c>
      <c r="J578">
        <v>-524909</v>
      </c>
      <c r="L578">
        <v>33</v>
      </c>
      <c r="M578">
        <v>395591</v>
      </c>
      <c r="N578" t="s">
        <v>51</v>
      </c>
      <c r="O578" t="s">
        <v>52</v>
      </c>
    </row>
    <row r="579" spans="2:15" x14ac:dyDescent="0.25">
      <c r="B579" t="s">
        <v>15</v>
      </c>
      <c r="C579" s="4">
        <v>44792</v>
      </c>
      <c r="D579">
        <v>8</v>
      </c>
      <c r="E579" t="s">
        <v>38</v>
      </c>
      <c r="F579" t="s">
        <v>39</v>
      </c>
      <c r="G579" t="s">
        <v>40</v>
      </c>
      <c r="H579">
        <v>7563</v>
      </c>
      <c r="I579">
        <v>0</v>
      </c>
      <c r="J579">
        <v>7563</v>
      </c>
      <c r="L579">
        <v>33</v>
      </c>
      <c r="M579">
        <v>12141</v>
      </c>
      <c r="N579" t="s">
        <v>101</v>
      </c>
      <c r="O579" t="s">
        <v>102</v>
      </c>
    </row>
    <row r="580" spans="2:15" x14ac:dyDescent="0.25">
      <c r="B580" t="s">
        <v>15</v>
      </c>
      <c r="C580" s="4">
        <v>44792</v>
      </c>
      <c r="D580">
        <v>8</v>
      </c>
      <c r="E580" t="s">
        <v>16</v>
      </c>
      <c r="F580" t="s">
        <v>43</v>
      </c>
      <c r="G580" t="s">
        <v>40</v>
      </c>
      <c r="H580">
        <v>1437</v>
      </c>
      <c r="I580">
        <v>0</v>
      </c>
      <c r="J580">
        <v>1437</v>
      </c>
      <c r="L580">
        <v>33</v>
      </c>
      <c r="M580">
        <v>12141</v>
      </c>
      <c r="N580" t="s">
        <v>101</v>
      </c>
      <c r="O580" t="s">
        <v>102</v>
      </c>
    </row>
    <row r="581" spans="2:15" x14ac:dyDescent="0.25">
      <c r="B581" t="s">
        <v>15</v>
      </c>
      <c r="C581" s="4">
        <v>44792</v>
      </c>
      <c r="D581">
        <v>8</v>
      </c>
      <c r="E581" t="s">
        <v>21</v>
      </c>
      <c r="F581" t="s">
        <v>44</v>
      </c>
      <c r="G581" t="s">
        <v>40</v>
      </c>
      <c r="H581">
        <v>0</v>
      </c>
      <c r="I581">
        <v>9000</v>
      </c>
      <c r="J581">
        <v>-9000</v>
      </c>
      <c r="L581">
        <v>33</v>
      </c>
      <c r="M581">
        <v>12141</v>
      </c>
      <c r="N581" t="s">
        <v>101</v>
      </c>
      <c r="O581" t="s">
        <v>102</v>
      </c>
    </row>
    <row r="582" spans="2:15" x14ac:dyDescent="0.25">
      <c r="B582" t="s">
        <v>15</v>
      </c>
      <c r="C582" s="4">
        <v>44792</v>
      </c>
      <c r="D582">
        <v>8</v>
      </c>
      <c r="E582" t="s">
        <v>38</v>
      </c>
      <c r="F582" t="s">
        <v>39</v>
      </c>
      <c r="G582" t="s">
        <v>40</v>
      </c>
      <c r="H582">
        <v>16014</v>
      </c>
      <c r="I582">
        <v>0</v>
      </c>
      <c r="J582">
        <v>16014</v>
      </c>
      <c r="L582">
        <v>33</v>
      </c>
      <c r="M582">
        <v>1004</v>
      </c>
      <c r="N582" t="s">
        <v>73</v>
      </c>
      <c r="O582" t="s">
        <v>74</v>
      </c>
    </row>
    <row r="583" spans="2:15" x14ac:dyDescent="0.25">
      <c r="B583" t="s">
        <v>15</v>
      </c>
      <c r="C583" s="4">
        <v>44792</v>
      </c>
      <c r="D583">
        <v>8</v>
      </c>
      <c r="E583" t="s">
        <v>16</v>
      </c>
      <c r="F583" t="s">
        <v>43</v>
      </c>
      <c r="G583" t="s">
        <v>40</v>
      </c>
      <c r="H583">
        <v>3043</v>
      </c>
      <c r="I583">
        <v>0</v>
      </c>
      <c r="J583">
        <v>3043</v>
      </c>
      <c r="L583">
        <v>33</v>
      </c>
      <c r="M583">
        <v>1004</v>
      </c>
      <c r="N583" t="s">
        <v>73</v>
      </c>
      <c r="O583" t="s">
        <v>74</v>
      </c>
    </row>
    <row r="584" spans="2:15" x14ac:dyDescent="0.25">
      <c r="B584" t="s">
        <v>15</v>
      </c>
      <c r="C584" s="4">
        <v>44792</v>
      </c>
      <c r="D584">
        <v>8</v>
      </c>
      <c r="E584" t="s">
        <v>21</v>
      </c>
      <c r="F584" t="s">
        <v>44</v>
      </c>
      <c r="G584" t="s">
        <v>40</v>
      </c>
      <c r="H584">
        <v>0</v>
      </c>
      <c r="I584">
        <v>19057</v>
      </c>
      <c r="J584">
        <v>-19057</v>
      </c>
      <c r="L584">
        <v>33</v>
      </c>
      <c r="M584">
        <v>1004</v>
      </c>
      <c r="N584" t="s">
        <v>73</v>
      </c>
      <c r="O584" t="s">
        <v>74</v>
      </c>
    </row>
    <row r="585" spans="2:15" x14ac:dyDescent="0.25">
      <c r="B585" t="s">
        <v>15</v>
      </c>
      <c r="C585" s="4">
        <v>44789</v>
      </c>
      <c r="D585">
        <v>8</v>
      </c>
      <c r="E585" t="s">
        <v>38</v>
      </c>
      <c r="F585" t="s">
        <v>39</v>
      </c>
      <c r="G585" t="s">
        <v>40</v>
      </c>
      <c r="H585">
        <v>36101</v>
      </c>
      <c r="I585">
        <v>0</v>
      </c>
      <c r="J585">
        <v>36101</v>
      </c>
      <c r="L585">
        <v>33</v>
      </c>
      <c r="M585">
        <v>10489159</v>
      </c>
      <c r="N585" t="s">
        <v>57</v>
      </c>
      <c r="O585" t="s">
        <v>58</v>
      </c>
    </row>
    <row r="586" spans="2:15" x14ac:dyDescent="0.25">
      <c r="B586" t="s">
        <v>15</v>
      </c>
      <c r="C586" s="4">
        <v>44789</v>
      </c>
      <c r="D586">
        <v>8</v>
      </c>
      <c r="E586" t="s">
        <v>16</v>
      </c>
      <c r="F586" t="s">
        <v>43</v>
      </c>
      <c r="G586" t="s">
        <v>40</v>
      </c>
      <c r="H586">
        <v>6859</v>
      </c>
      <c r="I586">
        <v>0</v>
      </c>
      <c r="J586">
        <v>6859</v>
      </c>
      <c r="L586">
        <v>33</v>
      </c>
      <c r="M586">
        <v>10489159</v>
      </c>
      <c r="N586" t="s">
        <v>57</v>
      </c>
      <c r="O586" t="s">
        <v>58</v>
      </c>
    </row>
    <row r="587" spans="2:15" x14ac:dyDescent="0.25">
      <c r="B587" t="s">
        <v>15</v>
      </c>
      <c r="C587" s="4">
        <v>44789</v>
      </c>
      <c r="D587">
        <v>8</v>
      </c>
      <c r="E587" t="s">
        <v>21</v>
      </c>
      <c r="F587" t="s">
        <v>44</v>
      </c>
      <c r="G587" t="s">
        <v>40</v>
      </c>
      <c r="H587">
        <v>0</v>
      </c>
      <c r="I587">
        <v>42960</v>
      </c>
      <c r="J587">
        <v>-42960</v>
      </c>
      <c r="L587">
        <v>33</v>
      </c>
      <c r="M587">
        <v>10489159</v>
      </c>
      <c r="N587" t="s">
        <v>57</v>
      </c>
      <c r="O587" t="s">
        <v>58</v>
      </c>
    </row>
    <row r="588" spans="2:15" x14ac:dyDescent="0.25">
      <c r="B588" t="s">
        <v>15</v>
      </c>
      <c r="C588" s="4">
        <v>44795</v>
      </c>
      <c r="D588">
        <v>8</v>
      </c>
      <c r="E588" t="s">
        <v>38</v>
      </c>
      <c r="F588" t="s">
        <v>39</v>
      </c>
      <c r="G588" t="s">
        <v>40</v>
      </c>
      <c r="H588">
        <v>9916</v>
      </c>
      <c r="I588">
        <v>0</v>
      </c>
      <c r="J588">
        <v>9916</v>
      </c>
      <c r="L588">
        <v>33</v>
      </c>
      <c r="M588">
        <v>229</v>
      </c>
      <c r="N588" t="s">
        <v>99</v>
      </c>
      <c r="O588" t="s">
        <v>100</v>
      </c>
    </row>
    <row r="589" spans="2:15" x14ac:dyDescent="0.25">
      <c r="B589" t="s">
        <v>15</v>
      </c>
      <c r="C589" s="4">
        <v>44795</v>
      </c>
      <c r="D589">
        <v>8</v>
      </c>
      <c r="E589" t="s">
        <v>16</v>
      </c>
      <c r="F589" t="s">
        <v>43</v>
      </c>
      <c r="G589" t="s">
        <v>40</v>
      </c>
      <c r="H589">
        <v>1884</v>
      </c>
      <c r="I589">
        <v>0</v>
      </c>
      <c r="J589">
        <v>1884</v>
      </c>
      <c r="L589">
        <v>33</v>
      </c>
      <c r="M589">
        <v>229</v>
      </c>
      <c r="N589" t="s">
        <v>99</v>
      </c>
      <c r="O589" t="s">
        <v>100</v>
      </c>
    </row>
    <row r="590" spans="2:15" x14ac:dyDescent="0.25">
      <c r="B590" t="s">
        <v>15</v>
      </c>
      <c r="C590" s="4">
        <v>44795</v>
      </c>
      <c r="D590">
        <v>8</v>
      </c>
      <c r="E590" t="s">
        <v>21</v>
      </c>
      <c r="F590" t="s">
        <v>44</v>
      </c>
      <c r="G590" t="s">
        <v>40</v>
      </c>
      <c r="H590">
        <v>0</v>
      </c>
      <c r="I590">
        <v>11800</v>
      </c>
      <c r="J590">
        <v>-11800</v>
      </c>
      <c r="L590">
        <v>33</v>
      </c>
      <c r="M590">
        <v>229</v>
      </c>
      <c r="N590" t="s">
        <v>99</v>
      </c>
      <c r="O590" t="s">
        <v>100</v>
      </c>
    </row>
    <row r="591" spans="2:15" x14ac:dyDescent="0.25">
      <c r="B591" t="s">
        <v>15</v>
      </c>
      <c r="C591" s="4">
        <v>44802</v>
      </c>
      <c r="D591">
        <v>8</v>
      </c>
      <c r="E591" t="s">
        <v>38</v>
      </c>
      <c r="F591" t="s">
        <v>39</v>
      </c>
      <c r="G591" t="s">
        <v>40</v>
      </c>
      <c r="H591">
        <v>21523</v>
      </c>
      <c r="I591">
        <v>0</v>
      </c>
      <c r="J591">
        <v>21523</v>
      </c>
      <c r="L591">
        <v>33</v>
      </c>
      <c r="M591">
        <v>693619</v>
      </c>
      <c r="N591" t="s">
        <v>49</v>
      </c>
      <c r="O591" t="s">
        <v>50</v>
      </c>
    </row>
    <row r="592" spans="2:15" x14ac:dyDescent="0.25">
      <c r="B592" t="s">
        <v>15</v>
      </c>
      <c r="C592" s="4">
        <v>44802</v>
      </c>
      <c r="D592">
        <v>8</v>
      </c>
      <c r="E592" t="s">
        <v>16</v>
      </c>
      <c r="F592" t="s">
        <v>43</v>
      </c>
      <c r="G592" t="s">
        <v>40</v>
      </c>
      <c r="H592">
        <v>4089</v>
      </c>
      <c r="I592">
        <v>0</v>
      </c>
      <c r="J592">
        <v>4089</v>
      </c>
      <c r="L592">
        <v>33</v>
      </c>
      <c r="M592">
        <v>693619</v>
      </c>
      <c r="N592" t="s">
        <v>49</v>
      </c>
      <c r="O592" t="s">
        <v>50</v>
      </c>
    </row>
    <row r="593" spans="2:15" x14ac:dyDescent="0.25">
      <c r="B593" t="s">
        <v>15</v>
      </c>
      <c r="C593" s="4">
        <v>44802</v>
      </c>
      <c r="D593">
        <v>8</v>
      </c>
      <c r="E593" t="s">
        <v>21</v>
      </c>
      <c r="F593" t="s">
        <v>44</v>
      </c>
      <c r="G593" t="s">
        <v>40</v>
      </c>
      <c r="H593">
        <v>0</v>
      </c>
      <c r="I593">
        <v>25612</v>
      </c>
      <c r="J593">
        <v>-25612</v>
      </c>
      <c r="L593">
        <v>33</v>
      </c>
      <c r="M593">
        <v>693619</v>
      </c>
      <c r="N593" t="s">
        <v>49</v>
      </c>
      <c r="O593" t="s">
        <v>50</v>
      </c>
    </row>
    <row r="594" spans="2:15" x14ac:dyDescent="0.25">
      <c r="B594" t="s">
        <v>15</v>
      </c>
      <c r="C594" s="4">
        <v>44802</v>
      </c>
      <c r="D594">
        <v>8</v>
      </c>
      <c r="E594" t="s">
        <v>38</v>
      </c>
      <c r="F594" t="s">
        <v>39</v>
      </c>
      <c r="G594" t="s">
        <v>40</v>
      </c>
      <c r="H594">
        <v>4512</v>
      </c>
      <c r="I594">
        <v>0</v>
      </c>
      <c r="J594">
        <v>4512</v>
      </c>
      <c r="L594">
        <v>33</v>
      </c>
      <c r="M594">
        <v>1047</v>
      </c>
      <c r="N594" t="s">
        <v>73</v>
      </c>
      <c r="O594" t="s">
        <v>74</v>
      </c>
    </row>
    <row r="595" spans="2:15" x14ac:dyDescent="0.25">
      <c r="B595" t="s">
        <v>15</v>
      </c>
      <c r="C595" s="4">
        <v>44802</v>
      </c>
      <c r="D595">
        <v>8</v>
      </c>
      <c r="E595" t="s">
        <v>16</v>
      </c>
      <c r="F595" t="s">
        <v>43</v>
      </c>
      <c r="G595" t="s">
        <v>40</v>
      </c>
      <c r="H595">
        <v>857</v>
      </c>
      <c r="I595">
        <v>0</v>
      </c>
      <c r="J595">
        <v>857</v>
      </c>
      <c r="L595">
        <v>33</v>
      </c>
      <c r="M595">
        <v>1047</v>
      </c>
      <c r="N595" t="s">
        <v>73</v>
      </c>
      <c r="O595" t="s">
        <v>74</v>
      </c>
    </row>
    <row r="596" spans="2:15" x14ac:dyDescent="0.25">
      <c r="B596" t="s">
        <v>15</v>
      </c>
      <c r="C596" s="4">
        <v>44802</v>
      </c>
      <c r="D596">
        <v>8</v>
      </c>
      <c r="E596" t="s">
        <v>21</v>
      </c>
      <c r="F596" t="s">
        <v>44</v>
      </c>
      <c r="G596" t="s">
        <v>40</v>
      </c>
      <c r="H596">
        <v>0</v>
      </c>
      <c r="I596">
        <v>5369</v>
      </c>
      <c r="J596">
        <v>-5369</v>
      </c>
      <c r="L596">
        <v>33</v>
      </c>
      <c r="M596">
        <v>1047</v>
      </c>
      <c r="N596" t="s">
        <v>73</v>
      </c>
      <c r="O596" t="s">
        <v>74</v>
      </c>
    </row>
    <row r="597" spans="2:15" x14ac:dyDescent="0.25">
      <c r="B597" t="s">
        <v>15</v>
      </c>
      <c r="C597" s="4">
        <v>44789</v>
      </c>
      <c r="D597">
        <v>8</v>
      </c>
      <c r="E597" t="s">
        <v>38</v>
      </c>
      <c r="F597" t="s">
        <v>39</v>
      </c>
      <c r="G597" t="s">
        <v>40</v>
      </c>
      <c r="H597">
        <v>116960</v>
      </c>
      <c r="I597">
        <v>0</v>
      </c>
      <c r="J597">
        <v>116960</v>
      </c>
      <c r="L597">
        <v>34</v>
      </c>
      <c r="M597">
        <v>109</v>
      </c>
      <c r="N597" t="s">
        <v>71</v>
      </c>
      <c r="O597" t="s">
        <v>72</v>
      </c>
    </row>
    <row r="598" spans="2:15" x14ac:dyDescent="0.25">
      <c r="B598" t="s">
        <v>15</v>
      </c>
      <c r="C598" s="4">
        <v>44789</v>
      </c>
      <c r="D598">
        <v>8</v>
      </c>
      <c r="E598" t="s">
        <v>16</v>
      </c>
      <c r="F598" t="s">
        <v>43</v>
      </c>
      <c r="G598" t="s">
        <v>40</v>
      </c>
      <c r="H598">
        <v>0</v>
      </c>
      <c r="I598">
        <v>0</v>
      </c>
      <c r="J598">
        <v>0</v>
      </c>
      <c r="L598">
        <v>34</v>
      </c>
      <c r="M598">
        <v>109</v>
      </c>
      <c r="N598" t="s">
        <v>71</v>
      </c>
      <c r="O598" t="s">
        <v>72</v>
      </c>
    </row>
    <row r="599" spans="2:15" x14ac:dyDescent="0.25">
      <c r="B599" t="s">
        <v>15</v>
      </c>
      <c r="C599" s="4">
        <v>44789</v>
      </c>
      <c r="D599">
        <v>8</v>
      </c>
      <c r="E599" t="s">
        <v>21</v>
      </c>
      <c r="F599" t="s">
        <v>44</v>
      </c>
      <c r="G599" t="s">
        <v>40</v>
      </c>
      <c r="H599">
        <v>0</v>
      </c>
      <c r="I599">
        <v>116960</v>
      </c>
      <c r="J599">
        <v>-116960</v>
      </c>
      <c r="L599">
        <v>34</v>
      </c>
      <c r="M599">
        <v>109</v>
      </c>
      <c r="N599" t="s">
        <v>71</v>
      </c>
      <c r="O599" t="s">
        <v>72</v>
      </c>
    </row>
    <row r="600" spans="2:15" x14ac:dyDescent="0.25">
      <c r="B600" t="s">
        <v>15</v>
      </c>
      <c r="C600" s="4">
        <v>44798</v>
      </c>
      <c r="D600">
        <v>9</v>
      </c>
      <c r="E600" t="s">
        <v>38</v>
      </c>
      <c r="F600" t="s">
        <v>39</v>
      </c>
      <c r="G600" t="s">
        <v>40</v>
      </c>
      <c r="H600">
        <v>15756</v>
      </c>
      <c r="I600">
        <v>0</v>
      </c>
      <c r="J600">
        <v>15756</v>
      </c>
      <c r="L600">
        <v>33</v>
      </c>
      <c r="M600">
        <v>3354</v>
      </c>
      <c r="N600" t="s">
        <v>103</v>
      </c>
      <c r="O600" t="s">
        <v>104</v>
      </c>
    </row>
    <row r="601" spans="2:15" x14ac:dyDescent="0.25">
      <c r="B601" t="s">
        <v>15</v>
      </c>
      <c r="C601" s="4">
        <v>44798</v>
      </c>
      <c r="D601">
        <v>9</v>
      </c>
      <c r="E601" t="s">
        <v>16</v>
      </c>
      <c r="F601" t="s">
        <v>43</v>
      </c>
      <c r="G601" t="s">
        <v>40</v>
      </c>
      <c r="H601">
        <v>2994</v>
      </c>
      <c r="I601">
        <v>0</v>
      </c>
      <c r="J601">
        <v>2994</v>
      </c>
      <c r="L601">
        <v>33</v>
      </c>
      <c r="M601">
        <v>3354</v>
      </c>
      <c r="N601" t="s">
        <v>103</v>
      </c>
      <c r="O601" t="s">
        <v>104</v>
      </c>
    </row>
    <row r="602" spans="2:15" x14ac:dyDescent="0.25">
      <c r="B602" t="s">
        <v>15</v>
      </c>
      <c r="C602" s="4">
        <v>44798</v>
      </c>
      <c r="D602">
        <v>9</v>
      </c>
      <c r="E602" t="s">
        <v>21</v>
      </c>
      <c r="F602" t="s">
        <v>44</v>
      </c>
      <c r="G602" t="s">
        <v>40</v>
      </c>
      <c r="H602">
        <v>0</v>
      </c>
      <c r="I602">
        <v>18750</v>
      </c>
      <c r="J602">
        <v>-18750</v>
      </c>
      <c r="L602">
        <v>33</v>
      </c>
      <c r="M602">
        <v>3354</v>
      </c>
      <c r="N602" t="s">
        <v>103</v>
      </c>
      <c r="O602" t="s">
        <v>104</v>
      </c>
    </row>
    <row r="603" spans="2:15" x14ac:dyDescent="0.25">
      <c r="B603" t="s">
        <v>15</v>
      </c>
      <c r="C603" s="4">
        <v>44805</v>
      </c>
      <c r="D603">
        <v>9</v>
      </c>
      <c r="E603" t="s">
        <v>38</v>
      </c>
      <c r="F603" t="s">
        <v>39</v>
      </c>
      <c r="G603" t="s">
        <v>40</v>
      </c>
      <c r="H603">
        <v>11921</v>
      </c>
      <c r="I603">
        <v>0</v>
      </c>
      <c r="J603">
        <v>11921</v>
      </c>
      <c r="L603">
        <v>33</v>
      </c>
      <c r="M603">
        <v>694359</v>
      </c>
      <c r="N603" t="s">
        <v>49</v>
      </c>
      <c r="O603" t="s">
        <v>50</v>
      </c>
    </row>
    <row r="604" spans="2:15" x14ac:dyDescent="0.25">
      <c r="B604" t="s">
        <v>15</v>
      </c>
      <c r="C604" s="4">
        <v>44805</v>
      </c>
      <c r="D604">
        <v>9</v>
      </c>
      <c r="E604" t="s">
        <v>16</v>
      </c>
      <c r="F604" t="s">
        <v>43</v>
      </c>
      <c r="G604" t="s">
        <v>40</v>
      </c>
      <c r="H604">
        <v>2265</v>
      </c>
      <c r="I604">
        <v>0</v>
      </c>
      <c r="J604">
        <v>2265</v>
      </c>
      <c r="L604">
        <v>33</v>
      </c>
      <c r="M604">
        <v>694359</v>
      </c>
      <c r="N604" t="s">
        <v>49</v>
      </c>
      <c r="O604" t="s">
        <v>50</v>
      </c>
    </row>
    <row r="605" spans="2:15" x14ac:dyDescent="0.25">
      <c r="B605" t="s">
        <v>15</v>
      </c>
      <c r="C605" s="4">
        <v>44805</v>
      </c>
      <c r="D605">
        <v>9</v>
      </c>
      <c r="E605" t="s">
        <v>21</v>
      </c>
      <c r="F605" t="s">
        <v>44</v>
      </c>
      <c r="G605" t="s">
        <v>40</v>
      </c>
      <c r="H605">
        <v>0</v>
      </c>
      <c r="I605">
        <v>14186</v>
      </c>
      <c r="J605">
        <v>-14186</v>
      </c>
      <c r="L605">
        <v>33</v>
      </c>
      <c r="M605">
        <v>694359</v>
      </c>
      <c r="N605" t="s">
        <v>49</v>
      </c>
      <c r="O605" t="s">
        <v>50</v>
      </c>
    </row>
    <row r="606" spans="2:15" x14ac:dyDescent="0.25">
      <c r="B606" t="s">
        <v>15</v>
      </c>
      <c r="C606" s="4">
        <v>44805</v>
      </c>
      <c r="D606">
        <v>9</v>
      </c>
      <c r="E606" t="s">
        <v>38</v>
      </c>
      <c r="F606" t="s">
        <v>39</v>
      </c>
      <c r="G606" t="s">
        <v>40</v>
      </c>
      <c r="H606">
        <v>4118</v>
      </c>
      <c r="I606">
        <v>0</v>
      </c>
      <c r="J606">
        <v>4118</v>
      </c>
      <c r="L606">
        <v>33</v>
      </c>
      <c r="M606">
        <v>243</v>
      </c>
      <c r="N606" t="s">
        <v>99</v>
      </c>
      <c r="O606" t="s">
        <v>100</v>
      </c>
    </row>
    <row r="607" spans="2:15" x14ac:dyDescent="0.25">
      <c r="B607" t="s">
        <v>15</v>
      </c>
      <c r="C607" s="4">
        <v>44805</v>
      </c>
      <c r="D607">
        <v>9</v>
      </c>
      <c r="E607" t="s">
        <v>16</v>
      </c>
      <c r="F607" t="s">
        <v>43</v>
      </c>
      <c r="G607" t="s">
        <v>40</v>
      </c>
      <c r="H607">
        <v>782</v>
      </c>
      <c r="I607">
        <v>0</v>
      </c>
      <c r="J607">
        <v>782</v>
      </c>
      <c r="L607">
        <v>33</v>
      </c>
      <c r="M607">
        <v>243</v>
      </c>
      <c r="N607" t="s">
        <v>99</v>
      </c>
      <c r="O607" t="s">
        <v>100</v>
      </c>
    </row>
    <row r="608" spans="2:15" x14ac:dyDescent="0.25">
      <c r="B608" t="s">
        <v>15</v>
      </c>
      <c r="C608" s="4">
        <v>44805</v>
      </c>
      <c r="D608">
        <v>9</v>
      </c>
      <c r="E608" t="s">
        <v>21</v>
      </c>
      <c r="F608" t="s">
        <v>44</v>
      </c>
      <c r="G608" t="s">
        <v>40</v>
      </c>
      <c r="H608">
        <v>0</v>
      </c>
      <c r="I608">
        <v>4900</v>
      </c>
      <c r="J608">
        <v>-4900</v>
      </c>
      <c r="L608">
        <v>33</v>
      </c>
      <c r="M608">
        <v>243</v>
      </c>
      <c r="N608" t="s">
        <v>99</v>
      </c>
      <c r="O608" t="s">
        <v>100</v>
      </c>
    </row>
    <row r="609" spans="2:15" x14ac:dyDescent="0.25">
      <c r="B609" t="s">
        <v>15</v>
      </c>
      <c r="C609" s="4">
        <v>44810</v>
      </c>
      <c r="D609">
        <v>9</v>
      </c>
      <c r="E609" t="s">
        <v>38</v>
      </c>
      <c r="F609" t="s">
        <v>39</v>
      </c>
      <c r="G609" t="s">
        <v>40</v>
      </c>
      <c r="H609">
        <v>8045</v>
      </c>
      <c r="I609">
        <v>0</v>
      </c>
      <c r="J609">
        <v>8045</v>
      </c>
      <c r="L609">
        <v>33</v>
      </c>
      <c r="M609">
        <v>695175</v>
      </c>
      <c r="N609" t="s">
        <v>49</v>
      </c>
      <c r="O609" t="s">
        <v>50</v>
      </c>
    </row>
    <row r="610" spans="2:15" x14ac:dyDescent="0.25">
      <c r="B610" t="s">
        <v>15</v>
      </c>
      <c r="C610" s="4">
        <v>44810</v>
      </c>
      <c r="D610">
        <v>9</v>
      </c>
      <c r="E610" t="s">
        <v>16</v>
      </c>
      <c r="F610" t="s">
        <v>43</v>
      </c>
      <c r="G610" t="s">
        <v>40</v>
      </c>
      <c r="H610">
        <v>1529</v>
      </c>
      <c r="I610">
        <v>0</v>
      </c>
      <c r="J610">
        <v>1529</v>
      </c>
      <c r="L610">
        <v>33</v>
      </c>
      <c r="M610">
        <v>695175</v>
      </c>
      <c r="N610" t="s">
        <v>49</v>
      </c>
      <c r="O610" t="s">
        <v>50</v>
      </c>
    </row>
    <row r="611" spans="2:15" x14ac:dyDescent="0.25">
      <c r="B611" t="s">
        <v>15</v>
      </c>
      <c r="C611" s="4">
        <v>44810</v>
      </c>
      <c r="D611">
        <v>9</v>
      </c>
      <c r="E611" t="s">
        <v>21</v>
      </c>
      <c r="F611" t="s">
        <v>44</v>
      </c>
      <c r="G611" t="s">
        <v>40</v>
      </c>
      <c r="H611">
        <v>0</v>
      </c>
      <c r="I611">
        <v>9574</v>
      </c>
      <c r="J611">
        <v>-9574</v>
      </c>
      <c r="L611">
        <v>33</v>
      </c>
      <c r="M611">
        <v>695175</v>
      </c>
      <c r="N611" t="s">
        <v>49</v>
      </c>
      <c r="O611" t="s">
        <v>50</v>
      </c>
    </row>
    <row r="612" spans="2:15" x14ac:dyDescent="0.25">
      <c r="B612" t="s">
        <v>15</v>
      </c>
      <c r="C612" s="4">
        <v>44810</v>
      </c>
      <c r="D612">
        <v>9</v>
      </c>
      <c r="E612" t="s">
        <v>38</v>
      </c>
      <c r="F612" t="s">
        <v>39</v>
      </c>
      <c r="G612" t="s">
        <v>40</v>
      </c>
      <c r="H612">
        <v>81130</v>
      </c>
      <c r="I612">
        <v>0</v>
      </c>
      <c r="J612">
        <v>81130</v>
      </c>
      <c r="L612">
        <v>33</v>
      </c>
      <c r="M612">
        <v>398650</v>
      </c>
      <c r="N612" t="s">
        <v>51</v>
      </c>
      <c r="O612" t="s">
        <v>52</v>
      </c>
    </row>
    <row r="613" spans="2:15" x14ac:dyDescent="0.25">
      <c r="B613" t="s">
        <v>15</v>
      </c>
      <c r="C613" s="4">
        <v>44810</v>
      </c>
      <c r="D613">
        <v>9</v>
      </c>
      <c r="E613" t="s">
        <v>16</v>
      </c>
      <c r="F613" t="s">
        <v>43</v>
      </c>
      <c r="G613" t="s">
        <v>40</v>
      </c>
      <c r="H613">
        <v>15415</v>
      </c>
      <c r="I613">
        <v>0</v>
      </c>
      <c r="J613">
        <v>15415</v>
      </c>
      <c r="L613">
        <v>33</v>
      </c>
      <c r="M613">
        <v>398650</v>
      </c>
      <c r="N613" t="s">
        <v>51</v>
      </c>
      <c r="O613" t="s">
        <v>52</v>
      </c>
    </row>
    <row r="614" spans="2:15" x14ac:dyDescent="0.25">
      <c r="B614" t="s">
        <v>15</v>
      </c>
      <c r="C614" s="4">
        <v>44810</v>
      </c>
      <c r="D614">
        <v>9</v>
      </c>
      <c r="E614" t="s">
        <v>21</v>
      </c>
      <c r="F614" t="s">
        <v>44</v>
      </c>
      <c r="G614" t="s">
        <v>40</v>
      </c>
      <c r="H614">
        <v>0</v>
      </c>
      <c r="I614">
        <v>96545</v>
      </c>
      <c r="J614">
        <v>-96545</v>
      </c>
      <c r="L614">
        <v>33</v>
      </c>
      <c r="M614">
        <v>398650</v>
      </c>
      <c r="N614" t="s">
        <v>51</v>
      </c>
      <c r="O614" t="s">
        <v>52</v>
      </c>
    </row>
    <row r="615" spans="2:15" x14ac:dyDescent="0.25">
      <c r="B615" t="s">
        <v>15</v>
      </c>
      <c r="C615" s="4">
        <v>44811</v>
      </c>
      <c r="D615">
        <v>9</v>
      </c>
      <c r="E615" t="s">
        <v>38</v>
      </c>
      <c r="F615" t="s">
        <v>39</v>
      </c>
      <c r="G615" t="s">
        <v>40</v>
      </c>
      <c r="H615">
        <v>114420</v>
      </c>
      <c r="I615">
        <v>0</v>
      </c>
      <c r="J615">
        <v>114420</v>
      </c>
      <c r="L615">
        <v>33</v>
      </c>
      <c r="M615">
        <v>398887</v>
      </c>
      <c r="N615" t="s">
        <v>51</v>
      </c>
      <c r="O615" t="s">
        <v>52</v>
      </c>
    </row>
    <row r="616" spans="2:15" x14ac:dyDescent="0.25">
      <c r="B616" t="s">
        <v>15</v>
      </c>
      <c r="C616" s="4">
        <v>44811</v>
      </c>
      <c r="D616">
        <v>9</v>
      </c>
      <c r="E616" t="s">
        <v>16</v>
      </c>
      <c r="F616" t="s">
        <v>43</v>
      </c>
      <c r="G616" t="s">
        <v>40</v>
      </c>
      <c r="H616">
        <v>21740</v>
      </c>
      <c r="I616">
        <v>0</v>
      </c>
      <c r="J616">
        <v>21740</v>
      </c>
      <c r="L616">
        <v>33</v>
      </c>
      <c r="M616">
        <v>398887</v>
      </c>
      <c r="N616" t="s">
        <v>51</v>
      </c>
      <c r="O616" t="s">
        <v>52</v>
      </c>
    </row>
    <row r="617" spans="2:15" x14ac:dyDescent="0.25">
      <c r="B617" t="s">
        <v>15</v>
      </c>
      <c r="C617" s="4">
        <v>44811</v>
      </c>
      <c r="D617">
        <v>9</v>
      </c>
      <c r="E617" t="s">
        <v>21</v>
      </c>
      <c r="F617" t="s">
        <v>44</v>
      </c>
      <c r="G617" t="s">
        <v>40</v>
      </c>
      <c r="H617">
        <v>0</v>
      </c>
      <c r="I617">
        <v>136160</v>
      </c>
      <c r="J617">
        <v>-136160</v>
      </c>
      <c r="L617">
        <v>33</v>
      </c>
      <c r="M617">
        <v>398887</v>
      </c>
      <c r="N617" t="s">
        <v>51</v>
      </c>
      <c r="O617" t="s">
        <v>52</v>
      </c>
    </row>
    <row r="618" spans="2:15" x14ac:dyDescent="0.25">
      <c r="B618" t="s">
        <v>15</v>
      </c>
      <c r="C618" s="4">
        <v>44812</v>
      </c>
      <c r="D618">
        <v>9</v>
      </c>
      <c r="E618" t="s">
        <v>38</v>
      </c>
      <c r="F618" t="s">
        <v>39</v>
      </c>
      <c r="G618" t="s">
        <v>40</v>
      </c>
      <c r="H618">
        <v>14100</v>
      </c>
      <c r="I618">
        <v>0</v>
      </c>
      <c r="J618">
        <v>14100</v>
      </c>
      <c r="L618">
        <v>33</v>
      </c>
      <c r="M618">
        <v>398963</v>
      </c>
      <c r="N618" t="s">
        <v>51</v>
      </c>
      <c r="O618" t="s">
        <v>52</v>
      </c>
    </row>
    <row r="619" spans="2:15" x14ac:dyDescent="0.25">
      <c r="B619" t="s">
        <v>15</v>
      </c>
      <c r="C619" s="4">
        <v>44812</v>
      </c>
      <c r="D619">
        <v>9</v>
      </c>
      <c r="E619" t="s">
        <v>16</v>
      </c>
      <c r="F619" t="s">
        <v>43</v>
      </c>
      <c r="G619" t="s">
        <v>40</v>
      </c>
      <c r="H619">
        <v>2679</v>
      </c>
      <c r="I619">
        <v>0</v>
      </c>
      <c r="J619">
        <v>2679</v>
      </c>
      <c r="L619">
        <v>33</v>
      </c>
      <c r="M619">
        <v>398963</v>
      </c>
      <c r="N619" t="s">
        <v>51</v>
      </c>
      <c r="O619" t="s">
        <v>52</v>
      </c>
    </row>
    <row r="620" spans="2:15" x14ac:dyDescent="0.25">
      <c r="B620" t="s">
        <v>15</v>
      </c>
      <c r="C620" s="4">
        <v>44812</v>
      </c>
      <c r="D620">
        <v>9</v>
      </c>
      <c r="E620" t="s">
        <v>21</v>
      </c>
      <c r="F620" t="s">
        <v>44</v>
      </c>
      <c r="G620" t="s">
        <v>40</v>
      </c>
      <c r="H620">
        <v>0</v>
      </c>
      <c r="I620">
        <v>16779</v>
      </c>
      <c r="J620">
        <v>-16779</v>
      </c>
      <c r="L620">
        <v>33</v>
      </c>
      <c r="M620">
        <v>398963</v>
      </c>
      <c r="N620" t="s">
        <v>51</v>
      </c>
      <c r="O620" t="s">
        <v>52</v>
      </c>
    </row>
    <row r="621" spans="2:15" x14ac:dyDescent="0.25">
      <c r="B621" t="s">
        <v>15</v>
      </c>
      <c r="C621" s="4">
        <v>44813</v>
      </c>
      <c r="D621">
        <v>9</v>
      </c>
      <c r="E621" t="s">
        <v>38</v>
      </c>
      <c r="F621" t="s">
        <v>39</v>
      </c>
      <c r="G621" t="s">
        <v>40</v>
      </c>
      <c r="H621">
        <v>16100</v>
      </c>
      <c r="I621">
        <v>0</v>
      </c>
      <c r="J621">
        <v>16100</v>
      </c>
      <c r="L621">
        <v>33</v>
      </c>
      <c r="M621">
        <v>399125</v>
      </c>
      <c r="N621" t="s">
        <v>51</v>
      </c>
      <c r="O621" t="s">
        <v>52</v>
      </c>
    </row>
    <row r="622" spans="2:15" x14ac:dyDescent="0.25">
      <c r="B622" t="s">
        <v>15</v>
      </c>
      <c r="C622" s="4">
        <v>44813</v>
      </c>
      <c r="D622">
        <v>9</v>
      </c>
      <c r="E622" t="s">
        <v>16</v>
      </c>
      <c r="F622" t="s">
        <v>43</v>
      </c>
      <c r="G622" t="s">
        <v>40</v>
      </c>
      <c r="H622">
        <v>3059</v>
      </c>
      <c r="I622">
        <v>0</v>
      </c>
      <c r="J622">
        <v>3059</v>
      </c>
      <c r="L622">
        <v>33</v>
      </c>
      <c r="M622">
        <v>399125</v>
      </c>
      <c r="N622" t="s">
        <v>51</v>
      </c>
      <c r="O622" t="s">
        <v>52</v>
      </c>
    </row>
    <row r="623" spans="2:15" x14ac:dyDescent="0.25">
      <c r="B623" t="s">
        <v>15</v>
      </c>
      <c r="C623" s="4">
        <v>44813</v>
      </c>
      <c r="D623">
        <v>9</v>
      </c>
      <c r="E623" t="s">
        <v>21</v>
      </c>
      <c r="F623" t="s">
        <v>44</v>
      </c>
      <c r="G623" t="s">
        <v>40</v>
      </c>
      <c r="H623">
        <v>0</v>
      </c>
      <c r="I623">
        <v>19159</v>
      </c>
      <c r="J623">
        <v>-19159</v>
      </c>
      <c r="L623">
        <v>33</v>
      </c>
      <c r="M623">
        <v>399125</v>
      </c>
      <c r="N623" t="s">
        <v>51</v>
      </c>
      <c r="O623" t="s">
        <v>52</v>
      </c>
    </row>
    <row r="624" spans="2:15" x14ac:dyDescent="0.25">
      <c r="B624" t="s">
        <v>15</v>
      </c>
      <c r="C624" s="4">
        <v>44813</v>
      </c>
      <c r="D624">
        <v>9</v>
      </c>
      <c r="E624" t="s">
        <v>38</v>
      </c>
      <c r="F624" t="s">
        <v>39</v>
      </c>
      <c r="G624" t="s">
        <v>40</v>
      </c>
      <c r="H624">
        <v>496336</v>
      </c>
      <c r="I624">
        <v>0</v>
      </c>
      <c r="J624">
        <v>496336</v>
      </c>
      <c r="L624">
        <v>33</v>
      </c>
      <c r="M624">
        <v>4234</v>
      </c>
      <c r="N624" t="s">
        <v>83</v>
      </c>
      <c r="O624" t="s">
        <v>84</v>
      </c>
    </row>
    <row r="625" spans="2:15" x14ac:dyDescent="0.25">
      <c r="B625" t="s">
        <v>15</v>
      </c>
      <c r="C625" s="4">
        <v>44813</v>
      </c>
      <c r="D625">
        <v>9</v>
      </c>
      <c r="E625" t="s">
        <v>16</v>
      </c>
      <c r="F625" t="s">
        <v>43</v>
      </c>
      <c r="G625" t="s">
        <v>40</v>
      </c>
      <c r="H625">
        <v>94304</v>
      </c>
      <c r="I625">
        <v>0</v>
      </c>
      <c r="J625">
        <v>94304</v>
      </c>
      <c r="L625">
        <v>33</v>
      </c>
      <c r="M625">
        <v>4234</v>
      </c>
      <c r="N625" t="s">
        <v>83</v>
      </c>
      <c r="O625" t="s">
        <v>84</v>
      </c>
    </row>
    <row r="626" spans="2:15" x14ac:dyDescent="0.25">
      <c r="B626" t="s">
        <v>15</v>
      </c>
      <c r="C626" s="4">
        <v>44813</v>
      </c>
      <c r="D626">
        <v>9</v>
      </c>
      <c r="E626" t="s">
        <v>21</v>
      </c>
      <c r="F626" t="s">
        <v>44</v>
      </c>
      <c r="G626" t="s">
        <v>40</v>
      </c>
      <c r="H626">
        <v>0</v>
      </c>
      <c r="I626">
        <v>590640</v>
      </c>
      <c r="J626">
        <v>-590640</v>
      </c>
      <c r="L626">
        <v>33</v>
      </c>
      <c r="M626">
        <v>4234</v>
      </c>
      <c r="N626" t="s">
        <v>83</v>
      </c>
      <c r="O626" t="s">
        <v>84</v>
      </c>
    </row>
    <row r="627" spans="2:15" x14ac:dyDescent="0.25">
      <c r="B627" t="s">
        <v>15</v>
      </c>
      <c r="C627" s="4">
        <v>44813</v>
      </c>
      <c r="D627">
        <v>9</v>
      </c>
      <c r="E627" t="s">
        <v>38</v>
      </c>
      <c r="F627" t="s">
        <v>39</v>
      </c>
      <c r="G627" t="s">
        <v>40</v>
      </c>
      <c r="H627">
        <v>94084</v>
      </c>
      <c r="I627">
        <v>0</v>
      </c>
      <c r="J627">
        <v>94084</v>
      </c>
      <c r="L627">
        <v>33</v>
      </c>
      <c r="M627">
        <v>17208</v>
      </c>
      <c r="N627" t="s">
        <v>105</v>
      </c>
      <c r="O627" t="s">
        <v>106</v>
      </c>
    </row>
    <row r="628" spans="2:15" x14ac:dyDescent="0.25">
      <c r="B628" t="s">
        <v>15</v>
      </c>
      <c r="C628" s="4">
        <v>44813</v>
      </c>
      <c r="D628">
        <v>9</v>
      </c>
      <c r="E628" t="s">
        <v>16</v>
      </c>
      <c r="F628" t="s">
        <v>43</v>
      </c>
      <c r="G628" t="s">
        <v>40</v>
      </c>
      <c r="H628">
        <v>17876</v>
      </c>
      <c r="I628">
        <v>0</v>
      </c>
      <c r="J628">
        <v>17876</v>
      </c>
      <c r="L628">
        <v>33</v>
      </c>
      <c r="M628">
        <v>17208</v>
      </c>
      <c r="N628" t="s">
        <v>105</v>
      </c>
      <c r="O628" t="s">
        <v>106</v>
      </c>
    </row>
    <row r="629" spans="2:15" x14ac:dyDescent="0.25">
      <c r="B629" t="s">
        <v>15</v>
      </c>
      <c r="C629" s="4">
        <v>44813</v>
      </c>
      <c r="D629">
        <v>9</v>
      </c>
      <c r="E629" t="s">
        <v>21</v>
      </c>
      <c r="F629" t="s">
        <v>44</v>
      </c>
      <c r="G629" t="s">
        <v>40</v>
      </c>
      <c r="H629">
        <v>0</v>
      </c>
      <c r="I629">
        <v>111960</v>
      </c>
      <c r="J629">
        <v>-111960</v>
      </c>
      <c r="L629">
        <v>33</v>
      </c>
      <c r="M629">
        <v>17208</v>
      </c>
      <c r="N629" t="s">
        <v>105</v>
      </c>
      <c r="O629" t="s">
        <v>106</v>
      </c>
    </row>
    <row r="630" spans="2:15" x14ac:dyDescent="0.25">
      <c r="B630" t="s">
        <v>15</v>
      </c>
      <c r="C630" s="4">
        <v>44813</v>
      </c>
      <c r="D630">
        <v>9</v>
      </c>
      <c r="E630" t="s">
        <v>38</v>
      </c>
      <c r="F630" t="s">
        <v>39</v>
      </c>
      <c r="G630" t="s">
        <v>40</v>
      </c>
      <c r="H630">
        <v>52252</v>
      </c>
      <c r="I630">
        <v>0</v>
      </c>
      <c r="J630">
        <v>52252</v>
      </c>
      <c r="L630">
        <v>33</v>
      </c>
      <c r="M630">
        <v>36471</v>
      </c>
      <c r="N630" t="s">
        <v>81</v>
      </c>
      <c r="O630" t="s">
        <v>82</v>
      </c>
    </row>
    <row r="631" spans="2:15" x14ac:dyDescent="0.25">
      <c r="B631" t="s">
        <v>15</v>
      </c>
      <c r="C631" s="4">
        <v>44813</v>
      </c>
      <c r="D631">
        <v>9</v>
      </c>
      <c r="E631" t="s">
        <v>16</v>
      </c>
      <c r="F631" t="s">
        <v>43</v>
      </c>
      <c r="G631" t="s">
        <v>40</v>
      </c>
      <c r="H631">
        <v>9928</v>
      </c>
      <c r="I631">
        <v>0</v>
      </c>
      <c r="J631">
        <v>9928</v>
      </c>
      <c r="L631">
        <v>33</v>
      </c>
      <c r="M631">
        <v>36471</v>
      </c>
      <c r="N631" t="s">
        <v>81</v>
      </c>
      <c r="O631" t="s">
        <v>82</v>
      </c>
    </row>
    <row r="632" spans="2:15" x14ac:dyDescent="0.25">
      <c r="B632" t="s">
        <v>15</v>
      </c>
      <c r="C632" s="4">
        <v>44813</v>
      </c>
      <c r="D632">
        <v>9</v>
      </c>
      <c r="E632" t="s">
        <v>21</v>
      </c>
      <c r="F632" t="s">
        <v>44</v>
      </c>
      <c r="G632" t="s">
        <v>40</v>
      </c>
      <c r="H632">
        <v>0</v>
      </c>
      <c r="I632">
        <v>62180</v>
      </c>
      <c r="J632">
        <v>-62180</v>
      </c>
      <c r="L632">
        <v>33</v>
      </c>
      <c r="M632">
        <v>36471</v>
      </c>
      <c r="N632" t="s">
        <v>81</v>
      </c>
      <c r="O632" t="s">
        <v>82</v>
      </c>
    </row>
    <row r="633" spans="2:15" x14ac:dyDescent="0.25">
      <c r="B633" t="s">
        <v>15</v>
      </c>
      <c r="C633" s="4">
        <v>44816</v>
      </c>
      <c r="D633">
        <v>9</v>
      </c>
      <c r="E633" t="s">
        <v>38</v>
      </c>
      <c r="F633" t="s">
        <v>39</v>
      </c>
      <c r="G633" t="s">
        <v>40</v>
      </c>
      <c r="H633">
        <v>58403</v>
      </c>
      <c r="I633">
        <v>0</v>
      </c>
      <c r="J633">
        <v>58403</v>
      </c>
      <c r="L633">
        <v>33</v>
      </c>
      <c r="M633">
        <v>344085</v>
      </c>
      <c r="N633" t="s">
        <v>107</v>
      </c>
      <c r="O633" t="s">
        <v>108</v>
      </c>
    </row>
    <row r="634" spans="2:15" x14ac:dyDescent="0.25">
      <c r="B634" t="s">
        <v>15</v>
      </c>
      <c r="C634" s="4">
        <v>44816</v>
      </c>
      <c r="D634">
        <v>9</v>
      </c>
      <c r="E634" t="s">
        <v>16</v>
      </c>
      <c r="F634" t="s">
        <v>43</v>
      </c>
      <c r="G634" t="s">
        <v>40</v>
      </c>
      <c r="H634">
        <v>11097</v>
      </c>
      <c r="I634">
        <v>0</v>
      </c>
      <c r="J634">
        <v>11097</v>
      </c>
      <c r="L634">
        <v>33</v>
      </c>
      <c r="M634">
        <v>344085</v>
      </c>
      <c r="N634" t="s">
        <v>107</v>
      </c>
      <c r="O634" t="s">
        <v>108</v>
      </c>
    </row>
    <row r="635" spans="2:15" x14ac:dyDescent="0.25">
      <c r="B635" t="s">
        <v>15</v>
      </c>
      <c r="C635" s="4">
        <v>44816</v>
      </c>
      <c r="D635">
        <v>9</v>
      </c>
      <c r="E635" t="s">
        <v>21</v>
      </c>
      <c r="F635" t="s">
        <v>44</v>
      </c>
      <c r="G635" t="s">
        <v>40</v>
      </c>
      <c r="H635">
        <v>0</v>
      </c>
      <c r="I635">
        <v>69500</v>
      </c>
      <c r="J635">
        <v>-69500</v>
      </c>
      <c r="L635">
        <v>33</v>
      </c>
      <c r="M635">
        <v>344085</v>
      </c>
      <c r="N635" t="s">
        <v>107</v>
      </c>
      <c r="O635" t="s">
        <v>108</v>
      </c>
    </row>
    <row r="636" spans="2:15" x14ac:dyDescent="0.25">
      <c r="B636" t="s">
        <v>15</v>
      </c>
      <c r="C636" s="4">
        <v>44816</v>
      </c>
      <c r="D636">
        <v>9</v>
      </c>
      <c r="E636" t="s">
        <v>38</v>
      </c>
      <c r="F636" t="s">
        <v>39</v>
      </c>
      <c r="G636" t="s">
        <v>40</v>
      </c>
      <c r="H636">
        <v>120960</v>
      </c>
      <c r="I636">
        <v>0</v>
      </c>
      <c r="J636">
        <v>120960</v>
      </c>
      <c r="L636">
        <v>33</v>
      </c>
      <c r="M636">
        <v>1949</v>
      </c>
      <c r="N636" t="s">
        <v>77</v>
      </c>
      <c r="O636" t="s">
        <v>78</v>
      </c>
    </row>
    <row r="637" spans="2:15" x14ac:dyDescent="0.25">
      <c r="B637" t="s">
        <v>15</v>
      </c>
      <c r="C637" s="4">
        <v>44816</v>
      </c>
      <c r="D637">
        <v>9</v>
      </c>
      <c r="E637" t="s">
        <v>16</v>
      </c>
      <c r="F637" t="s">
        <v>43</v>
      </c>
      <c r="G637" t="s">
        <v>40</v>
      </c>
      <c r="H637">
        <v>22982</v>
      </c>
      <c r="I637">
        <v>0</v>
      </c>
      <c r="J637">
        <v>22982</v>
      </c>
      <c r="L637">
        <v>33</v>
      </c>
      <c r="M637">
        <v>1949</v>
      </c>
      <c r="N637" t="s">
        <v>77</v>
      </c>
      <c r="O637" t="s">
        <v>78</v>
      </c>
    </row>
    <row r="638" spans="2:15" x14ac:dyDescent="0.25">
      <c r="B638" t="s">
        <v>15</v>
      </c>
      <c r="C638" s="4">
        <v>44816</v>
      </c>
      <c r="D638">
        <v>9</v>
      </c>
      <c r="E638" t="s">
        <v>21</v>
      </c>
      <c r="F638" t="s">
        <v>44</v>
      </c>
      <c r="G638" t="s">
        <v>40</v>
      </c>
      <c r="H638">
        <v>0</v>
      </c>
      <c r="I638">
        <v>143942</v>
      </c>
      <c r="J638">
        <v>-143942</v>
      </c>
      <c r="L638">
        <v>33</v>
      </c>
      <c r="M638">
        <v>1949</v>
      </c>
      <c r="N638" t="s">
        <v>77</v>
      </c>
      <c r="O638" t="s">
        <v>78</v>
      </c>
    </row>
    <row r="639" spans="2:15" x14ac:dyDescent="0.25">
      <c r="B639" t="s">
        <v>15</v>
      </c>
      <c r="C639" s="4">
        <v>44818</v>
      </c>
      <c r="D639">
        <v>9</v>
      </c>
      <c r="E639" t="s">
        <v>38</v>
      </c>
      <c r="F639" t="s">
        <v>39</v>
      </c>
      <c r="G639" t="s">
        <v>40</v>
      </c>
      <c r="H639">
        <v>4708</v>
      </c>
      <c r="I639">
        <v>0</v>
      </c>
      <c r="J639">
        <v>4708</v>
      </c>
      <c r="L639">
        <v>33</v>
      </c>
      <c r="M639">
        <v>696802</v>
      </c>
      <c r="N639" t="s">
        <v>49</v>
      </c>
      <c r="O639" t="s">
        <v>50</v>
      </c>
    </row>
    <row r="640" spans="2:15" x14ac:dyDescent="0.25">
      <c r="B640" t="s">
        <v>15</v>
      </c>
      <c r="C640" s="4">
        <v>44818</v>
      </c>
      <c r="D640">
        <v>9</v>
      </c>
      <c r="E640" t="s">
        <v>16</v>
      </c>
      <c r="F640" t="s">
        <v>43</v>
      </c>
      <c r="G640" t="s">
        <v>40</v>
      </c>
      <c r="H640">
        <v>895</v>
      </c>
      <c r="I640">
        <v>0</v>
      </c>
      <c r="J640">
        <v>895</v>
      </c>
      <c r="L640">
        <v>33</v>
      </c>
      <c r="M640">
        <v>696802</v>
      </c>
      <c r="N640" t="s">
        <v>49</v>
      </c>
      <c r="O640" t="s">
        <v>50</v>
      </c>
    </row>
    <row r="641" spans="2:15" x14ac:dyDescent="0.25">
      <c r="B641" t="s">
        <v>15</v>
      </c>
      <c r="C641" s="4">
        <v>44818</v>
      </c>
      <c r="D641">
        <v>9</v>
      </c>
      <c r="E641" t="s">
        <v>21</v>
      </c>
      <c r="F641" t="s">
        <v>44</v>
      </c>
      <c r="G641" t="s">
        <v>40</v>
      </c>
      <c r="H641">
        <v>0</v>
      </c>
      <c r="I641">
        <v>5603</v>
      </c>
      <c r="J641">
        <v>-5603</v>
      </c>
      <c r="L641">
        <v>33</v>
      </c>
      <c r="M641">
        <v>696802</v>
      </c>
      <c r="N641" t="s">
        <v>49</v>
      </c>
      <c r="O641" t="s">
        <v>50</v>
      </c>
    </row>
    <row r="642" spans="2:15" x14ac:dyDescent="0.25">
      <c r="B642" t="s">
        <v>15</v>
      </c>
      <c r="C642" s="4">
        <v>44819</v>
      </c>
      <c r="D642">
        <v>9</v>
      </c>
      <c r="E642" t="s">
        <v>38</v>
      </c>
      <c r="F642" t="s">
        <v>39</v>
      </c>
      <c r="G642" t="s">
        <v>40</v>
      </c>
      <c r="H642">
        <v>22168</v>
      </c>
      <c r="I642">
        <v>0</v>
      </c>
      <c r="J642">
        <v>22168</v>
      </c>
      <c r="L642">
        <v>33</v>
      </c>
      <c r="M642">
        <v>697032</v>
      </c>
      <c r="N642" t="s">
        <v>49</v>
      </c>
      <c r="O642" t="s">
        <v>50</v>
      </c>
    </row>
    <row r="643" spans="2:15" x14ac:dyDescent="0.25">
      <c r="B643" t="s">
        <v>15</v>
      </c>
      <c r="C643" s="4">
        <v>44819</v>
      </c>
      <c r="D643">
        <v>9</v>
      </c>
      <c r="E643" t="s">
        <v>16</v>
      </c>
      <c r="F643" t="s">
        <v>43</v>
      </c>
      <c r="G643" t="s">
        <v>40</v>
      </c>
      <c r="H643">
        <v>4212</v>
      </c>
      <c r="I643">
        <v>0</v>
      </c>
      <c r="J643">
        <v>4212</v>
      </c>
      <c r="L643">
        <v>33</v>
      </c>
      <c r="M643">
        <v>697032</v>
      </c>
      <c r="N643" t="s">
        <v>49</v>
      </c>
      <c r="O643" t="s">
        <v>50</v>
      </c>
    </row>
    <row r="644" spans="2:15" x14ac:dyDescent="0.25">
      <c r="B644" t="s">
        <v>15</v>
      </c>
      <c r="C644" s="4">
        <v>44819</v>
      </c>
      <c r="D644">
        <v>9</v>
      </c>
      <c r="E644" t="s">
        <v>21</v>
      </c>
      <c r="F644" t="s">
        <v>44</v>
      </c>
      <c r="G644" t="s">
        <v>40</v>
      </c>
      <c r="H644">
        <v>0</v>
      </c>
      <c r="I644">
        <v>26380</v>
      </c>
      <c r="J644">
        <v>-26380</v>
      </c>
      <c r="L644">
        <v>33</v>
      </c>
      <c r="M644">
        <v>697032</v>
      </c>
      <c r="N644" t="s">
        <v>49</v>
      </c>
      <c r="O644" t="s">
        <v>50</v>
      </c>
    </row>
    <row r="645" spans="2:15" x14ac:dyDescent="0.25">
      <c r="B645" t="s">
        <v>15</v>
      </c>
      <c r="C645" s="4">
        <v>44825</v>
      </c>
      <c r="D645">
        <v>9</v>
      </c>
      <c r="E645" t="s">
        <v>38</v>
      </c>
      <c r="F645" t="s">
        <v>39</v>
      </c>
      <c r="G645" t="s">
        <v>40</v>
      </c>
      <c r="H645">
        <v>7723</v>
      </c>
      <c r="I645">
        <v>0</v>
      </c>
      <c r="J645">
        <v>7723</v>
      </c>
      <c r="L645">
        <v>33</v>
      </c>
      <c r="M645">
        <v>36733</v>
      </c>
      <c r="N645" t="s">
        <v>81</v>
      </c>
      <c r="O645" t="s">
        <v>82</v>
      </c>
    </row>
    <row r="646" spans="2:15" x14ac:dyDescent="0.25">
      <c r="B646" t="s">
        <v>15</v>
      </c>
      <c r="C646" s="4">
        <v>44825</v>
      </c>
      <c r="D646">
        <v>9</v>
      </c>
      <c r="E646" t="s">
        <v>16</v>
      </c>
      <c r="F646" t="s">
        <v>43</v>
      </c>
      <c r="G646" t="s">
        <v>40</v>
      </c>
      <c r="H646">
        <v>1467</v>
      </c>
      <c r="I646">
        <v>0</v>
      </c>
      <c r="J646">
        <v>1467</v>
      </c>
      <c r="L646">
        <v>33</v>
      </c>
      <c r="M646">
        <v>36733</v>
      </c>
      <c r="N646" t="s">
        <v>81</v>
      </c>
      <c r="O646" t="s">
        <v>82</v>
      </c>
    </row>
    <row r="647" spans="2:15" x14ac:dyDescent="0.25">
      <c r="B647" t="s">
        <v>15</v>
      </c>
      <c r="C647" s="4">
        <v>44825</v>
      </c>
      <c r="D647">
        <v>9</v>
      </c>
      <c r="E647" t="s">
        <v>21</v>
      </c>
      <c r="F647" t="s">
        <v>44</v>
      </c>
      <c r="G647" t="s">
        <v>40</v>
      </c>
      <c r="H647">
        <v>0</v>
      </c>
      <c r="I647">
        <v>9190</v>
      </c>
      <c r="J647">
        <v>-9190</v>
      </c>
      <c r="L647">
        <v>33</v>
      </c>
      <c r="M647">
        <v>36733</v>
      </c>
      <c r="N647" t="s">
        <v>81</v>
      </c>
      <c r="O647" t="s">
        <v>82</v>
      </c>
    </row>
    <row r="648" spans="2:15" x14ac:dyDescent="0.25">
      <c r="B648" t="s">
        <v>15</v>
      </c>
      <c r="C648" s="4">
        <v>44831</v>
      </c>
      <c r="D648">
        <v>9</v>
      </c>
      <c r="E648" t="s">
        <v>38</v>
      </c>
      <c r="F648" t="s">
        <v>39</v>
      </c>
      <c r="G648" t="s">
        <v>40</v>
      </c>
      <c r="H648">
        <v>310000</v>
      </c>
      <c r="I648">
        <v>0</v>
      </c>
      <c r="J648">
        <v>310000</v>
      </c>
      <c r="L648">
        <v>33</v>
      </c>
      <c r="M648">
        <v>17400</v>
      </c>
      <c r="N648" t="s">
        <v>105</v>
      </c>
      <c r="O648" t="s">
        <v>106</v>
      </c>
    </row>
    <row r="649" spans="2:15" x14ac:dyDescent="0.25">
      <c r="B649" t="s">
        <v>15</v>
      </c>
      <c r="C649" s="4">
        <v>44831</v>
      </c>
      <c r="D649">
        <v>9</v>
      </c>
      <c r="E649" t="s">
        <v>16</v>
      </c>
      <c r="F649" t="s">
        <v>43</v>
      </c>
      <c r="G649" t="s">
        <v>40</v>
      </c>
      <c r="H649">
        <v>58900</v>
      </c>
      <c r="I649">
        <v>0</v>
      </c>
      <c r="J649">
        <v>58900</v>
      </c>
      <c r="L649">
        <v>33</v>
      </c>
      <c r="M649">
        <v>17400</v>
      </c>
      <c r="N649" t="s">
        <v>105</v>
      </c>
      <c r="O649" t="s">
        <v>106</v>
      </c>
    </row>
    <row r="650" spans="2:15" x14ac:dyDescent="0.25">
      <c r="B650" t="s">
        <v>15</v>
      </c>
      <c r="C650" s="4">
        <v>44831</v>
      </c>
      <c r="D650">
        <v>9</v>
      </c>
      <c r="E650" t="s">
        <v>21</v>
      </c>
      <c r="F650" t="s">
        <v>44</v>
      </c>
      <c r="G650" t="s">
        <v>40</v>
      </c>
      <c r="H650">
        <v>0</v>
      </c>
      <c r="I650">
        <v>368900</v>
      </c>
      <c r="J650">
        <v>-368900</v>
      </c>
      <c r="L650">
        <v>33</v>
      </c>
      <c r="M650">
        <v>17400</v>
      </c>
      <c r="N650" t="s">
        <v>105</v>
      </c>
      <c r="O650" t="s">
        <v>106</v>
      </c>
    </row>
    <row r="651" spans="2:15" x14ac:dyDescent="0.25">
      <c r="B651" t="s">
        <v>15</v>
      </c>
      <c r="C651" s="4">
        <v>44832</v>
      </c>
      <c r="D651">
        <v>9</v>
      </c>
      <c r="E651" t="s">
        <v>38</v>
      </c>
      <c r="F651" t="s">
        <v>39</v>
      </c>
      <c r="G651" t="s">
        <v>40</v>
      </c>
      <c r="H651">
        <v>167720</v>
      </c>
      <c r="I651">
        <v>0</v>
      </c>
      <c r="J651">
        <v>167720</v>
      </c>
      <c r="L651">
        <v>33</v>
      </c>
      <c r="M651">
        <v>10671</v>
      </c>
      <c r="N651" t="s">
        <v>109</v>
      </c>
      <c r="O651" t="s">
        <v>110</v>
      </c>
    </row>
    <row r="652" spans="2:15" x14ac:dyDescent="0.25">
      <c r="B652" t="s">
        <v>15</v>
      </c>
      <c r="C652" s="4">
        <v>44832</v>
      </c>
      <c r="D652">
        <v>9</v>
      </c>
      <c r="E652" t="s">
        <v>16</v>
      </c>
      <c r="F652" t="s">
        <v>43</v>
      </c>
      <c r="G652" t="s">
        <v>40</v>
      </c>
      <c r="H652">
        <v>31867</v>
      </c>
      <c r="I652">
        <v>0</v>
      </c>
      <c r="J652">
        <v>31867</v>
      </c>
      <c r="L652">
        <v>33</v>
      </c>
      <c r="M652">
        <v>10671</v>
      </c>
      <c r="N652" t="s">
        <v>109</v>
      </c>
      <c r="O652" t="s">
        <v>110</v>
      </c>
    </row>
    <row r="653" spans="2:15" x14ac:dyDescent="0.25">
      <c r="B653" t="s">
        <v>15</v>
      </c>
      <c r="C653" s="4">
        <v>44832</v>
      </c>
      <c r="D653">
        <v>9</v>
      </c>
      <c r="E653" t="s">
        <v>21</v>
      </c>
      <c r="F653" t="s">
        <v>44</v>
      </c>
      <c r="G653" t="s">
        <v>40</v>
      </c>
      <c r="H653">
        <v>0</v>
      </c>
      <c r="I653">
        <v>199587</v>
      </c>
      <c r="J653">
        <v>-199587</v>
      </c>
      <c r="L653">
        <v>33</v>
      </c>
      <c r="M653">
        <v>10671</v>
      </c>
      <c r="N653" t="s">
        <v>109</v>
      </c>
      <c r="O653" t="s">
        <v>110</v>
      </c>
    </row>
    <row r="654" spans="2:15" x14ac:dyDescent="0.25">
      <c r="B654" t="s">
        <v>15</v>
      </c>
      <c r="C654" s="4">
        <v>44819</v>
      </c>
      <c r="D654">
        <v>9</v>
      </c>
      <c r="E654" t="s">
        <v>38</v>
      </c>
      <c r="F654" t="s">
        <v>39</v>
      </c>
      <c r="G654" t="s">
        <v>40</v>
      </c>
      <c r="H654">
        <v>118426</v>
      </c>
      <c r="I654">
        <v>0</v>
      </c>
      <c r="J654">
        <v>118426</v>
      </c>
      <c r="L654">
        <v>34</v>
      </c>
      <c r="M654">
        <v>115</v>
      </c>
      <c r="N654" t="s">
        <v>71</v>
      </c>
      <c r="O654" t="s">
        <v>72</v>
      </c>
    </row>
    <row r="655" spans="2:15" x14ac:dyDescent="0.25">
      <c r="B655" t="s">
        <v>15</v>
      </c>
      <c r="C655" s="4">
        <v>44819</v>
      </c>
      <c r="D655">
        <v>9</v>
      </c>
      <c r="E655" t="s">
        <v>16</v>
      </c>
      <c r="F655" t="s">
        <v>43</v>
      </c>
      <c r="G655" t="s">
        <v>40</v>
      </c>
      <c r="H655">
        <v>0</v>
      </c>
      <c r="I655">
        <v>0</v>
      </c>
      <c r="J655">
        <v>0</v>
      </c>
      <c r="L655">
        <v>34</v>
      </c>
      <c r="M655">
        <v>115</v>
      </c>
      <c r="N655" t="s">
        <v>71</v>
      </c>
      <c r="O655" t="s">
        <v>72</v>
      </c>
    </row>
    <row r="656" spans="2:15" x14ac:dyDescent="0.25">
      <c r="B656" t="s">
        <v>15</v>
      </c>
      <c r="C656" s="4">
        <v>44819</v>
      </c>
      <c r="D656">
        <v>9</v>
      </c>
      <c r="E656" t="s">
        <v>21</v>
      </c>
      <c r="F656" t="s">
        <v>44</v>
      </c>
      <c r="G656" t="s">
        <v>40</v>
      </c>
      <c r="H656">
        <v>0</v>
      </c>
      <c r="I656">
        <v>118426</v>
      </c>
      <c r="J656">
        <v>-118426</v>
      </c>
      <c r="L656">
        <v>34</v>
      </c>
      <c r="M656">
        <v>115</v>
      </c>
      <c r="N656" t="s">
        <v>71</v>
      </c>
      <c r="O656" t="s">
        <v>72</v>
      </c>
    </row>
    <row r="657" spans="2:15" x14ac:dyDescent="0.25">
      <c r="B657" t="s">
        <v>15</v>
      </c>
      <c r="C657" s="4">
        <v>44820</v>
      </c>
      <c r="D657">
        <v>10</v>
      </c>
      <c r="E657" t="s">
        <v>38</v>
      </c>
      <c r="F657" t="s">
        <v>39</v>
      </c>
      <c r="G657" t="s">
        <v>40</v>
      </c>
      <c r="H657">
        <v>36101</v>
      </c>
      <c r="I657">
        <v>0</v>
      </c>
      <c r="J657">
        <v>36101</v>
      </c>
      <c r="L657">
        <v>33</v>
      </c>
      <c r="M657">
        <v>10661140</v>
      </c>
      <c r="N657" t="s">
        <v>57</v>
      </c>
      <c r="O657" t="s">
        <v>58</v>
      </c>
    </row>
    <row r="658" spans="2:15" x14ac:dyDescent="0.25">
      <c r="B658" t="s">
        <v>15</v>
      </c>
      <c r="C658" s="4">
        <v>44820</v>
      </c>
      <c r="D658">
        <v>10</v>
      </c>
      <c r="E658" t="s">
        <v>16</v>
      </c>
      <c r="F658" t="s">
        <v>43</v>
      </c>
      <c r="G658" t="s">
        <v>40</v>
      </c>
      <c r="H658">
        <v>6859</v>
      </c>
      <c r="I658">
        <v>0</v>
      </c>
      <c r="J658">
        <v>6859</v>
      </c>
      <c r="L658">
        <v>33</v>
      </c>
      <c r="M658">
        <v>10661140</v>
      </c>
      <c r="N658" t="s">
        <v>57</v>
      </c>
      <c r="O658" t="s">
        <v>58</v>
      </c>
    </row>
    <row r="659" spans="2:15" x14ac:dyDescent="0.25">
      <c r="B659" t="s">
        <v>15</v>
      </c>
      <c r="C659" s="4">
        <v>44820</v>
      </c>
      <c r="D659">
        <v>10</v>
      </c>
      <c r="E659" t="s">
        <v>21</v>
      </c>
      <c r="F659" t="s">
        <v>44</v>
      </c>
      <c r="G659" t="s">
        <v>40</v>
      </c>
      <c r="H659">
        <v>0</v>
      </c>
      <c r="I659">
        <v>42960</v>
      </c>
      <c r="J659">
        <v>-42960</v>
      </c>
      <c r="L659">
        <v>33</v>
      </c>
      <c r="M659">
        <v>10661140</v>
      </c>
      <c r="N659" t="s">
        <v>57</v>
      </c>
      <c r="O659" t="s">
        <v>58</v>
      </c>
    </row>
    <row r="660" spans="2:15" x14ac:dyDescent="0.25">
      <c r="B660" t="s">
        <v>15</v>
      </c>
      <c r="C660" s="4">
        <v>44837</v>
      </c>
      <c r="D660">
        <v>10</v>
      </c>
      <c r="E660" t="s">
        <v>38</v>
      </c>
      <c r="F660" t="s">
        <v>39</v>
      </c>
      <c r="G660" t="s">
        <v>40</v>
      </c>
      <c r="H660">
        <v>19155</v>
      </c>
      <c r="I660">
        <v>0</v>
      </c>
      <c r="J660">
        <v>19155</v>
      </c>
      <c r="L660">
        <v>33</v>
      </c>
      <c r="M660">
        <v>268389</v>
      </c>
      <c r="N660" t="s">
        <v>111</v>
      </c>
      <c r="O660" t="s">
        <v>112</v>
      </c>
    </row>
    <row r="661" spans="2:15" x14ac:dyDescent="0.25">
      <c r="B661" t="s">
        <v>15</v>
      </c>
      <c r="C661" s="4">
        <v>44837</v>
      </c>
      <c r="D661">
        <v>10</v>
      </c>
      <c r="E661" t="s">
        <v>16</v>
      </c>
      <c r="F661" t="s">
        <v>43</v>
      </c>
      <c r="G661" t="s">
        <v>40</v>
      </c>
      <c r="H661">
        <v>3639</v>
      </c>
      <c r="I661">
        <v>0</v>
      </c>
      <c r="J661">
        <v>3639</v>
      </c>
      <c r="L661">
        <v>33</v>
      </c>
      <c r="M661">
        <v>268389</v>
      </c>
      <c r="N661" t="s">
        <v>111</v>
      </c>
      <c r="O661" t="s">
        <v>112</v>
      </c>
    </row>
    <row r="662" spans="2:15" x14ac:dyDescent="0.25">
      <c r="B662" t="s">
        <v>15</v>
      </c>
      <c r="C662" s="4">
        <v>44837</v>
      </c>
      <c r="D662">
        <v>10</v>
      </c>
      <c r="E662" t="s">
        <v>21</v>
      </c>
      <c r="F662" t="s">
        <v>44</v>
      </c>
      <c r="G662" t="s">
        <v>40</v>
      </c>
      <c r="H662">
        <v>0</v>
      </c>
      <c r="I662">
        <v>22794</v>
      </c>
      <c r="J662">
        <v>-22794</v>
      </c>
      <c r="L662">
        <v>33</v>
      </c>
      <c r="M662">
        <v>268389</v>
      </c>
      <c r="N662" t="s">
        <v>111</v>
      </c>
      <c r="O662" t="s">
        <v>112</v>
      </c>
    </row>
    <row r="663" spans="2:15" x14ac:dyDescent="0.25">
      <c r="B663" t="s">
        <v>15</v>
      </c>
      <c r="C663" s="4">
        <v>44838</v>
      </c>
      <c r="D663">
        <v>10</v>
      </c>
      <c r="E663" t="s">
        <v>38</v>
      </c>
      <c r="F663" t="s">
        <v>39</v>
      </c>
      <c r="G663" t="s">
        <v>40</v>
      </c>
      <c r="H663">
        <v>18840</v>
      </c>
      <c r="I663">
        <v>0</v>
      </c>
      <c r="J663">
        <v>18840</v>
      </c>
      <c r="L663">
        <v>33</v>
      </c>
      <c r="M663">
        <v>1273</v>
      </c>
      <c r="N663" t="s">
        <v>73</v>
      </c>
      <c r="O663" t="s">
        <v>74</v>
      </c>
    </row>
    <row r="664" spans="2:15" x14ac:dyDescent="0.25">
      <c r="B664" t="s">
        <v>15</v>
      </c>
      <c r="C664" s="4">
        <v>44838</v>
      </c>
      <c r="D664">
        <v>10</v>
      </c>
      <c r="E664" t="s">
        <v>16</v>
      </c>
      <c r="F664" t="s">
        <v>43</v>
      </c>
      <c r="G664" t="s">
        <v>40</v>
      </c>
      <c r="H664">
        <v>3580</v>
      </c>
      <c r="I664">
        <v>0</v>
      </c>
      <c r="J664">
        <v>3580</v>
      </c>
      <c r="L664">
        <v>33</v>
      </c>
      <c r="M664">
        <v>1273</v>
      </c>
      <c r="N664" t="s">
        <v>73</v>
      </c>
      <c r="O664" t="s">
        <v>74</v>
      </c>
    </row>
    <row r="665" spans="2:15" x14ac:dyDescent="0.25">
      <c r="B665" t="s">
        <v>15</v>
      </c>
      <c r="C665" s="4">
        <v>44838</v>
      </c>
      <c r="D665">
        <v>10</v>
      </c>
      <c r="E665" t="s">
        <v>21</v>
      </c>
      <c r="F665" t="s">
        <v>44</v>
      </c>
      <c r="G665" t="s">
        <v>40</v>
      </c>
      <c r="H665">
        <v>0</v>
      </c>
      <c r="I665">
        <v>22420</v>
      </c>
      <c r="J665">
        <v>-22420</v>
      </c>
      <c r="L665">
        <v>33</v>
      </c>
      <c r="M665">
        <v>1273</v>
      </c>
      <c r="N665" t="s">
        <v>73</v>
      </c>
      <c r="O665" t="s">
        <v>74</v>
      </c>
    </row>
    <row r="666" spans="2:15" x14ac:dyDescent="0.25">
      <c r="B666" t="s">
        <v>15</v>
      </c>
      <c r="C666" s="4">
        <v>44838</v>
      </c>
      <c r="D666">
        <v>10</v>
      </c>
      <c r="E666" t="s">
        <v>38</v>
      </c>
      <c r="F666" t="s">
        <v>39</v>
      </c>
      <c r="G666" t="s">
        <v>40</v>
      </c>
      <c r="H666">
        <v>117437</v>
      </c>
      <c r="I666">
        <v>0</v>
      </c>
      <c r="J666">
        <v>117437</v>
      </c>
      <c r="L666">
        <v>33</v>
      </c>
      <c r="M666">
        <v>4806</v>
      </c>
      <c r="N666" t="s">
        <v>83</v>
      </c>
      <c r="O666" t="s">
        <v>84</v>
      </c>
    </row>
    <row r="667" spans="2:15" x14ac:dyDescent="0.25">
      <c r="B667" t="s">
        <v>15</v>
      </c>
      <c r="C667" s="4">
        <v>44838</v>
      </c>
      <c r="D667">
        <v>10</v>
      </c>
      <c r="E667" t="s">
        <v>16</v>
      </c>
      <c r="F667" t="s">
        <v>43</v>
      </c>
      <c r="G667" t="s">
        <v>40</v>
      </c>
      <c r="H667">
        <v>22313</v>
      </c>
      <c r="I667">
        <v>0</v>
      </c>
      <c r="J667">
        <v>22313</v>
      </c>
      <c r="L667">
        <v>33</v>
      </c>
      <c r="M667">
        <v>4806</v>
      </c>
      <c r="N667" t="s">
        <v>83</v>
      </c>
      <c r="O667" t="s">
        <v>84</v>
      </c>
    </row>
    <row r="668" spans="2:15" x14ac:dyDescent="0.25">
      <c r="B668" t="s">
        <v>15</v>
      </c>
      <c r="C668" s="4">
        <v>44838</v>
      </c>
      <c r="D668">
        <v>10</v>
      </c>
      <c r="E668" t="s">
        <v>21</v>
      </c>
      <c r="F668" t="s">
        <v>44</v>
      </c>
      <c r="G668" t="s">
        <v>40</v>
      </c>
      <c r="H668">
        <v>0</v>
      </c>
      <c r="I668">
        <v>139750</v>
      </c>
      <c r="J668">
        <v>-139750</v>
      </c>
      <c r="L668">
        <v>33</v>
      </c>
      <c r="M668">
        <v>4806</v>
      </c>
      <c r="N668" t="s">
        <v>83</v>
      </c>
      <c r="O668" t="s">
        <v>84</v>
      </c>
    </row>
    <row r="669" spans="2:15" x14ac:dyDescent="0.25">
      <c r="B669" t="s">
        <v>15</v>
      </c>
      <c r="C669" s="4">
        <v>44838</v>
      </c>
      <c r="D669">
        <v>10</v>
      </c>
      <c r="E669" t="s">
        <v>38</v>
      </c>
      <c r="F669" t="s">
        <v>39</v>
      </c>
      <c r="G669" t="s">
        <v>40</v>
      </c>
      <c r="H669">
        <v>61807</v>
      </c>
      <c r="I669">
        <v>0</v>
      </c>
      <c r="J669">
        <v>61807</v>
      </c>
      <c r="L669">
        <v>33</v>
      </c>
      <c r="M669">
        <v>163879</v>
      </c>
      <c r="N669" t="s">
        <v>45</v>
      </c>
      <c r="O669" t="s">
        <v>46</v>
      </c>
    </row>
    <row r="670" spans="2:15" x14ac:dyDescent="0.25">
      <c r="B670" t="s">
        <v>15</v>
      </c>
      <c r="C670" s="4">
        <v>44838</v>
      </c>
      <c r="D670">
        <v>10</v>
      </c>
      <c r="E670" t="s">
        <v>16</v>
      </c>
      <c r="F670" t="s">
        <v>43</v>
      </c>
      <c r="G670" t="s">
        <v>40</v>
      </c>
      <c r="H670">
        <v>11743</v>
      </c>
      <c r="I670">
        <v>0</v>
      </c>
      <c r="J670">
        <v>11743</v>
      </c>
      <c r="L670">
        <v>33</v>
      </c>
      <c r="M670">
        <v>163879</v>
      </c>
      <c r="N670" t="s">
        <v>45</v>
      </c>
      <c r="O670" t="s">
        <v>46</v>
      </c>
    </row>
    <row r="671" spans="2:15" x14ac:dyDescent="0.25">
      <c r="B671" t="s">
        <v>15</v>
      </c>
      <c r="C671" s="4">
        <v>44838</v>
      </c>
      <c r="D671">
        <v>10</v>
      </c>
      <c r="E671" t="s">
        <v>21</v>
      </c>
      <c r="F671" t="s">
        <v>44</v>
      </c>
      <c r="G671" t="s">
        <v>40</v>
      </c>
      <c r="H671">
        <v>0</v>
      </c>
      <c r="I671">
        <v>73550</v>
      </c>
      <c r="J671">
        <v>-73550</v>
      </c>
      <c r="L671">
        <v>33</v>
      </c>
      <c r="M671">
        <v>163879</v>
      </c>
      <c r="N671" t="s">
        <v>45</v>
      </c>
      <c r="O671" t="s">
        <v>46</v>
      </c>
    </row>
    <row r="672" spans="2:15" x14ac:dyDescent="0.25">
      <c r="B672" t="s">
        <v>15</v>
      </c>
      <c r="C672" s="4">
        <v>44838</v>
      </c>
      <c r="D672">
        <v>10</v>
      </c>
      <c r="E672" t="s">
        <v>38</v>
      </c>
      <c r="F672" t="s">
        <v>39</v>
      </c>
      <c r="G672" t="s">
        <v>40</v>
      </c>
      <c r="H672">
        <v>9916</v>
      </c>
      <c r="I672">
        <v>0</v>
      </c>
      <c r="J672">
        <v>9916</v>
      </c>
      <c r="L672">
        <v>33</v>
      </c>
      <c r="M672">
        <v>273</v>
      </c>
      <c r="N672" t="s">
        <v>99</v>
      </c>
      <c r="O672" t="s">
        <v>100</v>
      </c>
    </row>
    <row r="673" spans="2:15" x14ac:dyDescent="0.25">
      <c r="B673" t="s">
        <v>15</v>
      </c>
      <c r="C673" s="4">
        <v>44838</v>
      </c>
      <c r="D673">
        <v>10</v>
      </c>
      <c r="E673" t="s">
        <v>16</v>
      </c>
      <c r="F673" t="s">
        <v>43</v>
      </c>
      <c r="G673" t="s">
        <v>40</v>
      </c>
      <c r="H673">
        <v>1884</v>
      </c>
      <c r="I673">
        <v>0</v>
      </c>
      <c r="J673">
        <v>1884</v>
      </c>
      <c r="L673">
        <v>33</v>
      </c>
      <c r="M673">
        <v>273</v>
      </c>
      <c r="N673" t="s">
        <v>99</v>
      </c>
      <c r="O673" t="s">
        <v>100</v>
      </c>
    </row>
    <row r="674" spans="2:15" x14ac:dyDescent="0.25">
      <c r="B674" t="s">
        <v>15</v>
      </c>
      <c r="C674" s="4">
        <v>44838</v>
      </c>
      <c r="D674">
        <v>10</v>
      </c>
      <c r="E674" t="s">
        <v>21</v>
      </c>
      <c r="F674" t="s">
        <v>44</v>
      </c>
      <c r="G674" t="s">
        <v>40</v>
      </c>
      <c r="H674">
        <v>0</v>
      </c>
      <c r="I674">
        <v>11800</v>
      </c>
      <c r="J674">
        <v>-11800</v>
      </c>
      <c r="L674">
        <v>33</v>
      </c>
      <c r="M674">
        <v>273</v>
      </c>
      <c r="N674" t="s">
        <v>99</v>
      </c>
      <c r="O674" t="s">
        <v>100</v>
      </c>
    </row>
    <row r="675" spans="2:15" x14ac:dyDescent="0.25">
      <c r="B675" t="s">
        <v>15</v>
      </c>
      <c r="C675" s="4">
        <v>44839</v>
      </c>
      <c r="D675">
        <v>10</v>
      </c>
      <c r="E675" t="s">
        <v>38</v>
      </c>
      <c r="F675" t="s">
        <v>39</v>
      </c>
      <c r="G675" t="s">
        <v>40</v>
      </c>
      <c r="H675">
        <v>154623</v>
      </c>
      <c r="I675">
        <v>0</v>
      </c>
      <c r="J675">
        <v>154623</v>
      </c>
      <c r="L675">
        <v>33</v>
      </c>
      <c r="M675">
        <v>4844</v>
      </c>
      <c r="N675" t="s">
        <v>83</v>
      </c>
      <c r="O675" t="s">
        <v>84</v>
      </c>
    </row>
    <row r="676" spans="2:15" x14ac:dyDescent="0.25">
      <c r="B676" t="s">
        <v>15</v>
      </c>
      <c r="C676" s="4">
        <v>44839</v>
      </c>
      <c r="D676">
        <v>10</v>
      </c>
      <c r="E676" t="s">
        <v>16</v>
      </c>
      <c r="F676" t="s">
        <v>43</v>
      </c>
      <c r="G676" t="s">
        <v>40</v>
      </c>
      <c r="H676">
        <v>29378</v>
      </c>
      <c r="I676">
        <v>0</v>
      </c>
      <c r="J676">
        <v>29378</v>
      </c>
      <c r="L676">
        <v>33</v>
      </c>
      <c r="M676">
        <v>4844</v>
      </c>
      <c r="N676" t="s">
        <v>83</v>
      </c>
      <c r="O676" t="s">
        <v>84</v>
      </c>
    </row>
    <row r="677" spans="2:15" x14ac:dyDescent="0.25">
      <c r="B677" t="s">
        <v>15</v>
      </c>
      <c r="C677" s="4">
        <v>44839</v>
      </c>
      <c r="D677">
        <v>10</v>
      </c>
      <c r="E677" t="s">
        <v>21</v>
      </c>
      <c r="F677" t="s">
        <v>44</v>
      </c>
      <c r="G677" t="s">
        <v>40</v>
      </c>
      <c r="H677">
        <v>0</v>
      </c>
      <c r="I677">
        <v>184001</v>
      </c>
      <c r="J677">
        <v>-184001</v>
      </c>
      <c r="L677">
        <v>33</v>
      </c>
      <c r="M677">
        <v>4844</v>
      </c>
      <c r="N677" t="s">
        <v>83</v>
      </c>
      <c r="O677" t="s">
        <v>84</v>
      </c>
    </row>
    <row r="678" spans="2:15" x14ac:dyDescent="0.25">
      <c r="B678" t="s">
        <v>15</v>
      </c>
      <c r="C678" s="4">
        <v>44839</v>
      </c>
      <c r="D678">
        <v>10</v>
      </c>
      <c r="E678" t="s">
        <v>38</v>
      </c>
      <c r="F678" t="s">
        <v>39</v>
      </c>
      <c r="G678" t="s">
        <v>40</v>
      </c>
      <c r="H678">
        <v>29000</v>
      </c>
      <c r="I678">
        <v>0</v>
      </c>
      <c r="J678">
        <v>29000</v>
      </c>
      <c r="L678">
        <v>33</v>
      </c>
      <c r="M678">
        <v>402033</v>
      </c>
      <c r="N678" t="s">
        <v>51</v>
      </c>
      <c r="O678" t="s">
        <v>52</v>
      </c>
    </row>
    <row r="679" spans="2:15" x14ac:dyDescent="0.25">
      <c r="B679" t="s">
        <v>15</v>
      </c>
      <c r="C679" s="4">
        <v>44839</v>
      </c>
      <c r="D679">
        <v>10</v>
      </c>
      <c r="E679" t="s">
        <v>16</v>
      </c>
      <c r="F679" t="s">
        <v>43</v>
      </c>
      <c r="G679" t="s">
        <v>40</v>
      </c>
      <c r="H679">
        <v>5510</v>
      </c>
      <c r="I679">
        <v>0</v>
      </c>
      <c r="J679">
        <v>5510</v>
      </c>
      <c r="L679">
        <v>33</v>
      </c>
      <c r="M679">
        <v>402033</v>
      </c>
      <c r="N679" t="s">
        <v>51</v>
      </c>
      <c r="O679" t="s">
        <v>52</v>
      </c>
    </row>
    <row r="680" spans="2:15" x14ac:dyDescent="0.25">
      <c r="B680" t="s">
        <v>15</v>
      </c>
      <c r="C680" s="4">
        <v>44839</v>
      </c>
      <c r="D680">
        <v>10</v>
      </c>
      <c r="E680" t="s">
        <v>21</v>
      </c>
      <c r="F680" t="s">
        <v>44</v>
      </c>
      <c r="G680" t="s">
        <v>40</v>
      </c>
      <c r="H680">
        <v>0</v>
      </c>
      <c r="I680">
        <v>34510</v>
      </c>
      <c r="J680">
        <v>-34510</v>
      </c>
      <c r="L680">
        <v>33</v>
      </c>
      <c r="M680">
        <v>402033</v>
      </c>
      <c r="N680" t="s">
        <v>51</v>
      </c>
      <c r="O680" t="s">
        <v>52</v>
      </c>
    </row>
    <row r="681" spans="2:15" x14ac:dyDescent="0.25">
      <c r="B681" t="s">
        <v>15</v>
      </c>
      <c r="C681" s="4">
        <v>44840</v>
      </c>
      <c r="D681">
        <v>10</v>
      </c>
      <c r="E681" t="s">
        <v>38</v>
      </c>
      <c r="F681" t="s">
        <v>39</v>
      </c>
      <c r="G681" t="s">
        <v>40</v>
      </c>
      <c r="H681">
        <v>25202</v>
      </c>
      <c r="I681">
        <v>0</v>
      </c>
      <c r="J681">
        <v>25202</v>
      </c>
      <c r="L681">
        <v>33</v>
      </c>
      <c r="M681">
        <v>1717094</v>
      </c>
      <c r="N681" t="s">
        <v>113</v>
      </c>
      <c r="O681" t="s">
        <v>114</v>
      </c>
    </row>
    <row r="682" spans="2:15" x14ac:dyDescent="0.25">
      <c r="B682" t="s">
        <v>15</v>
      </c>
      <c r="C682" s="4">
        <v>44840</v>
      </c>
      <c r="D682">
        <v>10</v>
      </c>
      <c r="E682" t="s">
        <v>16</v>
      </c>
      <c r="F682" t="s">
        <v>43</v>
      </c>
      <c r="G682" t="s">
        <v>40</v>
      </c>
      <c r="H682">
        <v>4788</v>
      </c>
      <c r="I682">
        <v>0</v>
      </c>
      <c r="J682">
        <v>4788</v>
      </c>
      <c r="L682">
        <v>33</v>
      </c>
      <c r="M682">
        <v>1717094</v>
      </c>
      <c r="N682" t="s">
        <v>113</v>
      </c>
      <c r="O682" t="s">
        <v>114</v>
      </c>
    </row>
    <row r="683" spans="2:15" x14ac:dyDescent="0.25">
      <c r="B683" t="s">
        <v>15</v>
      </c>
      <c r="C683" s="4">
        <v>44840</v>
      </c>
      <c r="D683">
        <v>10</v>
      </c>
      <c r="E683" t="s">
        <v>21</v>
      </c>
      <c r="F683" t="s">
        <v>44</v>
      </c>
      <c r="G683" t="s">
        <v>40</v>
      </c>
      <c r="H683">
        <v>0</v>
      </c>
      <c r="I683">
        <v>29990</v>
      </c>
      <c r="J683">
        <v>-29990</v>
      </c>
      <c r="L683">
        <v>33</v>
      </c>
      <c r="M683">
        <v>1717094</v>
      </c>
      <c r="N683" t="s">
        <v>113</v>
      </c>
      <c r="O683" t="s">
        <v>114</v>
      </c>
    </row>
    <row r="684" spans="2:15" x14ac:dyDescent="0.25">
      <c r="B684" t="s">
        <v>15</v>
      </c>
      <c r="C684" s="4">
        <v>44840</v>
      </c>
      <c r="D684">
        <v>10</v>
      </c>
      <c r="E684" t="s">
        <v>38</v>
      </c>
      <c r="F684" t="s">
        <v>39</v>
      </c>
      <c r="G684" t="s">
        <v>40</v>
      </c>
      <c r="H684">
        <v>164150</v>
      </c>
      <c r="I684">
        <v>0</v>
      </c>
      <c r="J684">
        <v>164150</v>
      </c>
      <c r="L684">
        <v>33</v>
      </c>
      <c r="M684">
        <v>701003</v>
      </c>
      <c r="N684" t="s">
        <v>49</v>
      </c>
      <c r="O684" t="s">
        <v>50</v>
      </c>
    </row>
    <row r="685" spans="2:15" x14ac:dyDescent="0.25">
      <c r="B685" t="s">
        <v>15</v>
      </c>
      <c r="C685" s="4">
        <v>44840</v>
      </c>
      <c r="D685">
        <v>10</v>
      </c>
      <c r="E685" t="s">
        <v>16</v>
      </c>
      <c r="F685" t="s">
        <v>43</v>
      </c>
      <c r="G685" t="s">
        <v>40</v>
      </c>
      <c r="H685">
        <v>31189</v>
      </c>
      <c r="I685">
        <v>0</v>
      </c>
      <c r="J685">
        <v>31189</v>
      </c>
      <c r="L685">
        <v>33</v>
      </c>
      <c r="M685">
        <v>701003</v>
      </c>
      <c r="N685" t="s">
        <v>49</v>
      </c>
      <c r="O685" t="s">
        <v>50</v>
      </c>
    </row>
    <row r="686" spans="2:15" x14ac:dyDescent="0.25">
      <c r="B686" t="s">
        <v>15</v>
      </c>
      <c r="C686" s="4">
        <v>44840</v>
      </c>
      <c r="D686">
        <v>10</v>
      </c>
      <c r="E686" t="s">
        <v>21</v>
      </c>
      <c r="F686" t="s">
        <v>44</v>
      </c>
      <c r="G686" t="s">
        <v>40</v>
      </c>
      <c r="H686">
        <v>0</v>
      </c>
      <c r="I686">
        <v>195339</v>
      </c>
      <c r="J686">
        <v>-195339</v>
      </c>
      <c r="L686">
        <v>33</v>
      </c>
      <c r="M686">
        <v>701003</v>
      </c>
      <c r="N686" t="s">
        <v>49</v>
      </c>
      <c r="O686" t="s">
        <v>50</v>
      </c>
    </row>
    <row r="687" spans="2:15" x14ac:dyDescent="0.25">
      <c r="B687" t="s">
        <v>15</v>
      </c>
      <c r="C687" s="4">
        <v>44841</v>
      </c>
      <c r="D687">
        <v>10</v>
      </c>
      <c r="E687" t="s">
        <v>38</v>
      </c>
      <c r="F687" t="s">
        <v>39</v>
      </c>
      <c r="G687" t="s">
        <v>40</v>
      </c>
      <c r="H687">
        <v>138710</v>
      </c>
      <c r="I687">
        <v>0</v>
      </c>
      <c r="J687">
        <v>138710</v>
      </c>
      <c r="L687">
        <v>33</v>
      </c>
      <c r="M687">
        <v>402271</v>
      </c>
      <c r="N687" t="s">
        <v>51</v>
      </c>
      <c r="O687" t="s">
        <v>52</v>
      </c>
    </row>
    <row r="688" spans="2:15" x14ac:dyDescent="0.25">
      <c r="B688" t="s">
        <v>15</v>
      </c>
      <c r="C688" s="4">
        <v>44841</v>
      </c>
      <c r="D688">
        <v>10</v>
      </c>
      <c r="E688" t="s">
        <v>16</v>
      </c>
      <c r="F688" t="s">
        <v>43</v>
      </c>
      <c r="G688" t="s">
        <v>40</v>
      </c>
      <c r="H688">
        <v>26355</v>
      </c>
      <c r="I688">
        <v>0</v>
      </c>
      <c r="J688">
        <v>26355</v>
      </c>
      <c r="L688">
        <v>33</v>
      </c>
      <c r="M688">
        <v>402271</v>
      </c>
      <c r="N688" t="s">
        <v>51</v>
      </c>
      <c r="O688" t="s">
        <v>52</v>
      </c>
    </row>
    <row r="689" spans="2:15" x14ac:dyDescent="0.25">
      <c r="B689" t="s">
        <v>15</v>
      </c>
      <c r="C689" s="4">
        <v>44841</v>
      </c>
      <c r="D689">
        <v>10</v>
      </c>
      <c r="E689" t="s">
        <v>21</v>
      </c>
      <c r="F689" t="s">
        <v>44</v>
      </c>
      <c r="G689" t="s">
        <v>40</v>
      </c>
      <c r="H689">
        <v>0</v>
      </c>
      <c r="I689">
        <v>165065</v>
      </c>
      <c r="J689">
        <v>-165065</v>
      </c>
      <c r="L689">
        <v>33</v>
      </c>
      <c r="M689">
        <v>402271</v>
      </c>
      <c r="N689" t="s">
        <v>51</v>
      </c>
      <c r="O689" t="s">
        <v>52</v>
      </c>
    </row>
    <row r="690" spans="2:15" x14ac:dyDescent="0.25">
      <c r="B690" t="s">
        <v>15</v>
      </c>
      <c r="C690" s="4">
        <v>44846</v>
      </c>
      <c r="D690">
        <v>10</v>
      </c>
      <c r="E690" t="s">
        <v>38</v>
      </c>
      <c r="F690" t="s">
        <v>39</v>
      </c>
      <c r="G690" t="s">
        <v>40</v>
      </c>
      <c r="H690">
        <v>15126</v>
      </c>
      <c r="I690">
        <v>0</v>
      </c>
      <c r="J690">
        <v>15126</v>
      </c>
      <c r="L690">
        <v>33</v>
      </c>
      <c r="M690">
        <v>164521</v>
      </c>
      <c r="N690" t="s">
        <v>45</v>
      </c>
      <c r="O690" t="s">
        <v>46</v>
      </c>
    </row>
    <row r="691" spans="2:15" x14ac:dyDescent="0.25">
      <c r="B691" t="s">
        <v>15</v>
      </c>
      <c r="C691" s="4">
        <v>44846</v>
      </c>
      <c r="D691">
        <v>10</v>
      </c>
      <c r="E691" t="s">
        <v>16</v>
      </c>
      <c r="F691" t="s">
        <v>43</v>
      </c>
      <c r="G691" t="s">
        <v>40</v>
      </c>
      <c r="H691">
        <v>2874</v>
      </c>
      <c r="I691">
        <v>0</v>
      </c>
      <c r="J691">
        <v>2874</v>
      </c>
      <c r="L691">
        <v>33</v>
      </c>
      <c r="M691">
        <v>164521</v>
      </c>
      <c r="N691" t="s">
        <v>45</v>
      </c>
      <c r="O691" t="s">
        <v>46</v>
      </c>
    </row>
    <row r="692" spans="2:15" x14ac:dyDescent="0.25">
      <c r="B692" t="s">
        <v>15</v>
      </c>
      <c r="C692" s="4">
        <v>44846</v>
      </c>
      <c r="D692">
        <v>10</v>
      </c>
      <c r="E692" t="s">
        <v>21</v>
      </c>
      <c r="F692" t="s">
        <v>44</v>
      </c>
      <c r="G692" t="s">
        <v>40</v>
      </c>
      <c r="H692">
        <v>0</v>
      </c>
      <c r="I692">
        <v>18000</v>
      </c>
      <c r="J692">
        <v>-18000</v>
      </c>
      <c r="L692">
        <v>33</v>
      </c>
      <c r="M692">
        <v>164521</v>
      </c>
      <c r="N692" t="s">
        <v>45</v>
      </c>
      <c r="O692" t="s">
        <v>46</v>
      </c>
    </row>
    <row r="693" spans="2:15" x14ac:dyDescent="0.25">
      <c r="B693" t="s">
        <v>15</v>
      </c>
      <c r="C693" s="4">
        <v>44847</v>
      </c>
      <c r="D693">
        <v>10</v>
      </c>
      <c r="E693" t="s">
        <v>38</v>
      </c>
      <c r="F693" t="s">
        <v>39</v>
      </c>
      <c r="G693" t="s">
        <v>40</v>
      </c>
      <c r="H693">
        <v>2370</v>
      </c>
      <c r="I693">
        <v>0</v>
      </c>
      <c r="J693">
        <v>2370</v>
      </c>
      <c r="L693">
        <v>33</v>
      </c>
      <c r="M693">
        <v>369607</v>
      </c>
      <c r="N693" t="s">
        <v>115</v>
      </c>
      <c r="O693" t="s">
        <v>116</v>
      </c>
    </row>
    <row r="694" spans="2:15" x14ac:dyDescent="0.25">
      <c r="B694" t="s">
        <v>15</v>
      </c>
      <c r="C694" s="4">
        <v>44847</v>
      </c>
      <c r="D694">
        <v>10</v>
      </c>
      <c r="E694" t="s">
        <v>16</v>
      </c>
      <c r="F694" t="s">
        <v>43</v>
      </c>
      <c r="G694" t="s">
        <v>40</v>
      </c>
      <c r="H694">
        <v>450</v>
      </c>
      <c r="I694">
        <v>0</v>
      </c>
      <c r="J694">
        <v>450</v>
      </c>
      <c r="L694">
        <v>33</v>
      </c>
      <c r="M694">
        <v>369607</v>
      </c>
      <c r="N694" t="s">
        <v>115</v>
      </c>
      <c r="O694" t="s">
        <v>116</v>
      </c>
    </row>
    <row r="695" spans="2:15" x14ac:dyDescent="0.25">
      <c r="B695" t="s">
        <v>15</v>
      </c>
      <c r="C695" s="4">
        <v>44847</v>
      </c>
      <c r="D695">
        <v>10</v>
      </c>
      <c r="E695" t="s">
        <v>21</v>
      </c>
      <c r="F695" t="s">
        <v>44</v>
      </c>
      <c r="G695" t="s">
        <v>40</v>
      </c>
      <c r="H695">
        <v>0</v>
      </c>
      <c r="I695">
        <v>2820</v>
      </c>
      <c r="J695">
        <v>-2820</v>
      </c>
      <c r="L695">
        <v>33</v>
      </c>
      <c r="M695">
        <v>369607</v>
      </c>
      <c r="N695" t="s">
        <v>115</v>
      </c>
      <c r="O695" t="s">
        <v>116</v>
      </c>
    </row>
    <row r="696" spans="2:15" x14ac:dyDescent="0.25">
      <c r="B696" t="s">
        <v>15</v>
      </c>
      <c r="C696" s="4">
        <v>44848</v>
      </c>
      <c r="D696">
        <v>10</v>
      </c>
      <c r="E696" t="s">
        <v>38</v>
      </c>
      <c r="F696" t="s">
        <v>39</v>
      </c>
      <c r="G696" t="s">
        <v>40</v>
      </c>
      <c r="H696">
        <v>14370</v>
      </c>
      <c r="I696">
        <v>0</v>
      </c>
      <c r="J696">
        <v>14370</v>
      </c>
      <c r="L696">
        <v>33</v>
      </c>
      <c r="M696">
        <v>5111</v>
      </c>
      <c r="N696" t="s">
        <v>83</v>
      </c>
      <c r="O696" t="s">
        <v>84</v>
      </c>
    </row>
    <row r="697" spans="2:15" x14ac:dyDescent="0.25">
      <c r="B697" t="s">
        <v>15</v>
      </c>
      <c r="C697" s="4">
        <v>44848</v>
      </c>
      <c r="D697">
        <v>10</v>
      </c>
      <c r="E697" t="s">
        <v>16</v>
      </c>
      <c r="F697" t="s">
        <v>43</v>
      </c>
      <c r="G697" t="s">
        <v>40</v>
      </c>
      <c r="H697">
        <v>2730</v>
      </c>
      <c r="I697">
        <v>0</v>
      </c>
      <c r="J697">
        <v>2730</v>
      </c>
      <c r="L697">
        <v>33</v>
      </c>
      <c r="M697">
        <v>5111</v>
      </c>
      <c r="N697" t="s">
        <v>83</v>
      </c>
      <c r="O697" t="s">
        <v>84</v>
      </c>
    </row>
    <row r="698" spans="2:15" x14ac:dyDescent="0.25">
      <c r="B698" t="s">
        <v>15</v>
      </c>
      <c r="C698" s="4">
        <v>44848</v>
      </c>
      <c r="D698">
        <v>10</v>
      </c>
      <c r="E698" t="s">
        <v>21</v>
      </c>
      <c r="F698" t="s">
        <v>44</v>
      </c>
      <c r="G698" t="s">
        <v>40</v>
      </c>
      <c r="H698">
        <v>0</v>
      </c>
      <c r="I698">
        <v>17100</v>
      </c>
      <c r="J698">
        <v>-17100</v>
      </c>
      <c r="L698">
        <v>33</v>
      </c>
      <c r="M698">
        <v>5111</v>
      </c>
      <c r="N698" t="s">
        <v>83</v>
      </c>
      <c r="O698" t="s">
        <v>84</v>
      </c>
    </row>
    <row r="699" spans="2:15" x14ac:dyDescent="0.25">
      <c r="B699" t="s">
        <v>15</v>
      </c>
      <c r="C699" s="4">
        <v>44848</v>
      </c>
      <c r="D699">
        <v>10</v>
      </c>
      <c r="E699" t="s">
        <v>38</v>
      </c>
      <c r="F699" t="s">
        <v>39</v>
      </c>
      <c r="G699" t="s">
        <v>40</v>
      </c>
      <c r="H699">
        <v>161562</v>
      </c>
      <c r="I699">
        <v>0</v>
      </c>
      <c r="J699">
        <v>161562</v>
      </c>
      <c r="L699">
        <v>33</v>
      </c>
      <c r="M699">
        <v>317825</v>
      </c>
      <c r="N699" t="s">
        <v>63</v>
      </c>
      <c r="O699" t="s">
        <v>64</v>
      </c>
    </row>
    <row r="700" spans="2:15" x14ac:dyDescent="0.25">
      <c r="B700" t="s">
        <v>15</v>
      </c>
      <c r="C700" s="4">
        <v>44848</v>
      </c>
      <c r="D700">
        <v>10</v>
      </c>
      <c r="E700" t="s">
        <v>16</v>
      </c>
      <c r="F700" t="s">
        <v>43</v>
      </c>
      <c r="G700" t="s">
        <v>40</v>
      </c>
      <c r="H700">
        <v>30697</v>
      </c>
      <c r="I700">
        <v>0</v>
      </c>
      <c r="J700">
        <v>30697</v>
      </c>
      <c r="L700">
        <v>33</v>
      </c>
      <c r="M700">
        <v>317825</v>
      </c>
      <c r="N700" t="s">
        <v>63</v>
      </c>
      <c r="O700" t="s">
        <v>64</v>
      </c>
    </row>
    <row r="701" spans="2:15" x14ac:dyDescent="0.25">
      <c r="B701" t="s">
        <v>15</v>
      </c>
      <c r="C701" s="4">
        <v>44848</v>
      </c>
      <c r="D701">
        <v>10</v>
      </c>
      <c r="E701" t="s">
        <v>21</v>
      </c>
      <c r="F701" t="s">
        <v>44</v>
      </c>
      <c r="G701" t="s">
        <v>40</v>
      </c>
      <c r="H701">
        <v>0</v>
      </c>
      <c r="I701">
        <v>192259</v>
      </c>
      <c r="J701">
        <v>-192259</v>
      </c>
      <c r="L701">
        <v>33</v>
      </c>
      <c r="M701">
        <v>317825</v>
      </c>
      <c r="N701" t="s">
        <v>63</v>
      </c>
      <c r="O701" t="s">
        <v>64</v>
      </c>
    </row>
    <row r="702" spans="2:15" x14ac:dyDescent="0.25">
      <c r="B702" t="s">
        <v>15</v>
      </c>
      <c r="C702" s="4">
        <v>44848</v>
      </c>
      <c r="D702">
        <v>10</v>
      </c>
      <c r="E702" t="s">
        <v>38</v>
      </c>
      <c r="F702" t="s">
        <v>39</v>
      </c>
      <c r="G702" t="s">
        <v>40</v>
      </c>
      <c r="H702">
        <v>3008</v>
      </c>
      <c r="I702">
        <v>0</v>
      </c>
      <c r="J702">
        <v>3008</v>
      </c>
      <c r="L702">
        <v>33</v>
      </c>
      <c r="M702">
        <v>1354</v>
      </c>
      <c r="N702" t="s">
        <v>73</v>
      </c>
      <c r="O702" t="s">
        <v>74</v>
      </c>
    </row>
    <row r="703" spans="2:15" x14ac:dyDescent="0.25">
      <c r="B703" t="s">
        <v>15</v>
      </c>
      <c r="C703" s="4">
        <v>44848</v>
      </c>
      <c r="D703">
        <v>10</v>
      </c>
      <c r="E703" t="s">
        <v>16</v>
      </c>
      <c r="F703" t="s">
        <v>43</v>
      </c>
      <c r="G703" t="s">
        <v>40</v>
      </c>
      <c r="H703">
        <v>572</v>
      </c>
      <c r="I703">
        <v>0</v>
      </c>
      <c r="J703">
        <v>572</v>
      </c>
      <c r="L703">
        <v>33</v>
      </c>
      <c r="M703">
        <v>1354</v>
      </c>
      <c r="N703" t="s">
        <v>73</v>
      </c>
      <c r="O703" t="s">
        <v>74</v>
      </c>
    </row>
    <row r="704" spans="2:15" x14ac:dyDescent="0.25">
      <c r="B704" t="s">
        <v>15</v>
      </c>
      <c r="C704" s="4">
        <v>44848</v>
      </c>
      <c r="D704">
        <v>10</v>
      </c>
      <c r="E704" t="s">
        <v>21</v>
      </c>
      <c r="F704" t="s">
        <v>44</v>
      </c>
      <c r="G704" t="s">
        <v>40</v>
      </c>
      <c r="H704">
        <v>0</v>
      </c>
      <c r="I704">
        <v>3580</v>
      </c>
      <c r="J704">
        <v>-3580</v>
      </c>
      <c r="L704">
        <v>33</v>
      </c>
      <c r="M704">
        <v>1354</v>
      </c>
      <c r="N704" t="s">
        <v>73</v>
      </c>
      <c r="O704" t="s">
        <v>74</v>
      </c>
    </row>
    <row r="705" spans="2:15" x14ac:dyDescent="0.25">
      <c r="B705" t="s">
        <v>15</v>
      </c>
      <c r="C705" s="4">
        <v>44848</v>
      </c>
      <c r="D705">
        <v>10</v>
      </c>
      <c r="E705" t="s">
        <v>38</v>
      </c>
      <c r="F705" t="s">
        <v>39</v>
      </c>
      <c r="G705" t="s">
        <v>40</v>
      </c>
      <c r="H705">
        <v>5042</v>
      </c>
      <c r="I705">
        <v>0</v>
      </c>
      <c r="J705">
        <v>5042</v>
      </c>
      <c r="L705">
        <v>33</v>
      </c>
      <c r="M705">
        <v>12508</v>
      </c>
      <c r="N705" t="s">
        <v>101</v>
      </c>
      <c r="O705" t="s">
        <v>102</v>
      </c>
    </row>
    <row r="706" spans="2:15" x14ac:dyDescent="0.25">
      <c r="B706" t="s">
        <v>15</v>
      </c>
      <c r="C706" s="4">
        <v>44848</v>
      </c>
      <c r="D706">
        <v>10</v>
      </c>
      <c r="E706" t="s">
        <v>16</v>
      </c>
      <c r="F706" t="s">
        <v>43</v>
      </c>
      <c r="G706" t="s">
        <v>40</v>
      </c>
      <c r="H706">
        <v>958</v>
      </c>
      <c r="I706">
        <v>0</v>
      </c>
      <c r="J706">
        <v>958</v>
      </c>
      <c r="L706">
        <v>33</v>
      </c>
      <c r="M706">
        <v>12508</v>
      </c>
      <c r="N706" t="s">
        <v>101</v>
      </c>
      <c r="O706" t="s">
        <v>102</v>
      </c>
    </row>
    <row r="707" spans="2:15" x14ac:dyDescent="0.25">
      <c r="B707" t="s">
        <v>15</v>
      </c>
      <c r="C707" s="4">
        <v>44848</v>
      </c>
      <c r="D707">
        <v>10</v>
      </c>
      <c r="E707" t="s">
        <v>21</v>
      </c>
      <c r="F707" t="s">
        <v>44</v>
      </c>
      <c r="G707" t="s">
        <v>40</v>
      </c>
      <c r="H707">
        <v>0</v>
      </c>
      <c r="I707">
        <v>6000</v>
      </c>
      <c r="J707">
        <v>-6000</v>
      </c>
      <c r="L707">
        <v>33</v>
      </c>
      <c r="M707">
        <v>12508</v>
      </c>
      <c r="N707" t="s">
        <v>101</v>
      </c>
      <c r="O707" t="s">
        <v>102</v>
      </c>
    </row>
    <row r="708" spans="2:15" x14ac:dyDescent="0.25">
      <c r="B708" t="s">
        <v>15</v>
      </c>
      <c r="C708" s="4">
        <v>44851</v>
      </c>
      <c r="D708">
        <v>10</v>
      </c>
      <c r="E708" t="s">
        <v>38</v>
      </c>
      <c r="F708" t="s">
        <v>39</v>
      </c>
      <c r="G708" t="s">
        <v>40</v>
      </c>
      <c r="H708">
        <v>324250</v>
      </c>
      <c r="I708">
        <v>0</v>
      </c>
      <c r="J708">
        <v>324250</v>
      </c>
      <c r="L708">
        <v>33</v>
      </c>
      <c r="M708">
        <v>403014</v>
      </c>
      <c r="N708" t="s">
        <v>51</v>
      </c>
      <c r="O708" t="s">
        <v>52</v>
      </c>
    </row>
    <row r="709" spans="2:15" x14ac:dyDescent="0.25">
      <c r="B709" t="s">
        <v>15</v>
      </c>
      <c r="C709" s="4">
        <v>44851</v>
      </c>
      <c r="D709">
        <v>10</v>
      </c>
      <c r="E709" t="s">
        <v>16</v>
      </c>
      <c r="F709" t="s">
        <v>43</v>
      </c>
      <c r="G709" t="s">
        <v>40</v>
      </c>
      <c r="H709">
        <v>61608</v>
      </c>
      <c r="I709">
        <v>0</v>
      </c>
      <c r="J709">
        <v>61608</v>
      </c>
      <c r="L709">
        <v>33</v>
      </c>
      <c r="M709">
        <v>403014</v>
      </c>
      <c r="N709" t="s">
        <v>51</v>
      </c>
      <c r="O709" t="s">
        <v>52</v>
      </c>
    </row>
    <row r="710" spans="2:15" x14ac:dyDescent="0.25">
      <c r="B710" t="s">
        <v>15</v>
      </c>
      <c r="C710" s="4">
        <v>44851</v>
      </c>
      <c r="D710">
        <v>10</v>
      </c>
      <c r="E710" t="s">
        <v>21</v>
      </c>
      <c r="F710" t="s">
        <v>44</v>
      </c>
      <c r="G710" t="s">
        <v>40</v>
      </c>
      <c r="H710">
        <v>0</v>
      </c>
      <c r="I710">
        <v>385858</v>
      </c>
      <c r="J710">
        <v>-385858</v>
      </c>
      <c r="L710">
        <v>33</v>
      </c>
      <c r="M710">
        <v>403014</v>
      </c>
      <c r="N710" t="s">
        <v>51</v>
      </c>
      <c r="O710" t="s">
        <v>52</v>
      </c>
    </row>
    <row r="711" spans="2:15" x14ac:dyDescent="0.25">
      <c r="B711" t="s">
        <v>15</v>
      </c>
      <c r="C711" s="4">
        <v>44852</v>
      </c>
      <c r="D711">
        <v>10</v>
      </c>
      <c r="E711" t="s">
        <v>38</v>
      </c>
      <c r="F711" t="s">
        <v>39</v>
      </c>
      <c r="G711" t="s">
        <v>40</v>
      </c>
      <c r="H711">
        <v>6063</v>
      </c>
      <c r="I711">
        <v>0</v>
      </c>
      <c r="J711">
        <v>6063</v>
      </c>
      <c r="L711">
        <v>33</v>
      </c>
      <c r="M711">
        <v>318105</v>
      </c>
      <c r="N711" t="s">
        <v>63</v>
      </c>
      <c r="O711" t="s">
        <v>64</v>
      </c>
    </row>
    <row r="712" spans="2:15" x14ac:dyDescent="0.25">
      <c r="B712" t="s">
        <v>15</v>
      </c>
      <c r="C712" s="4">
        <v>44852</v>
      </c>
      <c r="D712">
        <v>10</v>
      </c>
      <c r="E712" t="s">
        <v>16</v>
      </c>
      <c r="F712" t="s">
        <v>43</v>
      </c>
      <c r="G712" t="s">
        <v>40</v>
      </c>
      <c r="H712">
        <v>1152</v>
      </c>
      <c r="I712">
        <v>0</v>
      </c>
      <c r="J712">
        <v>1152</v>
      </c>
      <c r="L712">
        <v>33</v>
      </c>
      <c r="M712">
        <v>318105</v>
      </c>
      <c r="N712" t="s">
        <v>63</v>
      </c>
      <c r="O712" t="s">
        <v>64</v>
      </c>
    </row>
    <row r="713" spans="2:15" x14ac:dyDescent="0.25">
      <c r="B713" t="s">
        <v>15</v>
      </c>
      <c r="C713" s="4">
        <v>44852</v>
      </c>
      <c r="D713">
        <v>10</v>
      </c>
      <c r="E713" t="s">
        <v>21</v>
      </c>
      <c r="F713" t="s">
        <v>44</v>
      </c>
      <c r="G713" t="s">
        <v>40</v>
      </c>
      <c r="H713">
        <v>0</v>
      </c>
      <c r="I713">
        <v>7215</v>
      </c>
      <c r="J713">
        <v>-7215</v>
      </c>
      <c r="L713">
        <v>33</v>
      </c>
      <c r="M713">
        <v>318105</v>
      </c>
      <c r="N713" t="s">
        <v>63</v>
      </c>
      <c r="O713" t="s">
        <v>64</v>
      </c>
    </row>
    <row r="714" spans="2:15" x14ac:dyDescent="0.25">
      <c r="B714" t="s">
        <v>15</v>
      </c>
      <c r="C714" s="4">
        <v>44854</v>
      </c>
      <c r="D714">
        <v>10</v>
      </c>
      <c r="E714" t="s">
        <v>38</v>
      </c>
      <c r="F714" t="s">
        <v>39</v>
      </c>
      <c r="G714" t="s">
        <v>40</v>
      </c>
      <c r="H714">
        <v>429000</v>
      </c>
      <c r="I714">
        <v>0</v>
      </c>
      <c r="J714">
        <v>429000</v>
      </c>
      <c r="L714">
        <v>33</v>
      </c>
      <c r="M714">
        <v>403735</v>
      </c>
      <c r="N714" t="s">
        <v>51</v>
      </c>
      <c r="O714" t="s">
        <v>52</v>
      </c>
    </row>
    <row r="715" spans="2:15" x14ac:dyDescent="0.25">
      <c r="B715" t="s">
        <v>15</v>
      </c>
      <c r="C715" s="4">
        <v>44854</v>
      </c>
      <c r="D715">
        <v>10</v>
      </c>
      <c r="E715" t="s">
        <v>16</v>
      </c>
      <c r="F715" t="s">
        <v>43</v>
      </c>
      <c r="G715" t="s">
        <v>40</v>
      </c>
      <c r="H715">
        <v>81510</v>
      </c>
      <c r="I715">
        <v>0</v>
      </c>
      <c r="J715">
        <v>81510</v>
      </c>
      <c r="L715">
        <v>33</v>
      </c>
      <c r="M715">
        <v>403735</v>
      </c>
      <c r="N715" t="s">
        <v>51</v>
      </c>
      <c r="O715" t="s">
        <v>52</v>
      </c>
    </row>
    <row r="716" spans="2:15" x14ac:dyDescent="0.25">
      <c r="B716" t="s">
        <v>15</v>
      </c>
      <c r="C716" s="4">
        <v>44854</v>
      </c>
      <c r="D716">
        <v>10</v>
      </c>
      <c r="E716" t="s">
        <v>21</v>
      </c>
      <c r="F716" t="s">
        <v>44</v>
      </c>
      <c r="G716" t="s">
        <v>40</v>
      </c>
      <c r="H716">
        <v>0</v>
      </c>
      <c r="I716">
        <v>510510</v>
      </c>
      <c r="J716">
        <v>-510510</v>
      </c>
      <c r="L716">
        <v>33</v>
      </c>
      <c r="M716">
        <v>403735</v>
      </c>
      <c r="N716" t="s">
        <v>51</v>
      </c>
      <c r="O716" t="s">
        <v>52</v>
      </c>
    </row>
    <row r="717" spans="2:15" x14ac:dyDescent="0.25">
      <c r="B717" t="s">
        <v>15</v>
      </c>
      <c r="C717" s="4">
        <v>44850</v>
      </c>
      <c r="D717">
        <v>10</v>
      </c>
      <c r="E717" t="s">
        <v>38</v>
      </c>
      <c r="F717" t="s">
        <v>39</v>
      </c>
      <c r="G717" t="s">
        <v>40</v>
      </c>
      <c r="H717">
        <v>36101</v>
      </c>
      <c r="I717">
        <v>0</v>
      </c>
      <c r="J717">
        <v>36101</v>
      </c>
      <c r="L717">
        <v>33</v>
      </c>
      <c r="M717">
        <v>10839741</v>
      </c>
      <c r="N717" t="s">
        <v>57</v>
      </c>
      <c r="O717" t="s">
        <v>58</v>
      </c>
    </row>
    <row r="718" spans="2:15" x14ac:dyDescent="0.25">
      <c r="B718" t="s">
        <v>15</v>
      </c>
      <c r="C718" s="4">
        <v>44850</v>
      </c>
      <c r="D718">
        <v>10</v>
      </c>
      <c r="E718" t="s">
        <v>16</v>
      </c>
      <c r="F718" t="s">
        <v>43</v>
      </c>
      <c r="G718" t="s">
        <v>40</v>
      </c>
      <c r="H718">
        <v>6859</v>
      </c>
      <c r="I718">
        <v>0</v>
      </c>
      <c r="J718">
        <v>6859</v>
      </c>
      <c r="L718">
        <v>33</v>
      </c>
      <c r="M718">
        <v>10839741</v>
      </c>
      <c r="N718" t="s">
        <v>57</v>
      </c>
      <c r="O718" t="s">
        <v>58</v>
      </c>
    </row>
    <row r="719" spans="2:15" x14ac:dyDescent="0.25">
      <c r="B719" t="s">
        <v>15</v>
      </c>
      <c r="C719" s="4">
        <v>44850</v>
      </c>
      <c r="D719">
        <v>10</v>
      </c>
      <c r="E719" t="s">
        <v>21</v>
      </c>
      <c r="F719" t="s">
        <v>44</v>
      </c>
      <c r="G719" t="s">
        <v>40</v>
      </c>
      <c r="H719">
        <v>0</v>
      </c>
      <c r="I719">
        <v>42960</v>
      </c>
      <c r="J719">
        <v>-42960</v>
      </c>
      <c r="L719">
        <v>33</v>
      </c>
      <c r="M719">
        <v>10839741</v>
      </c>
      <c r="N719" t="s">
        <v>57</v>
      </c>
      <c r="O719" t="s">
        <v>58</v>
      </c>
    </row>
    <row r="720" spans="2:15" x14ac:dyDescent="0.25">
      <c r="B720" t="s">
        <v>15</v>
      </c>
      <c r="C720" s="4">
        <v>44858</v>
      </c>
      <c r="D720">
        <v>10</v>
      </c>
      <c r="E720" t="s">
        <v>38</v>
      </c>
      <c r="F720" t="s">
        <v>39</v>
      </c>
      <c r="G720" t="s">
        <v>40</v>
      </c>
      <c r="H720">
        <v>7807</v>
      </c>
      <c r="I720">
        <v>0</v>
      </c>
      <c r="J720">
        <v>7807</v>
      </c>
      <c r="L720">
        <v>33</v>
      </c>
      <c r="M720">
        <v>38294</v>
      </c>
      <c r="N720" t="s">
        <v>81</v>
      </c>
      <c r="O720" t="s">
        <v>82</v>
      </c>
    </row>
    <row r="721" spans="2:15" x14ac:dyDescent="0.25">
      <c r="B721" t="s">
        <v>15</v>
      </c>
      <c r="C721" s="4">
        <v>44858</v>
      </c>
      <c r="D721">
        <v>10</v>
      </c>
      <c r="E721" t="s">
        <v>16</v>
      </c>
      <c r="F721" t="s">
        <v>43</v>
      </c>
      <c r="G721" t="s">
        <v>40</v>
      </c>
      <c r="H721">
        <v>1483</v>
      </c>
      <c r="I721">
        <v>0</v>
      </c>
      <c r="J721">
        <v>1483</v>
      </c>
      <c r="L721">
        <v>33</v>
      </c>
      <c r="M721">
        <v>38294</v>
      </c>
      <c r="N721" t="s">
        <v>81</v>
      </c>
      <c r="O721" t="s">
        <v>82</v>
      </c>
    </row>
    <row r="722" spans="2:15" x14ac:dyDescent="0.25">
      <c r="B722" t="s">
        <v>15</v>
      </c>
      <c r="C722" s="4">
        <v>44858</v>
      </c>
      <c r="D722">
        <v>10</v>
      </c>
      <c r="E722" t="s">
        <v>21</v>
      </c>
      <c r="F722" t="s">
        <v>44</v>
      </c>
      <c r="G722" t="s">
        <v>40</v>
      </c>
      <c r="H722">
        <v>0</v>
      </c>
      <c r="I722">
        <v>9290</v>
      </c>
      <c r="J722">
        <v>-9290</v>
      </c>
      <c r="L722">
        <v>33</v>
      </c>
      <c r="M722">
        <v>38294</v>
      </c>
      <c r="N722" t="s">
        <v>81</v>
      </c>
      <c r="O722" t="s">
        <v>82</v>
      </c>
    </row>
    <row r="723" spans="2:15" x14ac:dyDescent="0.25">
      <c r="B723" t="s">
        <v>15</v>
      </c>
      <c r="C723" s="4">
        <v>44859</v>
      </c>
      <c r="D723">
        <v>10</v>
      </c>
      <c r="E723" t="s">
        <v>38</v>
      </c>
      <c r="F723" t="s">
        <v>39</v>
      </c>
      <c r="G723" t="s">
        <v>40</v>
      </c>
      <c r="H723">
        <v>274607</v>
      </c>
      <c r="I723">
        <v>0</v>
      </c>
      <c r="J723">
        <v>274607</v>
      </c>
      <c r="L723">
        <v>33</v>
      </c>
      <c r="M723">
        <v>705839</v>
      </c>
      <c r="N723" t="s">
        <v>49</v>
      </c>
      <c r="O723" t="s">
        <v>50</v>
      </c>
    </row>
    <row r="724" spans="2:15" x14ac:dyDescent="0.25">
      <c r="B724" t="s">
        <v>15</v>
      </c>
      <c r="C724" s="4">
        <v>44859</v>
      </c>
      <c r="D724">
        <v>10</v>
      </c>
      <c r="E724" t="s">
        <v>16</v>
      </c>
      <c r="F724" t="s">
        <v>43</v>
      </c>
      <c r="G724" t="s">
        <v>40</v>
      </c>
      <c r="H724">
        <v>52175</v>
      </c>
      <c r="I724">
        <v>0</v>
      </c>
      <c r="J724">
        <v>52175</v>
      </c>
      <c r="L724">
        <v>33</v>
      </c>
      <c r="M724">
        <v>705839</v>
      </c>
      <c r="N724" t="s">
        <v>49</v>
      </c>
      <c r="O724" t="s">
        <v>50</v>
      </c>
    </row>
    <row r="725" spans="2:15" x14ac:dyDescent="0.25">
      <c r="B725" t="s">
        <v>15</v>
      </c>
      <c r="C725" s="4">
        <v>44859</v>
      </c>
      <c r="D725">
        <v>10</v>
      </c>
      <c r="E725" t="s">
        <v>21</v>
      </c>
      <c r="F725" t="s">
        <v>44</v>
      </c>
      <c r="G725" t="s">
        <v>40</v>
      </c>
      <c r="H725">
        <v>0</v>
      </c>
      <c r="I725">
        <v>326782</v>
      </c>
      <c r="J725">
        <v>-326782</v>
      </c>
      <c r="L725">
        <v>33</v>
      </c>
      <c r="M725">
        <v>705839</v>
      </c>
      <c r="N725" t="s">
        <v>49</v>
      </c>
      <c r="O725" t="s">
        <v>50</v>
      </c>
    </row>
    <row r="726" spans="2:15" x14ac:dyDescent="0.25">
      <c r="B726" t="s">
        <v>15</v>
      </c>
      <c r="C726" s="4">
        <v>44862</v>
      </c>
      <c r="D726">
        <v>10</v>
      </c>
      <c r="E726" t="s">
        <v>38</v>
      </c>
      <c r="F726" t="s">
        <v>39</v>
      </c>
      <c r="G726" t="s">
        <v>40</v>
      </c>
      <c r="H726">
        <v>121170</v>
      </c>
      <c r="I726">
        <v>0</v>
      </c>
      <c r="J726">
        <v>121170</v>
      </c>
      <c r="L726">
        <v>33</v>
      </c>
      <c r="M726">
        <v>405797</v>
      </c>
      <c r="N726" t="s">
        <v>51</v>
      </c>
      <c r="O726" t="s">
        <v>52</v>
      </c>
    </row>
    <row r="727" spans="2:15" x14ac:dyDescent="0.25">
      <c r="B727" t="s">
        <v>15</v>
      </c>
      <c r="C727" s="4">
        <v>44862</v>
      </c>
      <c r="D727">
        <v>10</v>
      </c>
      <c r="E727" t="s">
        <v>16</v>
      </c>
      <c r="F727" t="s">
        <v>43</v>
      </c>
      <c r="G727" t="s">
        <v>40</v>
      </c>
      <c r="H727">
        <v>23022</v>
      </c>
      <c r="I727">
        <v>0</v>
      </c>
      <c r="J727">
        <v>23022</v>
      </c>
      <c r="L727">
        <v>33</v>
      </c>
      <c r="M727">
        <v>405797</v>
      </c>
      <c r="N727" t="s">
        <v>51</v>
      </c>
      <c r="O727" t="s">
        <v>52</v>
      </c>
    </row>
    <row r="728" spans="2:15" x14ac:dyDescent="0.25">
      <c r="B728" t="s">
        <v>15</v>
      </c>
      <c r="C728" s="4">
        <v>44862</v>
      </c>
      <c r="D728">
        <v>10</v>
      </c>
      <c r="E728" t="s">
        <v>21</v>
      </c>
      <c r="F728" t="s">
        <v>44</v>
      </c>
      <c r="G728" t="s">
        <v>40</v>
      </c>
      <c r="H728">
        <v>0</v>
      </c>
      <c r="I728">
        <v>144192</v>
      </c>
      <c r="J728">
        <v>-144192</v>
      </c>
      <c r="L728">
        <v>33</v>
      </c>
      <c r="M728">
        <v>405797</v>
      </c>
      <c r="N728" t="s">
        <v>51</v>
      </c>
      <c r="O728" t="s">
        <v>52</v>
      </c>
    </row>
    <row r="729" spans="2:15" x14ac:dyDescent="0.25">
      <c r="B729" t="s">
        <v>15</v>
      </c>
      <c r="C729" s="4">
        <v>44839</v>
      </c>
      <c r="D729">
        <v>10</v>
      </c>
      <c r="E729" t="s">
        <v>38</v>
      </c>
      <c r="F729" t="s">
        <v>39</v>
      </c>
      <c r="G729" t="s">
        <v>40</v>
      </c>
      <c r="H729">
        <v>0</v>
      </c>
      <c r="I729">
        <v>117437</v>
      </c>
      <c r="J729">
        <v>-117437</v>
      </c>
      <c r="L729">
        <v>61</v>
      </c>
      <c r="M729">
        <v>71</v>
      </c>
      <c r="N729" t="s">
        <v>83</v>
      </c>
      <c r="O729" t="s">
        <v>84</v>
      </c>
    </row>
    <row r="730" spans="2:15" x14ac:dyDescent="0.25">
      <c r="B730" t="s">
        <v>15</v>
      </c>
      <c r="C730" s="4">
        <v>44839</v>
      </c>
      <c r="D730">
        <v>10</v>
      </c>
      <c r="E730" t="s">
        <v>16</v>
      </c>
      <c r="F730" t="s">
        <v>43</v>
      </c>
      <c r="G730" t="s">
        <v>40</v>
      </c>
      <c r="H730">
        <v>0</v>
      </c>
      <c r="I730">
        <v>22313</v>
      </c>
      <c r="J730">
        <v>-22313</v>
      </c>
      <c r="L730">
        <v>61</v>
      </c>
      <c r="M730">
        <v>71</v>
      </c>
      <c r="N730" t="s">
        <v>83</v>
      </c>
      <c r="O730" t="s">
        <v>84</v>
      </c>
    </row>
    <row r="731" spans="2:15" x14ac:dyDescent="0.25">
      <c r="B731" t="s">
        <v>15</v>
      </c>
      <c r="C731" s="4">
        <v>44839</v>
      </c>
      <c r="D731">
        <v>10</v>
      </c>
      <c r="E731" t="s">
        <v>21</v>
      </c>
      <c r="F731" t="s">
        <v>44</v>
      </c>
      <c r="G731" t="s">
        <v>40</v>
      </c>
      <c r="H731">
        <v>139750</v>
      </c>
      <c r="I731">
        <v>0</v>
      </c>
      <c r="J731">
        <v>139750</v>
      </c>
      <c r="L731">
        <v>61</v>
      </c>
      <c r="M731">
        <v>71</v>
      </c>
      <c r="N731" t="s">
        <v>83</v>
      </c>
      <c r="O731" t="s">
        <v>84</v>
      </c>
    </row>
    <row r="732" spans="2:15" x14ac:dyDescent="0.25">
      <c r="B732" t="s">
        <v>15</v>
      </c>
      <c r="C732" s="4">
        <v>44860</v>
      </c>
      <c r="D732">
        <v>11</v>
      </c>
      <c r="E732" t="s">
        <v>38</v>
      </c>
      <c r="F732" t="s">
        <v>39</v>
      </c>
      <c r="G732" t="s">
        <v>40</v>
      </c>
      <c r="H732">
        <v>10190</v>
      </c>
      <c r="I732">
        <v>0</v>
      </c>
      <c r="J732">
        <v>10190</v>
      </c>
      <c r="L732">
        <v>33</v>
      </c>
      <c r="M732">
        <v>319197</v>
      </c>
      <c r="N732" t="s">
        <v>63</v>
      </c>
      <c r="O732" t="s">
        <v>64</v>
      </c>
    </row>
    <row r="733" spans="2:15" x14ac:dyDescent="0.25">
      <c r="B733" t="s">
        <v>15</v>
      </c>
      <c r="C733" s="4">
        <v>44860</v>
      </c>
      <c r="D733">
        <v>11</v>
      </c>
      <c r="E733" t="s">
        <v>16</v>
      </c>
      <c r="F733" t="s">
        <v>43</v>
      </c>
      <c r="G733" t="s">
        <v>40</v>
      </c>
      <c r="H733">
        <v>1936</v>
      </c>
      <c r="I733">
        <v>0</v>
      </c>
      <c r="J733">
        <v>1936</v>
      </c>
      <c r="L733">
        <v>33</v>
      </c>
      <c r="M733">
        <v>319197</v>
      </c>
      <c r="N733" t="s">
        <v>63</v>
      </c>
      <c r="O733" t="s">
        <v>64</v>
      </c>
    </row>
    <row r="734" spans="2:15" x14ac:dyDescent="0.25">
      <c r="B734" t="s">
        <v>15</v>
      </c>
      <c r="C734" s="4">
        <v>44860</v>
      </c>
      <c r="D734">
        <v>11</v>
      </c>
      <c r="E734" t="s">
        <v>21</v>
      </c>
      <c r="F734" t="s">
        <v>44</v>
      </c>
      <c r="G734" t="s">
        <v>40</v>
      </c>
      <c r="H734">
        <v>0</v>
      </c>
      <c r="I734">
        <v>12126</v>
      </c>
      <c r="J734">
        <v>-12126</v>
      </c>
      <c r="L734">
        <v>33</v>
      </c>
      <c r="M734">
        <v>319197</v>
      </c>
      <c r="N734" t="s">
        <v>63</v>
      </c>
      <c r="O734" t="s">
        <v>64</v>
      </c>
    </row>
    <row r="735" spans="2:15" x14ac:dyDescent="0.25">
      <c r="B735" t="s">
        <v>15</v>
      </c>
      <c r="C735" s="4">
        <v>44860</v>
      </c>
      <c r="D735">
        <v>11</v>
      </c>
      <c r="E735" t="s">
        <v>38</v>
      </c>
      <c r="F735" t="s">
        <v>39</v>
      </c>
      <c r="G735" t="s">
        <v>40</v>
      </c>
      <c r="H735">
        <v>589916</v>
      </c>
      <c r="I735">
        <v>0</v>
      </c>
      <c r="J735">
        <v>589916</v>
      </c>
      <c r="L735">
        <v>33</v>
      </c>
      <c r="M735">
        <v>5488</v>
      </c>
      <c r="N735" t="s">
        <v>83</v>
      </c>
      <c r="O735" t="s">
        <v>84</v>
      </c>
    </row>
    <row r="736" spans="2:15" x14ac:dyDescent="0.25">
      <c r="B736" t="s">
        <v>15</v>
      </c>
      <c r="C736" s="4">
        <v>44860</v>
      </c>
      <c r="D736">
        <v>11</v>
      </c>
      <c r="E736" t="s">
        <v>16</v>
      </c>
      <c r="F736" t="s">
        <v>43</v>
      </c>
      <c r="G736" t="s">
        <v>40</v>
      </c>
      <c r="H736">
        <v>112084</v>
      </c>
      <c r="I736">
        <v>0</v>
      </c>
      <c r="J736">
        <v>112084</v>
      </c>
      <c r="L736">
        <v>33</v>
      </c>
      <c r="M736">
        <v>5488</v>
      </c>
      <c r="N736" t="s">
        <v>83</v>
      </c>
      <c r="O736" t="s">
        <v>84</v>
      </c>
    </row>
    <row r="737" spans="2:15" x14ac:dyDescent="0.25">
      <c r="B737" t="s">
        <v>15</v>
      </c>
      <c r="C737" s="4">
        <v>44860</v>
      </c>
      <c r="D737">
        <v>11</v>
      </c>
      <c r="E737" t="s">
        <v>21</v>
      </c>
      <c r="F737" t="s">
        <v>44</v>
      </c>
      <c r="G737" t="s">
        <v>40</v>
      </c>
      <c r="H737">
        <v>0</v>
      </c>
      <c r="I737">
        <v>702000</v>
      </c>
      <c r="J737">
        <v>-702000</v>
      </c>
      <c r="L737">
        <v>33</v>
      </c>
      <c r="M737">
        <v>5488</v>
      </c>
      <c r="N737" t="s">
        <v>83</v>
      </c>
      <c r="O737" t="s">
        <v>84</v>
      </c>
    </row>
    <row r="738" spans="2:15" x14ac:dyDescent="0.25">
      <c r="B738" t="s">
        <v>15</v>
      </c>
      <c r="C738" s="4">
        <v>44867</v>
      </c>
      <c r="D738">
        <v>11</v>
      </c>
      <c r="E738" t="s">
        <v>38</v>
      </c>
      <c r="F738" t="s">
        <v>39</v>
      </c>
      <c r="G738" t="s">
        <v>40</v>
      </c>
      <c r="H738">
        <v>27840</v>
      </c>
      <c r="I738">
        <v>0</v>
      </c>
      <c r="J738">
        <v>27840</v>
      </c>
      <c r="L738">
        <v>33</v>
      </c>
      <c r="M738">
        <v>405905</v>
      </c>
      <c r="N738" t="s">
        <v>51</v>
      </c>
      <c r="O738" t="s">
        <v>52</v>
      </c>
    </row>
    <row r="739" spans="2:15" x14ac:dyDescent="0.25">
      <c r="B739" t="s">
        <v>15</v>
      </c>
      <c r="C739" s="4">
        <v>44867</v>
      </c>
      <c r="D739">
        <v>11</v>
      </c>
      <c r="E739" t="s">
        <v>16</v>
      </c>
      <c r="F739" t="s">
        <v>43</v>
      </c>
      <c r="G739" t="s">
        <v>40</v>
      </c>
      <c r="H739">
        <v>5290</v>
      </c>
      <c r="I739">
        <v>0</v>
      </c>
      <c r="J739">
        <v>5290</v>
      </c>
      <c r="L739">
        <v>33</v>
      </c>
      <c r="M739">
        <v>405905</v>
      </c>
      <c r="N739" t="s">
        <v>51</v>
      </c>
      <c r="O739" t="s">
        <v>52</v>
      </c>
    </row>
    <row r="740" spans="2:15" x14ac:dyDescent="0.25">
      <c r="B740" t="s">
        <v>15</v>
      </c>
      <c r="C740" s="4">
        <v>44867</v>
      </c>
      <c r="D740">
        <v>11</v>
      </c>
      <c r="E740" t="s">
        <v>21</v>
      </c>
      <c r="F740" t="s">
        <v>44</v>
      </c>
      <c r="G740" t="s">
        <v>40</v>
      </c>
      <c r="H740">
        <v>0</v>
      </c>
      <c r="I740">
        <v>33130</v>
      </c>
      <c r="J740">
        <v>-33130</v>
      </c>
      <c r="L740">
        <v>33</v>
      </c>
      <c r="M740">
        <v>405905</v>
      </c>
      <c r="N740" t="s">
        <v>51</v>
      </c>
      <c r="O740" t="s">
        <v>52</v>
      </c>
    </row>
    <row r="741" spans="2:15" x14ac:dyDescent="0.25">
      <c r="B741" t="s">
        <v>15</v>
      </c>
      <c r="C741" s="4">
        <v>44867</v>
      </c>
      <c r="D741">
        <v>11</v>
      </c>
      <c r="E741" t="s">
        <v>38</v>
      </c>
      <c r="F741" t="s">
        <v>39</v>
      </c>
      <c r="G741" t="s">
        <v>40</v>
      </c>
      <c r="H741">
        <v>186126</v>
      </c>
      <c r="I741">
        <v>0</v>
      </c>
      <c r="J741">
        <v>186126</v>
      </c>
      <c r="L741">
        <v>33</v>
      </c>
      <c r="M741">
        <v>707451</v>
      </c>
      <c r="N741" t="s">
        <v>49</v>
      </c>
      <c r="O741" t="s">
        <v>50</v>
      </c>
    </row>
    <row r="742" spans="2:15" x14ac:dyDescent="0.25">
      <c r="B742" t="s">
        <v>15</v>
      </c>
      <c r="C742" s="4">
        <v>44867</v>
      </c>
      <c r="D742">
        <v>11</v>
      </c>
      <c r="E742" t="s">
        <v>16</v>
      </c>
      <c r="F742" t="s">
        <v>43</v>
      </c>
      <c r="G742" t="s">
        <v>40</v>
      </c>
      <c r="H742">
        <v>35364</v>
      </c>
      <c r="I742">
        <v>0</v>
      </c>
      <c r="J742">
        <v>35364</v>
      </c>
      <c r="L742">
        <v>33</v>
      </c>
      <c r="M742">
        <v>707451</v>
      </c>
      <c r="N742" t="s">
        <v>49</v>
      </c>
      <c r="O742" t="s">
        <v>50</v>
      </c>
    </row>
    <row r="743" spans="2:15" x14ac:dyDescent="0.25">
      <c r="B743" t="s">
        <v>15</v>
      </c>
      <c r="C743" s="4">
        <v>44867</v>
      </c>
      <c r="D743">
        <v>11</v>
      </c>
      <c r="E743" t="s">
        <v>21</v>
      </c>
      <c r="F743" t="s">
        <v>44</v>
      </c>
      <c r="G743" t="s">
        <v>40</v>
      </c>
      <c r="H743">
        <v>0</v>
      </c>
      <c r="I743">
        <v>221490</v>
      </c>
      <c r="J743">
        <v>-221490</v>
      </c>
      <c r="L743">
        <v>33</v>
      </c>
      <c r="M743">
        <v>707451</v>
      </c>
      <c r="N743" t="s">
        <v>49</v>
      </c>
      <c r="O743" t="s">
        <v>50</v>
      </c>
    </row>
    <row r="744" spans="2:15" x14ac:dyDescent="0.25">
      <c r="B744" t="s">
        <v>15</v>
      </c>
      <c r="C744" s="4">
        <v>44867</v>
      </c>
      <c r="D744">
        <v>11</v>
      </c>
      <c r="E744" t="s">
        <v>38</v>
      </c>
      <c r="F744" t="s">
        <v>39</v>
      </c>
      <c r="G744" t="s">
        <v>40</v>
      </c>
      <c r="H744">
        <v>1609</v>
      </c>
      <c r="I744">
        <v>0</v>
      </c>
      <c r="J744">
        <v>1609</v>
      </c>
      <c r="L744">
        <v>33</v>
      </c>
      <c r="M744">
        <v>707466</v>
      </c>
      <c r="N744" t="s">
        <v>49</v>
      </c>
      <c r="O744" t="s">
        <v>50</v>
      </c>
    </row>
    <row r="745" spans="2:15" x14ac:dyDescent="0.25">
      <c r="B745" t="s">
        <v>15</v>
      </c>
      <c r="C745" s="4">
        <v>44867</v>
      </c>
      <c r="D745">
        <v>11</v>
      </c>
      <c r="E745" t="s">
        <v>16</v>
      </c>
      <c r="F745" t="s">
        <v>43</v>
      </c>
      <c r="G745" t="s">
        <v>40</v>
      </c>
      <c r="H745">
        <v>306</v>
      </c>
      <c r="I745">
        <v>0</v>
      </c>
      <c r="J745">
        <v>306</v>
      </c>
      <c r="L745">
        <v>33</v>
      </c>
      <c r="M745">
        <v>707466</v>
      </c>
      <c r="N745" t="s">
        <v>49</v>
      </c>
      <c r="O745" t="s">
        <v>50</v>
      </c>
    </row>
    <row r="746" spans="2:15" x14ac:dyDescent="0.25">
      <c r="B746" t="s">
        <v>15</v>
      </c>
      <c r="C746" s="4">
        <v>44867</v>
      </c>
      <c r="D746">
        <v>11</v>
      </c>
      <c r="E746" t="s">
        <v>21</v>
      </c>
      <c r="F746" t="s">
        <v>44</v>
      </c>
      <c r="G746" t="s">
        <v>40</v>
      </c>
      <c r="H746">
        <v>0</v>
      </c>
      <c r="I746">
        <v>1915</v>
      </c>
      <c r="J746">
        <v>-1915</v>
      </c>
      <c r="L746">
        <v>33</v>
      </c>
      <c r="M746">
        <v>707466</v>
      </c>
      <c r="N746" t="s">
        <v>49</v>
      </c>
      <c r="O746" t="s">
        <v>50</v>
      </c>
    </row>
    <row r="747" spans="2:15" x14ac:dyDescent="0.25">
      <c r="B747" t="s">
        <v>15</v>
      </c>
      <c r="C747" s="4">
        <v>44867</v>
      </c>
      <c r="D747">
        <v>11</v>
      </c>
      <c r="E747" t="s">
        <v>38</v>
      </c>
      <c r="F747" t="s">
        <v>39</v>
      </c>
      <c r="G747" t="s">
        <v>40</v>
      </c>
      <c r="H747">
        <v>7800</v>
      </c>
      <c r="I747">
        <v>0</v>
      </c>
      <c r="J747">
        <v>7800</v>
      </c>
      <c r="L747">
        <v>33</v>
      </c>
      <c r="M747">
        <v>406062</v>
      </c>
      <c r="N747" t="s">
        <v>51</v>
      </c>
      <c r="O747" t="s">
        <v>52</v>
      </c>
    </row>
    <row r="748" spans="2:15" x14ac:dyDescent="0.25">
      <c r="B748" t="s">
        <v>15</v>
      </c>
      <c r="C748" s="4">
        <v>44867</v>
      </c>
      <c r="D748">
        <v>11</v>
      </c>
      <c r="E748" t="s">
        <v>16</v>
      </c>
      <c r="F748" t="s">
        <v>43</v>
      </c>
      <c r="G748" t="s">
        <v>40</v>
      </c>
      <c r="H748">
        <v>1482</v>
      </c>
      <c r="I748">
        <v>0</v>
      </c>
      <c r="J748">
        <v>1482</v>
      </c>
      <c r="L748">
        <v>33</v>
      </c>
      <c r="M748">
        <v>406062</v>
      </c>
      <c r="N748" t="s">
        <v>51</v>
      </c>
      <c r="O748" t="s">
        <v>52</v>
      </c>
    </row>
    <row r="749" spans="2:15" x14ac:dyDescent="0.25">
      <c r="B749" t="s">
        <v>15</v>
      </c>
      <c r="C749" s="4">
        <v>44867</v>
      </c>
      <c r="D749">
        <v>11</v>
      </c>
      <c r="E749" t="s">
        <v>21</v>
      </c>
      <c r="F749" t="s">
        <v>44</v>
      </c>
      <c r="G749" t="s">
        <v>40</v>
      </c>
      <c r="H749">
        <v>0</v>
      </c>
      <c r="I749">
        <v>9282</v>
      </c>
      <c r="J749">
        <v>-9282</v>
      </c>
      <c r="L749">
        <v>33</v>
      </c>
      <c r="M749">
        <v>406062</v>
      </c>
      <c r="N749" t="s">
        <v>51</v>
      </c>
      <c r="O749" t="s">
        <v>52</v>
      </c>
    </row>
    <row r="750" spans="2:15" x14ac:dyDescent="0.25">
      <c r="B750" t="s">
        <v>15</v>
      </c>
      <c r="C750" s="4">
        <v>44869</v>
      </c>
      <c r="D750">
        <v>11</v>
      </c>
      <c r="E750" t="s">
        <v>38</v>
      </c>
      <c r="F750" t="s">
        <v>39</v>
      </c>
      <c r="G750" t="s">
        <v>40</v>
      </c>
      <c r="H750">
        <v>18656</v>
      </c>
      <c r="I750">
        <v>0</v>
      </c>
      <c r="J750">
        <v>18656</v>
      </c>
      <c r="L750">
        <v>33</v>
      </c>
      <c r="M750">
        <v>62</v>
      </c>
      <c r="N750" t="s">
        <v>91</v>
      </c>
      <c r="O750" t="s">
        <v>92</v>
      </c>
    </row>
    <row r="751" spans="2:15" x14ac:dyDescent="0.25">
      <c r="B751" t="s">
        <v>15</v>
      </c>
      <c r="C751" s="4">
        <v>44869</v>
      </c>
      <c r="D751">
        <v>11</v>
      </c>
      <c r="E751" t="s">
        <v>16</v>
      </c>
      <c r="F751" t="s">
        <v>43</v>
      </c>
      <c r="G751" t="s">
        <v>40</v>
      </c>
      <c r="H751">
        <v>3545</v>
      </c>
      <c r="I751">
        <v>0</v>
      </c>
      <c r="J751">
        <v>3545</v>
      </c>
      <c r="L751">
        <v>33</v>
      </c>
      <c r="M751">
        <v>62</v>
      </c>
      <c r="N751" t="s">
        <v>91</v>
      </c>
      <c r="O751" t="s">
        <v>92</v>
      </c>
    </row>
    <row r="752" spans="2:15" x14ac:dyDescent="0.25">
      <c r="B752" t="s">
        <v>15</v>
      </c>
      <c r="C752" s="4">
        <v>44869</v>
      </c>
      <c r="D752">
        <v>11</v>
      </c>
      <c r="E752" t="s">
        <v>21</v>
      </c>
      <c r="F752" t="s">
        <v>44</v>
      </c>
      <c r="G752" t="s">
        <v>40</v>
      </c>
      <c r="H752">
        <v>0</v>
      </c>
      <c r="I752">
        <v>22201</v>
      </c>
      <c r="J752">
        <v>-22201</v>
      </c>
      <c r="L752">
        <v>33</v>
      </c>
      <c r="M752">
        <v>62</v>
      </c>
      <c r="N752" t="s">
        <v>91</v>
      </c>
      <c r="O752" t="s">
        <v>92</v>
      </c>
    </row>
    <row r="753" spans="2:15" x14ac:dyDescent="0.25">
      <c r="B753" t="s">
        <v>15</v>
      </c>
      <c r="C753" s="4">
        <v>44873</v>
      </c>
      <c r="D753">
        <v>11</v>
      </c>
      <c r="E753" t="s">
        <v>38</v>
      </c>
      <c r="F753" t="s">
        <v>39</v>
      </c>
      <c r="G753" t="s">
        <v>40</v>
      </c>
      <c r="H753">
        <v>12597</v>
      </c>
      <c r="I753">
        <v>0</v>
      </c>
      <c r="J753">
        <v>12597</v>
      </c>
      <c r="L753">
        <v>33</v>
      </c>
      <c r="M753">
        <v>38956</v>
      </c>
      <c r="N753" t="s">
        <v>81</v>
      </c>
      <c r="O753" t="s">
        <v>82</v>
      </c>
    </row>
    <row r="754" spans="2:15" x14ac:dyDescent="0.25">
      <c r="B754" t="s">
        <v>15</v>
      </c>
      <c r="C754" s="4">
        <v>44873</v>
      </c>
      <c r="D754">
        <v>11</v>
      </c>
      <c r="E754" t="s">
        <v>16</v>
      </c>
      <c r="F754" t="s">
        <v>43</v>
      </c>
      <c r="G754" t="s">
        <v>40</v>
      </c>
      <c r="H754">
        <v>2393</v>
      </c>
      <c r="I754">
        <v>0</v>
      </c>
      <c r="J754">
        <v>2393</v>
      </c>
      <c r="L754">
        <v>33</v>
      </c>
      <c r="M754">
        <v>38956</v>
      </c>
      <c r="N754" t="s">
        <v>81</v>
      </c>
      <c r="O754" t="s">
        <v>82</v>
      </c>
    </row>
    <row r="755" spans="2:15" x14ac:dyDescent="0.25">
      <c r="B755" t="s">
        <v>15</v>
      </c>
      <c r="C755" s="4">
        <v>44873</v>
      </c>
      <c r="D755">
        <v>11</v>
      </c>
      <c r="E755" t="s">
        <v>21</v>
      </c>
      <c r="F755" t="s">
        <v>44</v>
      </c>
      <c r="G755" t="s">
        <v>40</v>
      </c>
      <c r="H755">
        <v>0</v>
      </c>
      <c r="I755">
        <v>14990</v>
      </c>
      <c r="J755">
        <v>-14990</v>
      </c>
      <c r="L755">
        <v>33</v>
      </c>
      <c r="M755">
        <v>38956</v>
      </c>
      <c r="N755" t="s">
        <v>81</v>
      </c>
      <c r="O755" t="s">
        <v>82</v>
      </c>
    </row>
    <row r="756" spans="2:15" x14ac:dyDescent="0.25">
      <c r="B756" t="s">
        <v>15</v>
      </c>
      <c r="C756" s="4">
        <v>44873</v>
      </c>
      <c r="D756">
        <v>11</v>
      </c>
      <c r="E756" t="s">
        <v>38</v>
      </c>
      <c r="F756" t="s">
        <v>39</v>
      </c>
      <c r="G756" t="s">
        <v>40</v>
      </c>
      <c r="H756">
        <v>103033</v>
      </c>
      <c r="I756">
        <v>0</v>
      </c>
      <c r="J756">
        <v>103033</v>
      </c>
      <c r="L756">
        <v>33</v>
      </c>
      <c r="M756">
        <v>708892</v>
      </c>
      <c r="N756" t="s">
        <v>49</v>
      </c>
      <c r="O756" t="s">
        <v>50</v>
      </c>
    </row>
    <row r="757" spans="2:15" x14ac:dyDescent="0.25">
      <c r="B757" t="s">
        <v>15</v>
      </c>
      <c r="C757" s="4">
        <v>44873</v>
      </c>
      <c r="D757">
        <v>11</v>
      </c>
      <c r="E757" t="s">
        <v>16</v>
      </c>
      <c r="F757" t="s">
        <v>43</v>
      </c>
      <c r="G757" t="s">
        <v>40</v>
      </c>
      <c r="H757">
        <v>19576</v>
      </c>
      <c r="I757">
        <v>0</v>
      </c>
      <c r="J757">
        <v>19576</v>
      </c>
      <c r="L757">
        <v>33</v>
      </c>
      <c r="M757">
        <v>708892</v>
      </c>
      <c r="N757" t="s">
        <v>49</v>
      </c>
      <c r="O757" t="s">
        <v>50</v>
      </c>
    </row>
    <row r="758" spans="2:15" x14ac:dyDescent="0.25">
      <c r="B758" t="s">
        <v>15</v>
      </c>
      <c r="C758" s="4">
        <v>44873</v>
      </c>
      <c r="D758">
        <v>11</v>
      </c>
      <c r="E758" t="s">
        <v>21</v>
      </c>
      <c r="F758" t="s">
        <v>44</v>
      </c>
      <c r="G758" t="s">
        <v>40</v>
      </c>
      <c r="H758">
        <v>0</v>
      </c>
      <c r="I758">
        <v>122609</v>
      </c>
      <c r="J758">
        <v>-122609</v>
      </c>
      <c r="L758">
        <v>33</v>
      </c>
      <c r="M758">
        <v>708892</v>
      </c>
      <c r="N758" t="s">
        <v>49</v>
      </c>
      <c r="O758" t="s">
        <v>50</v>
      </c>
    </row>
    <row r="759" spans="2:15" x14ac:dyDescent="0.25">
      <c r="B759" t="s">
        <v>15</v>
      </c>
      <c r="C759" s="4">
        <v>44874</v>
      </c>
      <c r="D759">
        <v>11</v>
      </c>
      <c r="E759" t="s">
        <v>38</v>
      </c>
      <c r="F759" t="s">
        <v>39</v>
      </c>
      <c r="G759" t="s">
        <v>40</v>
      </c>
      <c r="H759">
        <v>202520</v>
      </c>
      <c r="I759">
        <v>0</v>
      </c>
      <c r="J759">
        <v>202520</v>
      </c>
      <c r="L759">
        <v>33</v>
      </c>
      <c r="M759">
        <v>407156</v>
      </c>
      <c r="N759" t="s">
        <v>51</v>
      </c>
      <c r="O759" t="s">
        <v>52</v>
      </c>
    </row>
    <row r="760" spans="2:15" x14ac:dyDescent="0.25">
      <c r="B760" t="s">
        <v>15</v>
      </c>
      <c r="C760" s="4">
        <v>44874</v>
      </c>
      <c r="D760">
        <v>11</v>
      </c>
      <c r="E760" t="s">
        <v>16</v>
      </c>
      <c r="F760" t="s">
        <v>43</v>
      </c>
      <c r="G760" t="s">
        <v>40</v>
      </c>
      <c r="H760">
        <v>38479</v>
      </c>
      <c r="I760">
        <v>0</v>
      </c>
      <c r="J760">
        <v>38479</v>
      </c>
      <c r="L760">
        <v>33</v>
      </c>
      <c r="M760">
        <v>407156</v>
      </c>
      <c r="N760" t="s">
        <v>51</v>
      </c>
      <c r="O760" t="s">
        <v>52</v>
      </c>
    </row>
    <row r="761" spans="2:15" x14ac:dyDescent="0.25">
      <c r="B761" t="s">
        <v>15</v>
      </c>
      <c r="C761" s="4">
        <v>44874</v>
      </c>
      <c r="D761">
        <v>11</v>
      </c>
      <c r="E761" t="s">
        <v>21</v>
      </c>
      <c r="F761" t="s">
        <v>44</v>
      </c>
      <c r="G761" t="s">
        <v>40</v>
      </c>
      <c r="H761">
        <v>0</v>
      </c>
      <c r="I761">
        <v>240999</v>
      </c>
      <c r="J761">
        <v>-240999</v>
      </c>
      <c r="L761">
        <v>33</v>
      </c>
      <c r="M761">
        <v>407156</v>
      </c>
      <c r="N761" t="s">
        <v>51</v>
      </c>
      <c r="O761" t="s">
        <v>52</v>
      </c>
    </row>
    <row r="762" spans="2:15" x14ac:dyDescent="0.25">
      <c r="B762" t="s">
        <v>15</v>
      </c>
      <c r="C762" s="4">
        <v>44874</v>
      </c>
      <c r="D762">
        <v>11</v>
      </c>
      <c r="E762" t="s">
        <v>38</v>
      </c>
      <c r="F762" t="s">
        <v>39</v>
      </c>
      <c r="G762" t="s">
        <v>40</v>
      </c>
      <c r="H762">
        <v>160440</v>
      </c>
      <c r="I762">
        <v>0</v>
      </c>
      <c r="J762">
        <v>160440</v>
      </c>
      <c r="L762">
        <v>33</v>
      </c>
      <c r="M762">
        <v>407264</v>
      </c>
      <c r="N762" t="s">
        <v>51</v>
      </c>
      <c r="O762" t="s">
        <v>52</v>
      </c>
    </row>
    <row r="763" spans="2:15" x14ac:dyDescent="0.25">
      <c r="B763" t="s">
        <v>15</v>
      </c>
      <c r="C763" s="4">
        <v>44874</v>
      </c>
      <c r="D763">
        <v>11</v>
      </c>
      <c r="E763" t="s">
        <v>16</v>
      </c>
      <c r="F763" t="s">
        <v>43</v>
      </c>
      <c r="G763" t="s">
        <v>40</v>
      </c>
      <c r="H763">
        <v>30484</v>
      </c>
      <c r="I763">
        <v>0</v>
      </c>
      <c r="J763">
        <v>30484</v>
      </c>
      <c r="L763">
        <v>33</v>
      </c>
      <c r="M763">
        <v>407264</v>
      </c>
      <c r="N763" t="s">
        <v>51</v>
      </c>
      <c r="O763" t="s">
        <v>52</v>
      </c>
    </row>
    <row r="764" spans="2:15" x14ac:dyDescent="0.25">
      <c r="B764" t="s">
        <v>15</v>
      </c>
      <c r="C764" s="4">
        <v>44874</v>
      </c>
      <c r="D764">
        <v>11</v>
      </c>
      <c r="E764" t="s">
        <v>21</v>
      </c>
      <c r="F764" t="s">
        <v>44</v>
      </c>
      <c r="G764" t="s">
        <v>40</v>
      </c>
      <c r="H764">
        <v>0</v>
      </c>
      <c r="I764">
        <v>190924</v>
      </c>
      <c r="J764">
        <v>-190924</v>
      </c>
      <c r="L764">
        <v>33</v>
      </c>
      <c r="M764">
        <v>407264</v>
      </c>
      <c r="N764" t="s">
        <v>51</v>
      </c>
      <c r="O764" t="s">
        <v>52</v>
      </c>
    </row>
    <row r="765" spans="2:15" x14ac:dyDescent="0.25">
      <c r="B765" t="s">
        <v>15</v>
      </c>
      <c r="C765" s="4">
        <v>44875</v>
      </c>
      <c r="D765">
        <v>11</v>
      </c>
      <c r="E765" t="s">
        <v>38</v>
      </c>
      <c r="F765" t="s">
        <v>39</v>
      </c>
      <c r="G765" t="s">
        <v>40</v>
      </c>
      <c r="H765">
        <v>8235</v>
      </c>
      <c r="I765">
        <v>0</v>
      </c>
      <c r="J765">
        <v>8235</v>
      </c>
      <c r="L765">
        <v>33</v>
      </c>
      <c r="M765">
        <v>68</v>
      </c>
      <c r="N765" t="s">
        <v>91</v>
      </c>
      <c r="O765" t="s">
        <v>92</v>
      </c>
    </row>
    <row r="766" spans="2:15" x14ac:dyDescent="0.25">
      <c r="B766" t="s">
        <v>15</v>
      </c>
      <c r="C766" s="4">
        <v>44875</v>
      </c>
      <c r="D766">
        <v>11</v>
      </c>
      <c r="E766" t="s">
        <v>16</v>
      </c>
      <c r="F766" t="s">
        <v>43</v>
      </c>
      <c r="G766" t="s">
        <v>40</v>
      </c>
      <c r="H766">
        <v>1565</v>
      </c>
      <c r="I766">
        <v>0</v>
      </c>
      <c r="J766">
        <v>1565</v>
      </c>
      <c r="L766">
        <v>33</v>
      </c>
      <c r="M766">
        <v>68</v>
      </c>
      <c r="N766" t="s">
        <v>91</v>
      </c>
      <c r="O766" t="s">
        <v>92</v>
      </c>
    </row>
    <row r="767" spans="2:15" x14ac:dyDescent="0.25">
      <c r="B767" t="s">
        <v>15</v>
      </c>
      <c r="C767" s="4">
        <v>44875</v>
      </c>
      <c r="D767">
        <v>11</v>
      </c>
      <c r="E767" t="s">
        <v>21</v>
      </c>
      <c r="F767" t="s">
        <v>44</v>
      </c>
      <c r="G767" t="s">
        <v>40</v>
      </c>
      <c r="H767">
        <v>0</v>
      </c>
      <c r="I767">
        <v>9800</v>
      </c>
      <c r="J767">
        <v>-9800</v>
      </c>
      <c r="L767">
        <v>33</v>
      </c>
      <c r="M767">
        <v>68</v>
      </c>
      <c r="N767" t="s">
        <v>91</v>
      </c>
      <c r="O767" t="s">
        <v>92</v>
      </c>
    </row>
    <row r="768" spans="2:15" x14ac:dyDescent="0.25">
      <c r="B768" t="s">
        <v>15</v>
      </c>
      <c r="C768" s="4">
        <v>44876</v>
      </c>
      <c r="D768">
        <v>11</v>
      </c>
      <c r="E768" t="s">
        <v>38</v>
      </c>
      <c r="F768" t="s">
        <v>39</v>
      </c>
      <c r="G768" t="s">
        <v>40</v>
      </c>
      <c r="H768">
        <v>125130</v>
      </c>
      <c r="I768">
        <v>0</v>
      </c>
      <c r="J768">
        <v>125130</v>
      </c>
      <c r="L768">
        <v>33</v>
      </c>
      <c r="M768">
        <v>407780</v>
      </c>
      <c r="N768" t="s">
        <v>51</v>
      </c>
      <c r="O768" t="s">
        <v>52</v>
      </c>
    </row>
    <row r="769" spans="2:15" x14ac:dyDescent="0.25">
      <c r="B769" t="s">
        <v>15</v>
      </c>
      <c r="C769" s="4">
        <v>44876</v>
      </c>
      <c r="D769">
        <v>11</v>
      </c>
      <c r="E769" t="s">
        <v>16</v>
      </c>
      <c r="F769" t="s">
        <v>43</v>
      </c>
      <c r="G769" t="s">
        <v>40</v>
      </c>
      <c r="H769">
        <v>23775</v>
      </c>
      <c r="I769">
        <v>0</v>
      </c>
      <c r="J769">
        <v>23775</v>
      </c>
      <c r="L769">
        <v>33</v>
      </c>
      <c r="M769">
        <v>407780</v>
      </c>
      <c r="N769" t="s">
        <v>51</v>
      </c>
      <c r="O769" t="s">
        <v>52</v>
      </c>
    </row>
    <row r="770" spans="2:15" x14ac:dyDescent="0.25">
      <c r="B770" t="s">
        <v>15</v>
      </c>
      <c r="C770" s="4">
        <v>44876</v>
      </c>
      <c r="D770">
        <v>11</v>
      </c>
      <c r="E770" t="s">
        <v>21</v>
      </c>
      <c r="F770" t="s">
        <v>44</v>
      </c>
      <c r="G770" t="s">
        <v>40</v>
      </c>
      <c r="H770">
        <v>0</v>
      </c>
      <c r="I770">
        <v>148905</v>
      </c>
      <c r="J770">
        <v>-148905</v>
      </c>
      <c r="L770">
        <v>33</v>
      </c>
      <c r="M770">
        <v>407780</v>
      </c>
      <c r="N770" t="s">
        <v>51</v>
      </c>
      <c r="O770" t="s">
        <v>52</v>
      </c>
    </row>
    <row r="771" spans="2:15" x14ac:dyDescent="0.25">
      <c r="B771" t="s">
        <v>15</v>
      </c>
      <c r="C771" s="4">
        <v>44876</v>
      </c>
      <c r="D771">
        <v>11</v>
      </c>
      <c r="E771" t="s">
        <v>38</v>
      </c>
      <c r="F771" t="s">
        <v>39</v>
      </c>
      <c r="G771" t="s">
        <v>40</v>
      </c>
      <c r="H771">
        <v>77360</v>
      </c>
      <c r="I771">
        <v>0</v>
      </c>
      <c r="J771">
        <v>77360</v>
      </c>
      <c r="L771">
        <v>33</v>
      </c>
      <c r="M771">
        <v>407781</v>
      </c>
      <c r="N771" t="s">
        <v>51</v>
      </c>
      <c r="O771" t="s">
        <v>52</v>
      </c>
    </row>
    <row r="772" spans="2:15" x14ac:dyDescent="0.25">
      <c r="B772" t="s">
        <v>15</v>
      </c>
      <c r="C772" s="4">
        <v>44876</v>
      </c>
      <c r="D772">
        <v>11</v>
      </c>
      <c r="E772" t="s">
        <v>16</v>
      </c>
      <c r="F772" t="s">
        <v>43</v>
      </c>
      <c r="G772" t="s">
        <v>40</v>
      </c>
      <c r="H772">
        <v>14698</v>
      </c>
      <c r="I772">
        <v>0</v>
      </c>
      <c r="J772">
        <v>14698</v>
      </c>
      <c r="L772">
        <v>33</v>
      </c>
      <c r="M772">
        <v>407781</v>
      </c>
      <c r="N772" t="s">
        <v>51</v>
      </c>
      <c r="O772" t="s">
        <v>52</v>
      </c>
    </row>
    <row r="773" spans="2:15" x14ac:dyDescent="0.25">
      <c r="B773" t="s">
        <v>15</v>
      </c>
      <c r="C773" s="4">
        <v>44876</v>
      </c>
      <c r="D773">
        <v>11</v>
      </c>
      <c r="E773" t="s">
        <v>21</v>
      </c>
      <c r="F773" t="s">
        <v>44</v>
      </c>
      <c r="G773" t="s">
        <v>40</v>
      </c>
      <c r="H773">
        <v>0</v>
      </c>
      <c r="I773">
        <v>92058</v>
      </c>
      <c r="J773">
        <v>-92058</v>
      </c>
      <c r="L773">
        <v>33</v>
      </c>
      <c r="M773">
        <v>407781</v>
      </c>
      <c r="N773" t="s">
        <v>51</v>
      </c>
      <c r="O773" t="s">
        <v>52</v>
      </c>
    </row>
    <row r="774" spans="2:15" x14ac:dyDescent="0.25">
      <c r="B774" t="s">
        <v>15</v>
      </c>
      <c r="C774" s="4">
        <v>44879</v>
      </c>
      <c r="D774">
        <v>11</v>
      </c>
      <c r="E774" t="s">
        <v>38</v>
      </c>
      <c r="F774" t="s">
        <v>39</v>
      </c>
      <c r="G774" t="s">
        <v>40</v>
      </c>
      <c r="H774">
        <v>28440</v>
      </c>
      <c r="I774">
        <v>0</v>
      </c>
      <c r="J774">
        <v>28440</v>
      </c>
      <c r="L774">
        <v>33</v>
      </c>
      <c r="M774">
        <v>407876</v>
      </c>
      <c r="N774" t="s">
        <v>51</v>
      </c>
      <c r="O774" t="s">
        <v>52</v>
      </c>
    </row>
    <row r="775" spans="2:15" x14ac:dyDescent="0.25">
      <c r="B775" t="s">
        <v>15</v>
      </c>
      <c r="C775" s="4">
        <v>44879</v>
      </c>
      <c r="D775">
        <v>11</v>
      </c>
      <c r="E775" t="s">
        <v>16</v>
      </c>
      <c r="F775" t="s">
        <v>43</v>
      </c>
      <c r="G775" t="s">
        <v>40</v>
      </c>
      <c r="H775">
        <v>5404</v>
      </c>
      <c r="I775">
        <v>0</v>
      </c>
      <c r="J775">
        <v>5404</v>
      </c>
      <c r="L775">
        <v>33</v>
      </c>
      <c r="M775">
        <v>407876</v>
      </c>
      <c r="N775" t="s">
        <v>51</v>
      </c>
      <c r="O775" t="s">
        <v>52</v>
      </c>
    </row>
    <row r="776" spans="2:15" x14ac:dyDescent="0.25">
      <c r="B776" t="s">
        <v>15</v>
      </c>
      <c r="C776" s="4">
        <v>44879</v>
      </c>
      <c r="D776">
        <v>11</v>
      </c>
      <c r="E776" t="s">
        <v>21</v>
      </c>
      <c r="F776" t="s">
        <v>44</v>
      </c>
      <c r="G776" t="s">
        <v>40</v>
      </c>
      <c r="H776">
        <v>0</v>
      </c>
      <c r="I776">
        <v>33844</v>
      </c>
      <c r="J776">
        <v>-33844</v>
      </c>
      <c r="L776">
        <v>33</v>
      </c>
      <c r="M776">
        <v>407876</v>
      </c>
      <c r="N776" t="s">
        <v>51</v>
      </c>
      <c r="O776" t="s">
        <v>52</v>
      </c>
    </row>
    <row r="777" spans="2:15" x14ac:dyDescent="0.25">
      <c r="B777" t="s">
        <v>15</v>
      </c>
      <c r="C777" s="4">
        <v>44880</v>
      </c>
      <c r="D777">
        <v>11</v>
      </c>
      <c r="E777" t="s">
        <v>38</v>
      </c>
      <c r="F777" t="s">
        <v>39</v>
      </c>
      <c r="G777" t="s">
        <v>40</v>
      </c>
      <c r="H777">
        <v>50402</v>
      </c>
      <c r="I777">
        <v>0</v>
      </c>
      <c r="J777">
        <v>50402</v>
      </c>
      <c r="L777">
        <v>33</v>
      </c>
      <c r="M777">
        <v>18228</v>
      </c>
      <c r="N777" t="s">
        <v>105</v>
      </c>
      <c r="O777" t="s">
        <v>106</v>
      </c>
    </row>
    <row r="778" spans="2:15" x14ac:dyDescent="0.25">
      <c r="B778" t="s">
        <v>15</v>
      </c>
      <c r="C778" s="4">
        <v>44880</v>
      </c>
      <c r="D778">
        <v>11</v>
      </c>
      <c r="E778" t="s">
        <v>16</v>
      </c>
      <c r="F778" t="s">
        <v>43</v>
      </c>
      <c r="G778" t="s">
        <v>40</v>
      </c>
      <c r="H778">
        <v>9576</v>
      </c>
      <c r="I778">
        <v>0</v>
      </c>
      <c r="J778">
        <v>9576</v>
      </c>
      <c r="L778">
        <v>33</v>
      </c>
      <c r="M778">
        <v>18228</v>
      </c>
      <c r="N778" t="s">
        <v>105</v>
      </c>
      <c r="O778" t="s">
        <v>106</v>
      </c>
    </row>
    <row r="779" spans="2:15" x14ac:dyDescent="0.25">
      <c r="B779" t="s">
        <v>15</v>
      </c>
      <c r="C779" s="4">
        <v>44880</v>
      </c>
      <c r="D779">
        <v>11</v>
      </c>
      <c r="E779" t="s">
        <v>21</v>
      </c>
      <c r="F779" t="s">
        <v>44</v>
      </c>
      <c r="G779" t="s">
        <v>40</v>
      </c>
      <c r="H779">
        <v>0</v>
      </c>
      <c r="I779">
        <v>59978</v>
      </c>
      <c r="J779">
        <v>-59978</v>
      </c>
      <c r="L779">
        <v>33</v>
      </c>
      <c r="M779">
        <v>18228</v>
      </c>
      <c r="N779" t="s">
        <v>105</v>
      </c>
      <c r="O779" t="s">
        <v>106</v>
      </c>
    </row>
    <row r="780" spans="2:15" x14ac:dyDescent="0.25">
      <c r="B780" t="s">
        <v>15</v>
      </c>
      <c r="C780" s="4">
        <v>44880</v>
      </c>
      <c r="D780">
        <v>11</v>
      </c>
      <c r="E780" t="s">
        <v>38</v>
      </c>
      <c r="F780" t="s">
        <v>39</v>
      </c>
      <c r="G780" t="s">
        <v>40</v>
      </c>
      <c r="H780">
        <v>5462</v>
      </c>
      <c r="I780">
        <v>0</v>
      </c>
      <c r="J780">
        <v>5462</v>
      </c>
      <c r="L780">
        <v>33</v>
      </c>
      <c r="M780">
        <v>49032</v>
      </c>
      <c r="N780" t="s">
        <v>65</v>
      </c>
      <c r="O780" t="s">
        <v>66</v>
      </c>
    </row>
    <row r="781" spans="2:15" x14ac:dyDescent="0.25">
      <c r="B781" t="s">
        <v>15</v>
      </c>
      <c r="C781" s="4">
        <v>44880</v>
      </c>
      <c r="D781">
        <v>11</v>
      </c>
      <c r="E781" t="s">
        <v>16</v>
      </c>
      <c r="F781" t="s">
        <v>43</v>
      </c>
      <c r="G781" t="s">
        <v>40</v>
      </c>
      <c r="H781">
        <v>1038</v>
      </c>
      <c r="I781">
        <v>0</v>
      </c>
      <c r="J781">
        <v>1038</v>
      </c>
      <c r="L781">
        <v>33</v>
      </c>
      <c r="M781">
        <v>49032</v>
      </c>
      <c r="N781" t="s">
        <v>65</v>
      </c>
      <c r="O781" t="s">
        <v>66</v>
      </c>
    </row>
    <row r="782" spans="2:15" x14ac:dyDescent="0.25">
      <c r="B782" t="s">
        <v>15</v>
      </c>
      <c r="C782" s="4">
        <v>44880</v>
      </c>
      <c r="D782">
        <v>11</v>
      </c>
      <c r="E782" t="s">
        <v>21</v>
      </c>
      <c r="F782" t="s">
        <v>44</v>
      </c>
      <c r="G782" t="s">
        <v>40</v>
      </c>
      <c r="H782">
        <v>0</v>
      </c>
      <c r="I782">
        <v>6500</v>
      </c>
      <c r="J782">
        <v>-6500</v>
      </c>
      <c r="L782">
        <v>33</v>
      </c>
      <c r="M782">
        <v>49032</v>
      </c>
      <c r="N782" t="s">
        <v>65</v>
      </c>
      <c r="O782" t="s">
        <v>66</v>
      </c>
    </row>
    <row r="783" spans="2:15" x14ac:dyDescent="0.25">
      <c r="B783" t="s">
        <v>15</v>
      </c>
      <c r="C783" s="4">
        <v>44880</v>
      </c>
      <c r="D783">
        <v>11</v>
      </c>
      <c r="E783" t="s">
        <v>38</v>
      </c>
      <c r="F783" t="s">
        <v>39</v>
      </c>
      <c r="G783" t="s">
        <v>40</v>
      </c>
      <c r="H783">
        <v>6591</v>
      </c>
      <c r="I783">
        <v>0</v>
      </c>
      <c r="J783">
        <v>6591</v>
      </c>
      <c r="L783">
        <v>33</v>
      </c>
      <c r="M783">
        <v>710843</v>
      </c>
      <c r="N783" t="s">
        <v>49</v>
      </c>
      <c r="O783" t="s">
        <v>50</v>
      </c>
    </row>
    <row r="784" spans="2:15" x14ac:dyDescent="0.25">
      <c r="B784" t="s">
        <v>15</v>
      </c>
      <c r="C784" s="4">
        <v>44880</v>
      </c>
      <c r="D784">
        <v>11</v>
      </c>
      <c r="E784" t="s">
        <v>16</v>
      </c>
      <c r="F784" t="s">
        <v>43</v>
      </c>
      <c r="G784" t="s">
        <v>40</v>
      </c>
      <c r="H784">
        <v>1252</v>
      </c>
      <c r="I784">
        <v>0</v>
      </c>
      <c r="J784">
        <v>1252</v>
      </c>
      <c r="L784">
        <v>33</v>
      </c>
      <c r="M784">
        <v>710843</v>
      </c>
      <c r="N784" t="s">
        <v>49</v>
      </c>
      <c r="O784" t="s">
        <v>50</v>
      </c>
    </row>
    <row r="785" spans="2:15" x14ac:dyDescent="0.25">
      <c r="B785" t="s">
        <v>15</v>
      </c>
      <c r="C785" s="4">
        <v>44880</v>
      </c>
      <c r="D785">
        <v>11</v>
      </c>
      <c r="E785" t="s">
        <v>21</v>
      </c>
      <c r="F785" t="s">
        <v>44</v>
      </c>
      <c r="G785" t="s">
        <v>40</v>
      </c>
      <c r="H785">
        <v>0</v>
      </c>
      <c r="I785">
        <v>7843</v>
      </c>
      <c r="J785">
        <v>-7843</v>
      </c>
      <c r="L785">
        <v>33</v>
      </c>
      <c r="M785">
        <v>710843</v>
      </c>
      <c r="N785" t="s">
        <v>49</v>
      </c>
      <c r="O785" t="s">
        <v>50</v>
      </c>
    </row>
    <row r="786" spans="2:15" x14ac:dyDescent="0.25">
      <c r="B786" t="s">
        <v>15</v>
      </c>
      <c r="C786" s="4">
        <v>44881</v>
      </c>
      <c r="D786">
        <v>11</v>
      </c>
      <c r="E786" t="s">
        <v>38</v>
      </c>
      <c r="F786" t="s">
        <v>39</v>
      </c>
      <c r="G786" t="s">
        <v>40</v>
      </c>
      <c r="H786">
        <v>21304</v>
      </c>
      <c r="I786">
        <v>0</v>
      </c>
      <c r="J786">
        <v>21304</v>
      </c>
      <c r="L786">
        <v>33</v>
      </c>
      <c r="M786">
        <v>711415</v>
      </c>
      <c r="N786" t="s">
        <v>49</v>
      </c>
      <c r="O786" t="s">
        <v>50</v>
      </c>
    </row>
    <row r="787" spans="2:15" x14ac:dyDescent="0.25">
      <c r="B787" t="s">
        <v>15</v>
      </c>
      <c r="C787" s="4">
        <v>44881</v>
      </c>
      <c r="D787">
        <v>11</v>
      </c>
      <c r="E787" t="s">
        <v>16</v>
      </c>
      <c r="F787" t="s">
        <v>43</v>
      </c>
      <c r="G787" t="s">
        <v>40</v>
      </c>
      <c r="H787">
        <v>4048</v>
      </c>
      <c r="I787">
        <v>0</v>
      </c>
      <c r="J787">
        <v>4048</v>
      </c>
      <c r="L787">
        <v>33</v>
      </c>
      <c r="M787">
        <v>711415</v>
      </c>
      <c r="N787" t="s">
        <v>49</v>
      </c>
      <c r="O787" t="s">
        <v>50</v>
      </c>
    </row>
    <row r="788" spans="2:15" x14ac:dyDescent="0.25">
      <c r="B788" t="s">
        <v>15</v>
      </c>
      <c r="C788" s="4">
        <v>44881</v>
      </c>
      <c r="D788">
        <v>11</v>
      </c>
      <c r="E788" t="s">
        <v>21</v>
      </c>
      <c r="F788" t="s">
        <v>44</v>
      </c>
      <c r="G788" t="s">
        <v>40</v>
      </c>
      <c r="H788">
        <v>0</v>
      </c>
      <c r="I788">
        <v>25352</v>
      </c>
      <c r="J788">
        <v>-25352</v>
      </c>
      <c r="L788">
        <v>33</v>
      </c>
      <c r="M788">
        <v>711415</v>
      </c>
      <c r="N788" t="s">
        <v>49</v>
      </c>
      <c r="O788" t="s">
        <v>50</v>
      </c>
    </row>
    <row r="789" spans="2:15" x14ac:dyDescent="0.25">
      <c r="B789" t="s">
        <v>15</v>
      </c>
      <c r="C789" s="4">
        <v>44882</v>
      </c>
      <c r="D789">
        <v>11</v>
      </c>
      <c r="E789" t="s">
        <v>38</v>
      </c>
      <c r="F789" t="s">
        <v>39</v>
      </c>
      <c r="G789" t="s">
        <v>40</v>
      </c>
      <c r="H789">
        <v>108360</v>
      </c>
      <c r="I789">
        <v>0</v>
      </c>
      <c r="J789">
        <v>108360</v>
      </c>
      <c r="L789">
        <v>33</v>
      </c>
      <c r="M789">
        <v>408734</v>
      </c>
      <c r="N789" t="s">
        <v>51</v>
      </c>
      <c r="O789" t="s">
        <v>52</v>
      </c>
    </row>
    <row r="790" spans="2:15" x14ac:dyDescent="0.25">
      <c r="B790" t="s">
        <v>15</v>
      </c>
      <c r="C790" s="4">
        <v>44882</v>
      </c>
      <c r="D790">
        <v>11</v>
      </c>
      <c r="E790" t="s">
        <v>16</v>
      </c>
      <c r="F790" t="s">
        <v>43</v>
      </c>
      <c r="G790" t="s">
        <v>40</v>
      </c>
      <c r="H790">
        <v>20588</v>
      </c>
      <c r="I790">
        <v>0</v>
      </c>
      <c r="J790">
        <v>20588</v>
      </c>
      <c r="L790">
        <v>33</v>
      </c>
      <c r="M790">
        <v>408734</v>
      </c>
      <c r="N790" t="s">
        <v>51</v>
      </c>
      <c r="O790" t="s">
        <v>52</v>
      </c>
    </row>
    <row r="791" spans="2:15" x14ac:dyDescent="0.25">
      <c r="B791" t="s">
        <v>15</v>
      </c>
      <c r="C791" s="4">
        <v>44882</v>
      </c>
      <c r="D791">
        <v>11</v>
      </c>
      <c r="E791" t="s">
        <v>21</v>
      </c>
      <c r="F791" t="s">
        <v>44</v>
      </c>
      <c r="G791" t="s">
        <v>40</v>
      </c>
      <c r="H791">
        <v>0</v>
      </c>
      <c r="I791">
        <v>128948</v>
      </c>
      <c r="J791">
        <v>-128948</v>
      </c>
      <c r="L791">
        <v>33</v>
      </c>
      <c r="M791">
        <v>408734</v>
      </c>
      <c r="N791" t="s">
        <v>51</v>
      </c>
      <c r="O791" t="s">
        <v>52</v>
      </c>
    </row>
    <row r="792" spans="2:15" x14ac:dyDescent="0.25">
      <c r="B792" t="s">
        <v>15</v>
      </c>
      <c r="C792" s="4">
        <v>44885</v>
      </c>
      <c r="D792">
        <v>11</v>
      </c>
      <c r="E792" t="s">
        <v>38</v>
      </c>
      <c r="F792" t="s">
        <v>39</v>
      </c>
      <c r="G792" t="s">
        <v>40</v>
      </c>
      <c r="H792">
        <v>55719</v>
      </c>
      <c r="I792">
        <v>0</v>
      </c>
      <c r="J792">
        <v>55719</v>
      </c>
      <c r="L792">
        <v>33</v>
      </c>
      <c r="M792">
        <v>17721005</v>
      </c>
      <c r="N792" t="s">
        <v>117</v>
      </c>
      <c r="O792" t="s">
        <v>118</v>
      </c>
    </row>
    <row r="793" spans="2:15" x14ac:dyDescent="0.25">
      <c r="B793" t="s">
        <v>15</v>
      </c>
      <c r="C793" s="4">
        <v>44885</v>
      </c>
      <c r="D793">
        <v>11</v>
      </c>
      <c r="E793" t="s">
        <v>16</v>
      </c>
      <c r="F793" t="s">
        <v>43</v>
      </c>
      <c r="G793" t="s">
        <v>40</v>
      </c>
      <c r="H793">
        <v>10505</v>
      </c>
      <c r="I793">
        <v>0</v>
      </c>
      <c r="J793">
        <v>10505</v>
      </c>
      <c r="L793">
        <v>33</v>
      </c>
      <c r="M793">
        <v>17721005</v>
      </c>
      <c r="N793" t="s">
        <v>117</v>
      </c>
      <c r="O793" t="s">
        <v>118</v>
      </c>
    </row>
    <row r="794" spans="2:15" x14ac:dyDescent="0.25">
      <c r="B794" t="s">
        <v>15</v>
      </c>
      <c r="C794" s="4">
        <v>44885</v>
      </c>
      <c r="D794">
        <v>11</v>
      </c>
      <c r="E794" t="s">
        <v>21</v>
      </c>
      <c r="F794" t="s">
        <v>44</v>
      </c>
      <c r="G794" t="s">
        <v>40</v>
      </c>
      <c r="H794">
        <v>0</v>
      </c>
      <c r="I794">
        <v>66224</v>
      </c>
      <c r="J794">
        <v>-66224</v>
      </c>
      <c r="L794">
        <v>33</v>
      </c>
      <c r="M794">
        <v>17721005</v>
      </c>
      <c r="N794" t="s">
        <v>117</v>
      </c>
      <c r="O794" t="s">
        <v>118</v>
      </c>
    </row>
    <row r="795" spans="2:15" x14ac:dyDescent="0.25">
      <c r="B795" t="s">
        <v>15</v>
      </c>
      <c r="C795" s="4">
        <v>44881</v>
      </c>
      <c r="D795">
        <v>11</v>
      </c>
      <c r="E795" t="s">
        <v>38</v>
      </c>
      <c r="F795" t="s">
        <v>39</v>
      </c>
      <c r="G795" t="s">
        <v>40</v>
      </c>
      <c r="H795">
        <v>36101</v>
      </c>
      <c r="I795">
        <v>0</v>
      </c>
      <c r="J795">
        <v>36101</v>
      </c>
      <c r="L795">
        <v>33</v>
      </c>
      <c r="M795">
        <v>10995693</v>
      </c>
      <c r="N795" t="s">
        <v>57</v>
      </c>
      <c r="O795" t="s">
        <v>58</v>
      </c>
    </row>
    <row r="796" spans="2:15" x14ac:dyDescent="0.25">
      <c r="B796" t="s">
        <v>15</v>
      </c>
      <c r="C796" s="4">
        <v>44881</v>
      </c>
      <c r="D796">
        <v>11</v>
      </c>
      <c r="E796" t="s">
        <v>16</v>
      </c>
      <c r="F796" t="s">
        <v>43</v>
      </c>
      <c r="G796" t="s">
        <v>40</v>
      </c>
      <c r="H796">
        <v>6859</v>
      </c>
      <c r="I796">
        <v>0</v>
      </c>
      <c r="J796">
        <v>6859</v>
      </c>
      <c r="L796">
        <v>33</v>
      </c>
      <c r="M796">
        <v>10995693</v>
      </c>
      <c r="N796" t="s">
        <v>57</v>
      </c>
      <c r="O796" t="s">
        <v>58</v>
      </c>
    </row>
    <row r="797" spans="2:15" x14ac:dyDescent="0.25">
      <c r="B797" t="s">
        <v>15</v>
      </c>
      <c r="C797" s="4">
        <v>44881</v>
      </c>
      <c r="D797">
        <v>11</v>
      </c>
      <c r="E797" t="s">
        <v>21</v>
      </c>
      <c r="F797" t="s">
        <v>44</v>
      </c>
      <c r="G797" t="s">
        <v>40</v>
      </c>
      <c r="H797">
        <v>0</v>
      </c>
      <c r="I797">
        <v>42960</v>
      </c>
      <c r="J797">
        <v>-42960</v>
      </c>
      <c r="L797">
        <v>33</v>
      </c>
      <c r="M797">
        <v>10995693</v>
      </c>
      <c r="N797" t="s">
        <v>57</v>
      </c>
      <c r="O797" t="s">
        <v>58</v>
      </c>
    </row>
    <row r="798" spans="2:15" x14ac:dyDescent="0.25">
      <c r="B798" t="s">
        <v>15</v>
      </c>
      <c r="C798" s="4">
        <v>44887</v>
      </c>
      <c r="D798">
        <v>11</v>
      </c>
      <c r="E798" t="s">
        <v>38</v>
      </c>
      <c r="F798" t="s">
        <v>39</v>
      </c>
      <c r="G798" t="s">
        <v>40</v>
      </c>
      <c r="H798">
        <v>35268</v>
      </c>
      <c r="I798">
        <v>0</v>
      </c>
      <c r="J798">
        <v>35268</v>
      </c>
      <c r="L798">
        <v>33</v>
      </c>
      <c r="M798">
        <v>4147</v>
      </c>
      <c r="N798" t="s">
        <v>59</v>
      </c>
      <c r="O798" t="s">
        <v>60</v>
      </c>
    </row>
    <row r="799" spans="2:15" x14ac:dyDescent="0.25">
      <c r="B799" t="s">
        <v>15</v>
      </c>
      <c r="C799" s="4">
        <v>44887</v>
      </c>
      <c r="D799">
        <v>11</v>
      </c>
      <c r="E799" t="s">
        <v>16</v>
      </c>
      <c r="F799" t="s">
        <v>43</v>
      </c>
      <c r="G799" t="s">
        <v>40</v>
      </c>
      <c r="H799">
        <v>6701</v>
      </c>
      <c r="I799">
        <v>0</v>
      </c>
      <c r="J799">
        <v>6701</v>
      </c>
      <c r="L799">
        <v>33</v>
      </c>
      <c r="M799">
        <v>4147</v>
      </c>
      <c r="N799" t="s">
        <v>59</v>
      </c>
      <c r="O799" t="s">
        <v>60</v>
      </c>
    </row>
    <row r="800" spans="2:15" x14ac:dyDescent="0.25">
      <c r="B800" t="s">
        <v>15</v>
      </c>
      <c r="C800" s="4">
        <v>44887</v>
      </c>
      <c r="D800">
        <v>11</v>
      </c>
      <c r="E800" t="s">
        <v>21</v>
      </c>
      <c r="F800" t="s">
        <v>44</v>
      </c>
      <c r="G800" t="s">
        <v>40</v>
      </c>
      <c r="H800">
        <v>0</v>
      </c>
      <c r="I800">
        <v>41969</v>
      </c>
      <c r="J800">
        <v>-41969</v>
      </c>
      <c r="L800">
        <v>33</v>
      </c>
      <c r="M800">
        <v>4147</v>
      </c>
      <c r="N800" t="s">
        <v>59</v>
      </c>
      <c r="O800" t="s">
        <v>60</v>
      </c>
    </row>
    <row r="801" spans="2:15" x14ac:dyDescent="0.25">
      <c r="B801" t="s">
        <v>15</v>
      </c>
      <c r="C801" s="4">
        <v>44887</v>
      </c>
      <c r="D801">
        <v>11</v>
      </c>
      <c r="E801" t="s">
        <v>38</v>
      </c>
      <c r="F801" t="s">
        <v>39</v>
      </c>
      <c r="G801" t="s">
        <v>40</v>
      </c>
      <c r="H801">
        <v>4690</v>
      </c>
      <c r="I801">
        <v>0</v>
      </c>
      <c r="J801">
        <v>4690</v>
      </c>
      <c r="L801">
        <v>33</v>
      </c>
      <c r="M801">
        <v>712809</v>
      </c>
      <c r="N801" t="s">
        <v>49</v>
      </c>
      <c r="O801" t="s">
        <v>50</v>
      </c>
    </row>
    <row r="802" spans="2:15" x14ac:dyDescent="0.25">
      <c r="B802" t="s">
        <v>15</v>
      </c>
      <c r="C802" s="4">
        <v>44887</v>
      </c>
      <c r="D802">
        <v>11</v>
      </c>
      <c r="E802" t="s">
        <v>16</v>
      </c>
      <c r="F802" t="s">
        <v>43</v>
      </c>
      <c r="G802" t="s">
        <v>40</v>
      </c>
      <c r="H802">
        <v>891</v>
      </c>
      <c r="I802">
        <v>0</v>
      </c>
      <c r="J802">
        <v>891</v>
      </c>
      <c r="L802">
        <v>33</v>
      </c>
      <c r="M802">
        <v>712809</v>
      </c>
      <c r="N802" t="s">
        <v>49</v>
      </c>
      <c r="O802" t="s">
        <v>50</v>
      </c>
    </row>
    <row r="803" spans="2:15" x14ac:dyDescent="0.25">
      <c r="B803" t="s">
        <v>15</v>
      </c>
      <c r="C803" s="4">
        <v>44887</v>
      </c>
      <c r="D803">
        <v>11</v>
      </c>
      <c r="E803" t="s">
        <v>21</v>
      </c>
      <c r="F803" t="s">
        <v>44</v>
      </c>
      <c r="G803" t="s">
        <v>40</v>
      </c>
      <c r="H803">
        <v>0</v>
      </c>
      <c r="I803">
        <v>5581</v>
      </c>
      <c r="J803">
        <v>-5581</v>
      </c>
      <c r="L803">
        <v>33</v>
      </c>
      <c r="M803">
        <v>712809</v>
      </c>
      <c r="N803" t="s">
        <v>49</v>
      </c>
      <c r="O803" t="s">
        <v>50</v>
      </c>
    </row>
    <row r="804" spans="2:15" x14ac:dyDescent="0.25">
      <c r="B804" t="s">
        <v>15</v>
      </c>
      <c r="C804" s="4">
        <v>44887</v>
      </c>
      <c r="D804">
        <v>11</v>
      </c>
      <c r="E804" t="s">
        <v>38</v>
      </c>
      <c r="F804" t="s">
        <v>39</v>
      </c>
      <c r="G804" t="s">
        <v>40</v>
      </c>
      <c r="H804">
        <v>19832</v>
      </c>
      <c r="I804">
        <v>0</v>
      </c>
      <c r="J804">
        <v>19832</v>
      </c>
      <c r="L804">
        <v>33</v>
      </c>
      <c r="M804">
        <v>75</v>
      </c>
      <c r="N804" t="s">
        <v>91</v>
      </c>
      <c r="O804" t="s">
        <v>92</v>
      </c>
    </row>
    <row r="805" spans="2:15" x14ac:dyDescent="0.25">
      <c r="B805" t="s">
        <v>15</v>
      </c>
      <c r="C805" s="4">
        <v>44887</v>
      </c>
      <c r="D805">
        <v>11</v>
      </c>
      <c r="E805" t="s">
        <v>16</v>
      </c>
      <c r="F805" t="s">
        <v>43</v>
      </c>
      <c r="G805" t="s">
        <v>40</v>
      </c>
      <c r="H805">
        <v>3768</v>
      </c>
      <c r="I805">
        <v>0</v>
      </c>
      <c r="J805">
        <v>3768</v>
      </c>
      <c r="L805">
        <v>33</v>
      </c>
      <c r="M805">
        <v>75</v>
      </c>
      <c r="N805" t="s">
        <v>91</v>
      </c>
      <c r="O805" t="s">
        <v>92</v>
      </c>
    </row>
    <row r="806" spans="2:15" x14ac:dyDescent="0.25">
      <c r="B806" t="s">
        <v>15</v>
      </c>
      <c r="C806" s="4">
        <v>44887</v>
      </c>
      <c r="D806">
        <v>11</v>
      </c>
      <c r="E806" t="s">
        <v>21</v>
      </c>
      <c r="F806" t="s">
        <v>44</v>
      </c>
      <c r="G806" t="s">
        <v>40</v>
      </c>
      <c r="H806">
        <v>0</v>
      </c>
      <c r="I806">
        <v>23600</v>
      </c>
      <c r="J806">
        <v>-23600</v>
      </c>
      <c r="L806">
        <v>33</v>
      </c>
      <c r="M806">
        <v>75</v>
      </c>
      <c r="N806" t="s">
        <v>91</v>
      </c>
      <c r="O806" t="s">
        <v>92</v>
      </c>
    </row>
    <row r="807" spans="2:15" x14ac:dyDescent="0.25">
      <c r="B807" t="s">
        <v>15</v>
      </c>
      <c r="C807" s="4">
        <v>44888</v>
      </c>
      <c r="D807">
        <v>11</v>
      </c>
      <c r="E807" t="s">
        <v>38</v>
      </c>
      <c r="F807" t="s">
        <v>39</v>
      </c>
      <c r="G807" t="s">
        <v>40</v>
      </c>
      <c r="H807">
        <v>15126</v>
      </c>
      <c r="I807">
        <v>0</v>
      </c>
      <c r="J807">
        <v>15126</v>
      </c>
      <c r="L807">
        <v>33</v>
      </c>
      <c r="M807">
        <v>168612</v>
      </c>
      <c r="N807" t="s">
        <v>45</v>
      </c>
      <c r="O807" t="s">
        <v>46</v>
      </c>
    </row>
    <row r="808" spans="2:15" x14ac:dyDescent="0.25">
      <c r="B808" t="s">
        <v>15</v>
      </c>
      <c r="C808" s="4">
        <v>44888</v>
      </c>
      <c r="D808">
        <v>11</v>
      </c>
      <c r="E808" t="s">
        <v>16</v>
      </c>
      <c r="F808" t="s">
        <v>43</v>
      </c>
      <c r="G808" t="s">
        <v>40</v>
      </c>
      <c r="H808">
        <v>2874</v>
      </c>
      <c r="I808">
        <v>0</v>
      </c>
      <c r="J808">
        <v>2874</v>
      </c>
      <c r="L808">
        <v>33</v>
      </c>
      <c r="M808">
        <v>168612</v>
      </c>
      <c r="N808" t="s">
        <v>45</v>
      </c>
      <c r="O808" t="s">
        <v>46</v>
      </c>
    </row>
    <row r="809" spans="2:15" x14ac:dyDescent="0.25">
      <c r="B809" t="s">
        <v>15</v>
      </c>
      <c r="C809" s="4">
        <v>44888</v>
      </c>
      <c r="D809">
        <v>11</v>
      </c>
      <c r="E809" t="s">
        <v>21</v>
      </c>
      <c r="F809" t="s">
        <v>44</v>
      </c>
      <c r="G809" t="s">
        <v>40</v>
      </c>
      <c r="H809">
        <v>0</v>
      </c>
      <c r="I809">
        <v>18000</v>
      </c>
      <c r="J809">
        <v>-18000</v>
      </c>
      <c r="L809">
        <v>33</v>
      </c>
      <c r="M809">
        <v>168612</v>
      </c>
      <c r="N809" t="s">
        <v>45</v>
      </c>
      <c r="O809" t="s">
        <v>46</v>
      </c>
    </row>
    <row r="810" spans="2:15" x14ac:dyDescent="0.25">
      <c r="B810" t="s">
        <v>15</v>
      </c>
      <c r="C810" s="4">
        <v>44888</v>
      </c>
      <c r="D810">
        <v>11</v>
      </c>
      <c r="E810" t="s">
        <v>38</v>
      </c>
      <c r="F810" t="s">
        <v>39</v>
      </c>
      <c r="G810" t="s">
        <v>40</v>
      </c>
      <c r="H810">
        <v>7568</v>
      </c>
      <c r="I810">
        <v>0</v>
      </c>
      <c r="J810">
        <v>7568</v>
      </c>
      <c r="L810">
        <v>33</v>
      </c>
      <c r="M810">
        <v>713174</v>
      </c>
      <c r="N810" t="s">
        <v>49</v>
      </c>
      <c r="O810" t="s">
        <v>50</v>
      </c>
    </row>
    <row r="811" spans="2:15" x14ac:dyDescent="0.25">
      <c r="B811" t="s">
        <v>15</v>
      </c>
      <c r="C811" s="4">
        <v>44888</v>
      </c>
      <c r="D811">
        <v>11</v>
      </c>
      <c r="E811" t="s">
        <v>16</v>
      </c>
      <c r="F811" t="s">
        <v>43</v>
      </c>
      <c r="G811" t="s">
        <v>40</v>
      </c>
      <c r="H811">
        <v>1438</v>
      </c>
      <c r="I811">
        <v>0</v>
      </c>
      <c r="J811">
        <v>1438</v>
      </c>
      <c r="L811">
        <v>33</v>
      </c>
      <c r="M811">
        <v>713174</v>
      </c>
      <c r="N811" t="s">
        <v>49</v>
      </c>
      <c r="O811" t="s">
        <v>50</v>
      </c>
    </row>
    <row r="812" spans="2:15" x14ac:dyDescent="0.25">
      <c r="B812" t="s">
        <v>15</v>
      </c>
      <c r="C812" s="4">
        <v>44888</v>
      </c>
      <c r="D812">
        <v>11</v>
      </c>
      <c r="E812" t="s">
        <v>21</v>
      </c>
      <c r="F812" t="s">
        <v>44</v>
      </c>
      <c r="G812" t="s">
        <v>40</v>
      </c>
      <c r="H812">
        <v>0</v>
      </c>
      <c r="I812">
        <v>9006</v>
      </c>
      <c r="J812">
        <v>-9006</v>
      </c>
      <c r="L812">
        <v>33</v>
      </c>
      <c r="M812">
        <v>713174</v>
      </c>
      <c r="N812" t="s">
        <v>49</v>
      </c>
      <c r="O812" t="s">
        <v>50</v>
      </c>
    </row>
    <row r="813" spans="2:15" x14ac:dyDescent="0.25">
      <c r="B813" t="s">
        <v>15</v>
      </c>
      <c r="C813" s="4">
        <v>44888</v>
      </c>
      <c r="D813">
        <v>11</v>
      </c>
      <c r="E813" t="s">
        <v>38</v>
      </c>
      <c r="F813" t="s">
        <v>39</v>
      </c>
      <c r="G813" t="s">
        <v>40</v>
      </c>
      <c r="H813">
        <v>36940</v>
      </c>
      <c r="I813">
        <v>0</v>
      </c>
      <c r="J813">
        <v>36940</v>
      </c>
      <c r="L813">
        <v>33</v>
      </c>
      <c r="M813">
        <v>4159</v>
      </c>
      <c r="N813" t="s">
        <v>59</v>
      </c>
      <c r="O813" t="s">
        <v>60</v>
      </c>
    </row>
    <row r="814" spans="2:15" x14ac:dyDescent="0.25">
      <c r="B814" t="s">
        <v>15</v>
      </c>
      <c r="C814" s="4">
        <v>44888</v>
      </c>
      <c r="D814">
        <v>11</v>
      </c>
      <c r="E814" t="s">
        <v>16</v>
      </c>
      <c r="F814" t="s">
        <v>43</v>
      </c>
      <c r="G814" t="s">
        <v>40</v>
      </c>
      <c r="H814">
        <v>7019</v>
      </c>
      <c r="I814">
        <v>0</v>
      </c>
      <c r="J814">
        <v>7019</v>
      </c>
      <c r="L814">
        <v>33</v>
      </c>
      <c r="M814">
        <v>4159</v>
      </c>
      <c r="N814" t="s">
        <v>59</v>
      </c>
      <c r="O814" t="s">
        <v>60</v>
      </c>
    </row>
    <row r="815" spans="2:15" x14ac:dyDescent="0.25">
      <c r="B815" t="s">
        <v>15</v>
      </c>
      <c r="C815" s="4">
        <v>44888</v>
      </c>
      <c r="D815">
        <v>11</v>
      </c>
      <c r="E815" t="s">
        <v>21</v>
      </c>
      <c r="F815" t="s">
        <v>44</v>
      </c>
      <c r="G815" t="s">
        <v>40</v>
      </c>
      <c r="H815">
        <v>0</v>
      </c>
      <c r="I815">
        <v>43959</v>
      </c>
      <c r="J815">
        <v>-43959</v>
      </c>
      <c r="L815">
        <v>33</v>
      </c>
      <c r="M815">
        <v>4159</v>
      </c>
      <c r="N815" t="s">
        <v>59</v>
      </c>
      <c r="O815" t="s">
        <v>60</v>
      </c>
    </row>
    <row r="816" spans="2:15" x14ac:dyDescent="0.25">
      <c r="B816" t="s">
        <v>15</v>
      </c>
      <c r="C816" s="4">
        <v>44888</v>
      </c>
      <c r="D816">
        <v>11</v>
      </c>
      <c r="E816" t="s">
        <v>38</v>
      </c>
      <c r="F816" t="s">
        <v>39</v>
      </c>
      <c r="G816" t="s">
        <v>40</v>
      </c>
      <c r="H816">
        <v>23450</v>
      </c>
      <c r="I816">
        <v>0</v>
      </c>
      <c r="J816">
        <v>23450</v>
      </c>
      <c r="L816">
        <v>33</v>
      </c>
      <c r="M816">
        <v>713217</v>
      </c>
      <c r="N816" t="s">
        <v>49</v>
      </c>
      <c r="O816" t="s">
        <v>50</v>
      </c>
    </row>
    <row r="817" spans="2:15" x14ac:dyDescent="0.25">
      <c r="B817" t="s">
        <v>15</v>
      </c>
      <c r="C817" s="4">
        <v>44888</v>
      </c>
      <c r="D817">
        <v>11</v>
      </c>
      <c r="E817" t="s">
        <v>16</v>
      </c>
      <c r="F817" t="s">
        <v>43</v>
      </c>
      <c r="G817" t="s">
        <v>40</v>
      </c>
      <c r="H817">
        <v>4456</v>
      </c>
      <c r="I817">
        <v>0</v>
      </c>
      <c r="J817">
        <v>4456</v>
      </c>
      <c r="L817">
        <v>33</v>
      </c>
      <c r="M817">
        <v>713217</v>
      </c>
      <c r="N817" t="s">
        <v>49</v>
      </c>
      <c r="O817" t="s">
        <v>50</v>
      </c>
    </row>
    <row r="818" spans="2:15" x14ac:dyDescent="0.25">
      <c r="B818" t="s">
        <v>15</v>
      </c>
      <c r="C818" s="4">
        <v>44888</v>
      </c>
      <c r="D818">
        <v>11</v>
      </c>
      <c r="E818" t="s">
        <v>21</v>
      </c>
      <c r="F818" t="s">
        <v>44</v>
      </c>
      <c r="G818" t="s">
        <v>40</v>
      </c>
      <c r="H818">
        <v>0</v>
      </c>
      <c r="I818">
        <v>27906</v>
      </c>
      <c r="J818">
        <v>-27906</v>
      </c>
      <c r="L818">
        <v>33</v>
      </c>
      <c r="M818">
        <v>713217</v>
      </c>
      <c r="N818" t="s">
        <v>49</v>
      </c>
      <c r="O818" t="s">
        <v>50</v>
      </c>
    </row>
    <row r="819" spans="2:15" x14ac:dyDescent="0.25">
      <c r="B819" t="s">
        <v>15</v>
      </c>
      <c r="C819" s="4">
        <v>44889</v>
      </c>
      <c r="D819">
        <v>11</v>
      </c>
      <c r="E819" t="s">
        <v>38</v>
      </c>
      <c r="F819" t="s">
        <v>39</v>
      </c>
      <c r="G819" t="s">
        <v>40</v>
      </c>
      <c r="H819">
        <v>256100</v>
      </c>
      <c r="I819">
        <v>0</v>
      </c>
      <c r="J819">
        <v>256100</v>
      </c>
      <c r="L819">
        <v>33</v>
      </c>
      <c r="M819">
        <v>713446</v>
      </c>
      <c r="N819" t="s">
        <v>49</v>
      </c>
      <c r="O819" t="s">
        <v>50</v>
      </c>
    </row>
    <row r="820" spans="2:15" x14ac:dyDescent="0.25">
      <c r="B820" t="s">
        <v>15</v>
      </c>
      <c r="C820" s="4">
        <v>44889</v>
      </c>
      <c r="D820">
        <v>11</v>
      </c>
      <c r="E820" t="s">
        <v>16</v>
      </c>
      <c r="F820" t="s">
        <v>43</v>
      </c>
      <c r="G820" t="s">
        <v>40</v>
      </c>
      <c r="H820">
        <v>48659</v>
      </c>
      <c r="I820">
        <v>0</v>
      </c>
      <c r="J820">
        <v>48659</v>
      </c>
      <c r="L820">
        <v>33</v>
      </c>
      <c r="M820">
        <v>713446</v>
      </c>
      <c r="N820" t="s">
        <v>49</v>
      </c>
      <c r="O820" t="s">
        <v>50</v>
      </c>
    </row>
    <row r="821" spans="2:15" x14ac:dyDescent="0.25">
      <c r="B821" t="s">
        <v>15</v>
      </c>
      <c r="C821" s="4">
        <v>44889</v>
      </c>
      <c r="D821">
        <v>11</v>
      </c>
      <c r="E821" t="s">
        <v>21</v>
      </c>
      <c r="F821" t="s">
        <v>44</v>
      </c>
      <c r="G821" t="s">
        <v>40</v>
      </c>
      <c r="H821">
        <v>0</v>
      </c>
      <c r="I821">
        <v>304759</v>
      </c>
      <c r="J821">
        <v>-304759</v>
      </c>
      <c r="L821">
        <v>33</v>
      </c>
      <c r="M821">
        <v>713446</v>
      </c>
      <c r="N821" t="s">
        <v>49</v>
      </c>
      <c r="O821" t="s">
        <v>50</v>
      </c>
    </row>
    <row r="822" spans="2:15" x14ac:dyDescent="0.25">
      <c r="B822" t="s">
        <v>15</v>
      </c>
      <c r="C822" s="4">
        <v>44889</v>
      </c>
      <c r="D822">
        <v>11</v>
      </c>
      <c r="E822" t="s">
        <v>38</v>
      </c>
      <c r="F822" t="s">
        <v>39</v>
      </c>
      <c r="G822" t="s">
        <v>40</v>
      </c>
      <c r="H822">
        <v>58000</v>
      </c>
      <c r="I822">
        <v>0</v>
      </c>
      <c r="J822">
        <v>58000</v>
      </c>
      <c r="L822">
        <v>33</v>
      </c>
      <c r="M822">
        <v>409669</v>
      </c>
      <c r="N822" t="s">
        <v>51</v>
      </c>
      <c r="O822" t="s">
        <v>52</v>
      </c>
    </row>
    <row r="823" spans="2:15" x14ac:dyDescent="0.25">
      <c r="B823" t="s">
        <v>15</v>
      </c>
      <c r="C823" s="4">
        <v>44889</v>
      </c>
      <c r="D823">
        <v>11</v>
      </c>
      <c r="E823" t="s">
        <v>16</v>
      </c>
      <c r="F823" t="s">
        <v>43</v>
      </c>
      <c r="G823" t="s">
        <v>40</v>
      </c>
      <c r="H823">
        <v>11020</v>
      </c>
      <c r="I823">
        <v>0</v>
      </c>
      <c r="J823">
        <v>11020</v>
      </c>
      <c r="L823">
        <v>33</v>
      </c>
      <c r="M823">
        <v>409669</v>
      </c>
      <c r="N823" t="s">
        <v>51</v>
      </c>
      <c r="O823" t="s">
        <v>52</v>
      </c>
    </row>
    <row r="824" spans="2:15" x14ac:dyDescent="0.25">
      <c r="B824" t="s">
        <v>15</v>
      </c>
      <c r="C824" s="4">
        <v>44889</v>
      </c>
      <c r="D824">
        <v>11</v>
      </c>
      <c r="E824" t="s">
        <v>21</v>
      </c>
      <c r="F824" t="s">
        <v>44</v>
      </c>
      <c r="G824" t="s">
        <v>40</v>
      </c>
      <c r="H824">
        <v>0</v>
      </c>
      <c r="I824">
        <v>69020</v>
      </c>
      <c r="J824">
        <v>-69020</v>
      </c>
      <c r="L824">
        <v>33</v>
      </c>
      <c r="M824">
        <v>409669</v>
      </c>
      <c r="N824" t="s">
        <v>51</v>
      </c>
      <c r="O824" t="s">
        <v>52</v>
      </c>
    </row>
    <row r="825" spans="2:15" x14ac:dyDescent="0.25">
      <c r="B825" t="s">
        <v>15</v>
      </c>
      <c r="C825" s="4">
        <v>44889</v>
      </c>
      <c r="D825">
        <v>11</v>
      </c>
      <c r="E825" t="s">
        <v>38</v>
      </c>
      <c r="F825" t="s">
        <v>39</v>
      </c>
      <c r="G825" t="s">
        <v>40</v>
      </c>
      <c r="H825">
        <v>35500</v>
      </c>
      <c r="I825">
        <v>0</v>
      </c>
      <c r="J825">
        <v>35500</v>
      </c>
      <c r="L825">
        <v>33</v>
      </c>
      <c r="M825">
        <v>409689</v>
      </c>
      <c r="N825" t="s">
        <v>51</v>
      </c>
      <c r="O825" t="s">
        <v>52</v>
      </c>
    </row>
    <row r="826" spans="2:15" x14ac:dyDescent="0.25">
      <c r="B826" t="s">
        <v>15</v>
      </c>
      <c r="C826" s="4">
        <v>44889</v>
      </c>
      <c r="D826">
        <v>11</v>
      </c>
      <c r="E826" t="s">
        <v>16</v>
      </c>
      <c r="F826" t="s">
        <v>43</v>
      </c>
      <c r="G826" t="s">
        <v>40</v>
      </c>
      <c r="H826">
        <v>6745</v>
      </c>
      <c r="I826">
        <v>0</v>
      </c>
      <c r="J826">
        <v>6745</v>
      </c>
      <c r="L826">
        <v>33</v>
      </c>
      <c r="M826">
        <v>409689</v>
      </c>
      <c r="N826" t="s">
        <v>51</v>
      </c>
      <c r="O826" t="s">
        <v>52</v>
      </c>
    </row>
    <row r="827" spans="2:15" x14ac:dyDescent="0.25">
      <c r="B827" t="s">
        <v>15</v>
      </c>
      <c r="C827" s="4">
        <v>44889</v>
      </c>
      <c r="D827">
        <v>11</v>
      </c>
      <c r="E827" t="s">
        <v>21</v>
      </c>
      <c r="F827" t="s">
        <v>44</v>
      </c>
      <c r="G827" t="s">
        <v>40</v>
      </c>
      <c r="H827">
        <v>0</v>
      </c>
      <c r="I827">
        <v>42245</v>
      </c>
      <c r="J827">
        <v>-42245</v>
      </c>
      <c r="L827">
        <v>33</v>
      </c>
      <c r="M827">
        <v>409689</v>
      </c>
      <c r="N827" t="s">
        <v>51</v>
      </c>
      <c r="O827" t="s">
        <v>52</v>
      </c>
    </row>
    <row r="828" spans="2:15" x14ac:dyDescent="0.25">
      <c r="B828" t="s">
        <v>15</v>
      </c>
      <c r="C828" s="4">
        <v>44889</v>
      </c>
      <c r="D828">
        <v>11</v>
      </c>
      <c r="E828" t="s">
        <v>38</v>
      </c>
      <c r="F828" t="s">
        <v>39</v>
      </c>
      <c r="G828" t="s">
        <v>40</v>
      </c>
      <c r="H828">
        <v>8640</v>
      </c>
      <c r="I828">
        <v>0</v>
      </c>
      <c r="J828">
        <v>8640</v>
      </c>
      <c r="L828">
        <v>33</v>
      </c>
      <c r="M828">
        <v>409726</v>
      </c>
      <c r="N828" t="s">
        <v>51</v>
      </c>
      <c r="O828" t="s">
        <v>52</v>
      </c>
    </row>
    <row r="829" spans="2:15" x14ac:dyDescent="0.25">
      <c r="B829" t="s">
        <v>15</v>
      </c>
      <c r="C829" s="4">
        <v>44889</v>
      </c>
      <c r="D829">
        <v>11</v>
      </c>
      <c r="E829" t="s">
        <v>16</v>
      </c>
      <c r="F829" t="s">
        <v>43</v>
      </c>
      <c r="G829" t="s">
        <v>40</v>
      </c>
      <c r="H829">
        <v>1642</v>
      </c>
      <c r="I829">
        <v>0</v>
      </c>
      <c r="J829">
        <v>1642</v>
      </c>
      <c r="L829">
        <v>33</v>
      </c>
      <c r="M829">
        <v>409726</v>
      </c>
      <c r="N829" t="s">
        <v>51</v>
      </c>
      <c r="O829" t="s">
        <v>52</v>
      </c>
    </row>
    <row r="830" spans="2:15" x14ac:dyDescent="0.25">
      <c r="B830" t="s">
        <v>15</v>
      </c>
      <c r="C830" s="4">
        <v>44889</v>
      </c>
      <c r="D830">
        <v>11</v>
      </c>
      <c r="E830" t="s">
        <v>21</v>
      </c>
      <c r="F830" t="s">
        <v>44</v>
      </c>
      <c r="G830" t="s">
        <v>40</v>
      </c>
      <c r="H830">
        <v>0</v>
      </c>
      <c r="I830">
        <v>10282</v>
      </c>
      <c r="J830">
        <v>-10282</v>
      </c>
      <c r="L830">
        <v>33</v>
      </c>
      <c r="M830">
        <v>409726</v>
      </c>
      <c r="N830" t="s">
        <v>51</v>
      </c>
      <c r="O830" t="s">
        <v>52</v>
      </c>
    </row>
    <row r="831" spans="2:15" x14ac:dyDescent="0.25">
      <c r="B831" t="s">
        <v>15</v>
      </c>
      <c r="C831" s="4">
        <v>44890</v>
      </c>
      <c r="D831">
        <v>11</v>
      </c>
      <c r="E831" t="s">
        <v>38</v>
      </c>
      <c r="F831" t="s">
        <v>39</v>
      </c>
      <c r="G831" t="s">
        <v>40</v>
      </c>
      <c r="H831">
        <v>32160</v>
      </c>
      <c r="I831">
        <v>0</v>
      </c>
      <c r="J831">
        <v>32160</v>
      </c>
      <c r="L831">
        <v>33</v>
      </c>
      <c r="M831">
        <v>410036</v>
      </c>
      <c r="N831" t="s">
        <v>51</v>
      </c>
      <c r="O831" t="s">
        <v>52</v>
      </c>
    </row>
    <row r="832" spans="2:15" x14ac:dyDescent="0.25">
      <c r="B832" t="s">
        <v>15</v>
      </c>
      <c r="C832" s="4">
        <v>44890</v>
      </c>
      <c r="D832">
        <v>11</v>
      </c>
      <c r="E832" t="s">
        <v>16</v>
      </c>
      <c r="F832" t="s">
        <v>43</v>
      </c>
      <c r="G832" t="s">
        <v>40</v>
      </c>
      <c r="H832">
        <v>6110</v>
      </c>
      <c r="I832">
        <v>0</v>
      </c>
      <c r="J832">
        <v>6110</v>
      </c>
      <c r="L832">
        <v>33</v>
      </c>
      <c r="M832">
        <v>410036</v>
      </c>
      <c r="N832" t="s">
        <v>51</v>
      </c>
      <c r="O832" t="s">
        <v>52</v>
      </c>
    </row>
    <row r="833" spans="2:15" x14ac:dyDescent="0.25">
      <c r="B833" t="s">
        <v>15</v>
      </c>
      <c r="C833" s="4">
        <v>44890</v>
      </c>
      <c r="D833">
        <v>11</v>
      </c>
      <c r="E833" t="s">
        <v>21</v>
      </c>
      <c r="F833" t="s">
        <v>44</v>
      </c>
      <c r="G833" t="s">
        <v>40</v>
      </c>
      <c r="H833">
        <v>0</v>
      </c>
      <c r="I833">
        <v>38270</v>
      </c>
      <c r="J833">
        <v>-38270</v>
      </c>
      <c r="L833">
        <v>33</v>
      </c>
      <c r="M833">
        <v>410036</v>
      </c>
      <c r="N833" t="s">
        <v>51</v>
      </c>
      <c r="O833" t="s">
        <v>52</v>
      </c>
    </row>
    <row r="834" spans="2:15" x14ac:dyDescent="0.25">
      <c r="B834" t="s">
        <v>15</v>
      </c>
      <c r="C834" s="4">
        <v>44891</v>
      </c>
      <c r="D834">
        <v>11</v>
      </c>
      <c r="E834" t="s">
        <v>38</v>
      </c>
      <c r="F834" t="s">
        <v>39</v>
      </c>
      <c r="G834" t="s">
        <v>40</v>
      </c>
      <c r="H834">
        <v>163800</v>
      </c>
      <c r="I834">
        <v>0</v>
      </c>
      <c r="J834">
        <v>163800</v>
      </c>
      <c r="L834">
        <v>33</v>
      </c>
      <c r="M834">
        <v>2008</v>
      </c>
      <c r="N834" t="s">
        <v>77</v>
      </c>
      <c r="O834" t="s">
        <v>78</v>
      </c>
    </row>
    <row r="835" spans="2:15" x14ac:dyDescent="0.25">
      <c r="B835" t="s">
        <v>15</v>
      </c>
      <c r="C835" s="4">
        <v>44891</v>
      </c>
      <c r="D835">
        <v>11</v>
      </c>
      <c r="E835" t="s">
        <v>16</v>
      </c>
      <c r="F835" t="s">
        <v>43</v>
      </c>
      <c r="G835" t="s">
        <v>40</v>
      </c>
      <c r="H835">
        <v>31122</v>
      </c>
      <c r="I835">
        <v>0</v>
      </c>
      <c r="J835">
        <v>31122</v>
      </c>
      <c r="L835">
        <v>33</v>
      </c>
      <c r="M835">
        <v>2008</v>
      </c>
      <c r="N835" t="s">
        <v>77</v>
      </c>
      <c r="O835" t="s">
        <v>78</v>
      </c>
    </row>
    <row r="836" spans="2:15" x14ac:dyDescent="0.25">
      <c r="B836" t="s">
        <v>15</v>
      </c>
      <c r="C836" s="4">
        <v>44891</v>
      </c>
      <c r="D836">
        <v>11</v>
      </c>
      <c r="E836" t="s">
        <v>21</v>
      </c>
      <c r="F836" t="s">
        <v>44</v>
      </c>
      <c r="G836" t="s">
        <v>40</v>
      </c>
      <c r="H836">
        <v>0</v>
      </c>
      <c r="I836">
        <v>194922</v>
      </c>
      <c r="J836">
        <v>-194922</v>
      </c>
      <c r="L836">
        <v>33</v>
      </c>
      <c r="M836">
        <v>2008</v>
      </c>
      <c r="N836" t="s">
        <v>77</v>
      </c>
      <c r="O836" t="s">
        <v>78</v>
      </c>
    </row>
    <row r="837" spans="2:15" x14ac:dyDescent="0.25">
      <c r="B837" t="s">
        <v>15</v>
      </c>
      <c r="C837" s="4">
        <v>44892</v>
      </c>
      <c r="D837">
        <v>11</v>
      </c>
      <c r="E837" t="s">
        <v>38</v>
      </c>
      <c r="F837" t="s">
        <v>39</v>
      </c>
      <c r="G837" t="s">
        <v>40</v>
      </c>
      <c r="H837">
        <v>98273</v>
      </c>
      <c r="I837">
        <v>0</v>
      </c>
      <c r="J837">
        <v>98273</v>
      </c>
      <c r="L837">
        <v>33</v>
      </c>
      <c r="M837">
        <v>17732836</v>
      </c>
      <c r="N837" t="s">
        <v>117</v>
      </c>
      <c r="O837" t="s">
        <v>118</v>
      </c>
    </row>
    <row r="838" spans="2:15" x14ac:dyDescent="0.25">
      <c r="B838" t="s">
        <v>15</v>
      </c>
      <c r="C838" s="4">
        <v>44892</v>
      </c>
      <c r="D838">
        <v>11</v>
      </c>
      <c r="E838" t="s">
        <v>16</v>
      </c>
      <c r="F838" t="s">
        <v>43</v>
      </c>
      <c r="G838" t="s">
        <v>40</v>
      </c>
      <c r="H838">
        <v>18500</v>
      </c>
      <c r="I838">
        <v>0</v>
      </c>
      <c r="J838">
        <v>18500</v>
      </c>
      <c r="L838">
        <v>33</v>
      </c>
      <c r="M838">
        <v>17732836</v>
      </c>
      <c r="N838" t="s">
        <v>117</v>
      </c>
      <c r="O838" t="s">
        <v>118</v>
      </c>
    </row>
    <row r="839" spans="2:15" x14ac:dyDescent="0.25">
      <c r="B839" t="s">
        <v>15</v>
      </c>
      <c r="C839" s="4">
        <v>44892</v>
      </c>
      <c r="D839">
        <v>11</v>
      </c>
      <c r="E839" t="s">
        <v>21</v>
      </c>
      <c r="F839" t="s">
        <v>44</v>
      </c>
      <c r="G839" t="s">
        <v>40</v>
      </c>
      <c r="H839">
        <v>0</v>
      </c>
      <c r="I839">
        <v>116773</v>
      </c>
      <c r="J839">
        <v>-116773</v>
      </c>
      <c r="L839">
        <v>33</v>
      </c>
      <c r="M839">
        <v>17732836</v>
      </c>
      <c r="N839" t="s">
        <v>117</v>
      </c>
      <c r="O839" t="s">
        <v>118</v>
      </c>
    </row>
    <row r="840" spans="2:15" x14ac:dyDescent="0.25">
      <c r="B840" t="s">
        <v>15</v>
      </c>
      <c r="C840" s="4">
        <v>44893</v>
      </c>
      <c r="D840">
        <v>11</v>
      </c>
      <c r="E840" t="s">
        <v>38</v>
      </c>
      <c r="F840" t="s">
        <v>39</v>
      </c>
      <c r="G840" t="s">
        <v>40</v>
      </c>
      <c r="H840">
        <v>10916</v>
      </c>
      <c r="I840">
        <v>0</v>
      </c>
      <c r="J840">
        <v>10916</v>
      </c>
      <c r="L840">
        <v>33</v>
      </c>
      <c r="M840">
        <v>40011</v>
      </c>
      <c r="N840" t="s">
        <v>81</v>
      </c>
      <c r="O840" t="s">
        <v>82</v>
      </c>
    </row>
    <row r="841" spans="2:15" x14ac:dyDescent="0.25">
      <c r="B841" t="s">
        <v>15</v>
      </c>
      <c r="C841" s="4">
        <v>44893</v>
      </c>
      <c r="D841">
        <v>11</v>
      </c>
      <c r="E841" t="s">
        <v>16</v>
      </c>
      <c r="F841" t="s">
        <v>43</v>
      </c>
      <c r="G841" t="s">
        <v>40</v>
      </c>
      <c r="H841">
        <v>2074</v>
      </c>
      <c r="I841">
        <v>0</v>
      </c>
      <c r="J841">
        <v>2074</v>
      </c>
      <c r="L841">
        <v>33</v>
      </c>
      <c r="M841">
        <v>40011</v>
      </c>
      <c r="N841" t="s">
        <v>81</v>
      </c>
      <c r="O841" t="s">
        <v>82</v>
      </c>
    </row>
    <row r="842" spans="2:15" x14ac:dyDescent="0.25">
      <c r="B842" t="s">
        <v>15</v>
      </c>
      <c r="C842" s="4">
        <v>44893</v>
      </c>
      <c r="D842">
        <v>11</v>
      </c>
      <c r="E842" t="s">
        <v>21</v>
      </c>
      <c r="F842" t="s">
        <v>44</v>
      </c>
      <c r="G842" t="s">
        <v>40</v>
      </c>
      <c r="H842">
        <v>0</v>
      </c>
      <c r="I842">
        <v>12990</v>
      </c>
      <c r="J842">
        <v>-12990</v>
      </c>
      <c r="L842">
        <v>33</v>
      </c>
      <c r="M842">
        <v>40011</v>
      </c>
      <c r="N842" t="s">
        <v>81</v>
      </c>
      <c r="O842" t="s">
        <v>82</v>
      </c>
    </row>
    <row r="843" spans="2:15" x14ac:dyDescent="0.25">
      <c r="B843" t="s">
        <v>15</v>
      </c>
      <c r="C843" s="4">
        <v>44893</v>
      </c>
      <c r="D843">
        <v>11</v>
      </c>
      <c r="E843" t="s">
        <v>38</v>
      </c>
      <c r="F843" t="s">
        <v>39</v>
      </c>
      <c r="G843" t="s">
        <v>40</v>
      </c>
      <c r="H843">
        <v>57120</v>
      </c>
      <c r="I843">
        <v>0</v>
      </c>
      <c r="J843">
        <v>57120</v>
      </c>
      <c r="L843">
        <v>33</v>
      </c>
      <c r="M843">
        <v>410282</v>
      </c>
      <c r="N843" t="s">
        <v>51</v>
      </c>
      <c r="O843" t="s">
        <v>52</v>
      </c>
    </row>
    <row r="844" spans="2:15" x14ac:dyDescent="0.25">
      <c r="B844" t="s">
        <v>15</v>
      </c>
      <c r="C844" s="4">
        <v>44893</v>
      </c>
      <c r="D844">
        <v>11</v>
      </c>
      <c r="E844" t="s">
        <v>16</v>
      </c>
      <c r="F844" t="s">
        <v>43</v>
      </c>
      <c r="G844" t="s">
        <v>40</v>
      </c>
      <c r="H844">
        <v>10853</v>
      </c>
      <c r="I844">
        <v>0</v>
      </c>
      <c r="J844">
        <v>10853</v>
      </c>
      <c r="L844">
        <v>33</v>
      </c>
      <c r="M844">
        <v>410282</v>
      </c>
      <c r="N844" t="s">
        <v>51</v>
      </c>
      <c r="O844" t="s">
        <v>52</v>
      </c>
    </row>
    <row r="845" spans="2:15" x14ac:dyDescent="0.25">
      <c r="B845" t="s">
        <v>15</v>
      </c>
      <c r="C845" s="4">
        <v>44893</v>
      </c>
      <c r="D845">
        <v>11</v>
      </c>
      <c r="E845" t="s">
        <v>21</v>
      </c>
      <c r="F845" t="s">
        <v>44</v>
      </c>
      <c r="G845" t="s">
        <v>40</v>
      </c>
      <c r="H845">
        <v>0</v>
      </c>
      <c r="I845">
        <v>67973</v>
      </c>
      <c r="J845">
        <v>-67973</v>
      </c>
      <c r="L845">
        <v>33</v>
      </c>
      <c r="M845">
        <v>410282</v>
      </c>
      <c r="N845" t="s">
        <v>51</v>
      </c>
      <c r="O845" t="s">
        <v>52</v>
      </c>
    </row>
    <row r="846" spans="2:15" x14ac:dyDescent="0.25">
      <c r="B846" t="s">
        <v>15</v>
      </c>
      <c r="C846" s="4">
        <v>44895</v>
      </c>
      <c r="D846">
        <v>11</v>
      </c>
      <c r="E846" t="s">
        <v>38</v>
      </c>
      <c r="F846" t="s">
        <v>39</v>
      </c>
      <c r="G846" t="s">
        <v>40</v>
      </c>
      <c r="H846">
        <v>277100</v>
      </c>
      <c r="I846">
        <v>0</v>
      </c>
      <c r="J846">
        <v>277100</v>
      </c>
      <c r="L846">
        <v>33</v>
      </c>
      <c r="M846">
        <v>18545</v>
      </c>
      <c r="N846" t="s">
        <v>105</v>
      </c>
      <c r="O846" t="s">
        <v>106</v>
      </c>
    </row>
    <row r="847" spans="2:15" x14ac:dyDescent="0.25">
      <c r="B847" t="s">
        <v>15</v>
      </c>
      <c r="C847" s="4">
        <v>44895</v>
      </c>
      <c r="D847">
        <v>11</v>
      </c>
      <c r="E847" t="s">
        <v>16</v>
      </c>
      <c r="F847" t="s">
        <v>43</v>
      </c>
      <c r="G847" t="s">
        <v>40</v>
      </c>
      <c r="H847">
        <v>52649</v>
      </c>
      <c r="I847">
        <v>0</v>
      </c>
      <c r="J847">
        <v>52649</v>
      </c>
      <c r="L847">
        <v>33</v>
      </c>
      <c r="M847">
        <v>18545</v>
      </c>
      <c r="N847" t="s">
        <v>105</v>
      </c>
      <c r="O847" t="s">
        <v>106</v>
      </c>
    </row>
    <row r="848" spans="2:15" x14ac:dyDescent="0.25">
      <c r="B848" t="s">
        <v>15</v>
      </c>
      <c r="C848" s="4">
        <v>44895</v>
      </c>
      <c r="D848">
        <v>11</v>
      </c>
      <c r="E848" t="s">
        <v>21</v>
      </c>
      <c r="F848" t="s">
        <v>44</v>
      </c>
      <c r="G848" t="s">
        <v>40</v>
      </c>
      <c r="H848">
        <v>0</v>
      </c>
      <c r="I848">
        <v>329749</v>
      </c>
      <c r="J848">
        <v>-329749</v>
      </c>
      <c r="L848">
        <v>33</v>
      </c>
      <c r="M848">
        <v>18545</v>
      </c>
      <c r="N848" t="s">
        <v>105</v>
      </c>
      <c r="O848" t="s">
        <v>106</v>
      </c>
    </row>
    <row r="849" spans="2:15" x14ac:dyDescent="0.25">
      <c r="B849" t="s">
        <v>15</v>
      </c>
      <c r="C849" s="4">
        <v>44859</v>
      </c>
      <c r="D849">
        <v>11</v>
      </c>
      <c r="E849" t="s">
        <v>38</v>
      </c>
      <c r="F849" t="s">
        <v>39</v>
      </c>
      <c r="G849" t="s">
        <v>40</v>
      </c>
      <c r="H849">
        <v>119903</v>
      </c>
      <c r="I849">
        <v>0</v>
      </c>
      <c r="J849">
        <v>119903</v>
      </c>
      <c r="L849">
        <v>34</v>
      </c>
      <c r="M849">
        <v>129</v>
      </c>
      <c r="N849" t="s">
        <v>71</v>
      </c>
      <c r="O849" t="s">
        <v>72</v>
      </c>
    </row>
    <row r="850" spans="2:15" x14ac:dyDescent="0.25">
      <c r="B850" t="s">
        <v>15</v>
      </c>
      <c r="C850" s="4">
        <v>44859</v>
      </c>
      <c r="D850">
        <v>11</v>
      </c>
      <c r="E850" t="s">
        <v>16</v>
      </c>
      <c r="F850" t="s">
        <v>43</v>
      </c>
      <c r="G850" t="s">
        <v>40</v>
      </c>
      <c r="H850">
        <v>0</v>
      </c>
      <c r="I850">
        <v>0</v>
      </c>
      <c r="J850">
        <v>0</v>
      </c>
      <c r="L850">
        <v>34</v>
      </c>
      <c r="M850">
        <v>129</v>
      </c>
      <c r="N850" t="s">
        <v>71</v>
      </c>
      <c r="O850" t="s">
        <v>72</v>
      </c>
    </row>
    <row r="851" spans="2:15" x14ac:dyDescent="0.25">
      <c r="B851" t="s">
        <v>15</v>
      </c>
      <c r="C851" s="4">
        <v>44859</v>
      </c>
      <c r="D851">
        <v>11</v>
      </c>
      <c r="E851" t="s">
        <v>21</v>
      </c>
      <c r="F851" t="s">
        <v>44</v>
      </c>
      <c r="G851" t="s">
        <v>40</v>
      </c>
      <c r="H851">
        <v>0</v>
      </c>
      <c r="I851">
        <v>119903</v>
      </c>
      <c r="J851">
        <v>-119903</v>
      </c>
      <c r="L851">
        <v>34</v>
      </c>
      <c r="M851">
        <v>129</v>
      </c>
      <c r="N851" t="s">
        <v>71</v>
      </c>
      <c r="O851" t="s">
        <v>72</v>
      </c>
    </row>
    <row r="852" spans="2:15" x14ac:dyDescent="0.25">
      <c r="B852" t="s">
        <v>15</v>
      </c>
      <c r="C852" s="4">
        <v>44897</v>
      </c>
      <c r="D852">
        <v>12</v>
      </c>
      <c r="E852" t="s">
        <v>38</v>
      </c>
      <c r="F852" t="s">
        <v>39</v>
      </c>
      <c r="G852" t="s">
        <v>40</v>
      </c>
      <c r="H852">
        <v>218638</v>
      </c>
      <c r="I852">
        <v>0</v>
      </c>
      <c r="J852">
        <v>218638</v>
      </c>
      <c r="L852">
        <v>33</v>
      </c>
      <c r="M852">
        <v>276490</v>
      </c>
      <c r="N852" t="s">
        <v>111</v>
      </c>
      <c r="O852" t="s">
        <v>119</v>
      </c>
    </row>
    <row r="853" spans="2:15" x14ac:dyDescent="0.25">
      <c r="B853" t="s">
        <v>15</v>
      </c>
      <c r="C853" s="4">
        <v>44897</v>
      </c>
      <c r="D853">
        <v>12</v>
      </c>
      <c r="E853" t="s">
        <v>16</v>
      </c>
      <c r="F853" t="s">
        <v>43</v>
      </c>
      <c r="G853" t="s">
        <v>40</v>
      </c>
      <c r="H853">
        <v>41541</v>
      </c>
      <c r="I853">
        <v>0</v>
      </c>
      <c r="J853">
        <v>41541</v>
      </c>
      <c r="L853">
        <v>33</v>
      </c>
      <c r="M853">
        <v>276490</v>
      </c>
      <c r="N853" t="s">
        <v>111</v>
      </c>
      <c r="O853" t="s">
        <v>119</v>
      </c>
    </row>
    <row r="854" spans="2:15" x14ac:dyDescent="0.25">
      <c r="B854" t="s">
        <v>15</v>
      </c>
      <c r="C854" s="4">
        <v>44897</v>
      </c>
      <c r="D854">
        <v>12</v>
      </c>
      <c r="E854" t="s">
        <v>21</v>
      </c>
      <c r="F854" t="s">
        <v>44</v>
      </c>
      <c r="G854" t="s">
        <v>40</v>
      </c>
      <c r="H854">
        <v>0</v>
      </c>
      <c r="I854">
        <v>260179</v>
      </c>
      <c r="J854">
        <v>-260179</v>
      </c>
      <c r="L854">
        <v>33</v>
      </c>
      <c r="M854">
        <v>276490</v>
      </c>
      <c r="N854" t="s">
        <v>111</v>
      </c>
      <c r="O854" t="s">
        <v>119</v>
      </c>
    </row>
    <row r="855" spans="2:15" x14ac:dyDescent="0.25">
      <c r="B855" t="s">
        <v>15</v>
      </c>
      <c r="C855" s="4">
        <v>44897</v>
      </c>
      <c r="D855">
        <v>12</v>
      </c>
      <c r="E855" t="s">
        <v>38</v>
      </c>
      <c r="F855" t="s">
        <v>39</v>
      </c>
      <c r="G855" t="s">
        <v>40</v>
      </c>
      <c r="H855">
        <v>89412</v>
      </c>
      <c r="I855">
        <v>0</v>
      </c>
      <c r="J855">
        <v>89412</v>
      </c>
      <c r="L855">
        <v>33</v>
      </c>
      <c r="M855">
        <v>18531</v>
      </c>
      <c r="N855" t="s">
        <v>120</v>
      </c>
      <c r="O855" t="s">
        <v>121</v>
      </c>
    </row>
    <row r="856" spans="2:15" x14ac:dyDescent="0.25">
      <c r="B856" t="s">
        <v>15</v>
      </c>
      <c r="C856" s="4">
        <v>44897</v>
      </c>
      <c r="D856">
        <v>12</v>
      </c>
      <c r="E856" t="s">
        <v>16</v>
      </c>
      <c r="F856" t="s">
        <v>43</v>
      </c>
      <c r="G856" t="s">
        <v>40</v>
      </c>
      <c r="H856">
        <v>16988</v>
      </c>
      <c r="I856">
        <v>0</v>
      </c>
      <c r="J856">
        <v>16988</v>
      </c>
      <c r="L856">
        <v>33</v>
      </c>
      <c r="M856">
        <v>18531</v>
      </c>
      <c r="N856" t="s">
        <v>120</v>
      </c>
      <c r="O856" t="s">
        <v>121</v>
      </c>
    </row>
    <row r="857" spans="2:15" x14ac:dyDescent="0.25">
      <c r="B857" t="s">
        <v>15</v>
      </c>
      <c r="C857" s="4">
        <v>44897</v>
      </c>
      <c r="D857">
        <v>12</v>
      </c>
      <c r="E857" t="s">
        <v>21</v>
      </c>
      <c r="F857" t="s">
        <v>44</v>
      </c>
      <c r="G857" t="s">
        <v>40</v>
      </c>
      <c r="H857">
        <v>0</v>
      </c>
      <c r="I857">
        <v>106400</v>
      </c>
      <c r="J857">
        <v>-106400</v>
      </c>
      <c r="L857">
        <v>33</v>
      </c>
      <c r="M857">
        <v>18531</v>
      </c>
      <c r="N857" t="s">
        <v>120</v>
      </c>
      <c r="O857" t="s">
        <v>121</v>
      </c>
    </row>
    <row r="858" spans="2:15" x14ac:dyDescent="0.25">
      <c r="B858" t="s">
        <v>15</v>
      </c>
      <c r="C858" s="4">
        <v>44900</v>
      </c>
      <c r="D858">
        <v>12</v>
      </c>
      <c r="E858" t="s">
        <v>38</v>
      </c>
      <c r="F858" t="s">
        <v>39</v>
      </c>
      <c r="G858" t="s">
        <v>40</v>
      </c>
      <c r="H858">
        <v>72980</v>
      </c>
      <c r="I858">
        <v>0</v>
      </c>
      <c r="J858">
        <v>72980</v>
      </c>
      <c r="L858">
        <v>33</v>
      </c>
      <c r="M858">
        <v>411576</v>
      </c>
      <c r="N858" t="s">
        <v>51</v>
      </c>
      <c r="O858" t="s">
        <v>52</v>
      </c>
    </row>
    <row r="859" spans="2:15" x14ac:dyDescent="0.25">
      <c r="B859" t="s">
        <v>15</v>
      </c>
      <c r="C859" s="4">
        <v>44900</v>
      </c>
      <c r="D859">
        <v>12</v>
      </c>
      <c r="E859" t="s">
        <v>16</v>
      </c>
      <c r="F859" t="s">
        <v>43</v>
      </c>
      <c r="G859" t="s">
        <v>40</v>
      </c>
      <c r="H859">
        <v>13866</v>
      </c>
      <c r="I859">
        <v>0</v>
      </c>
      <c r="J859">
        <v>13866</v>
      </c>
      <c r="L859">
        <v>33</v>
      </c>
      <c r="M859">
        <v>411576</v>
      </c>
      <c r="N859" t="s">
        <v>51</v>
      </c>
      <c r="O859" t="s">
        <v>52</v>
      </c>
    </row>
    <row r="860" spans="2:15" x14ac:dyDescent="0.25">
      <c r="B860" t="s">
        <v>15</v>
      </c>
      <c r="C860" s="4">
        <v>44900</v>
      </c>
      <c r="D860">
        <v>12</v>
      </c>
      <c r="E860" t="s">
        <v>21</v>
      </c>
      <c r="F860" t="s">
        <v>44</v>
      </c>
      <c r="G860" t="s">
        <v>40</v>
      </c>
      <c r="H860">
        <v>0</v>
      </c>
      <c r="I860">
        <v>86846</v>
      </c>
      <c r="J860">
        <v>-86846</v>
      </c>
      <c r="L860">
        <v>33</v>
      </c>
      <c r="M860">
        <v>411576</v>
      </c>
      <c r="N860" t="s">
        <v>51</v>
      </c>
      <c r="O860" t="s">
        <v>52</v>
      </c>
    </row>
    <row r="861" spans="2:15" x14ac:dyDescent="0.25">
      <c r="B861" t="s">
        <v>15</v>
      </c>
      <c r="C861" s="4">
        <v>44900</v>
      </c>
      <c r="D861">
        <v>12</v>
      </c>
      <c r="E861" t="s">
        <v>38</v>
      </c>
      <c r="F861" t="s">
        <v>39</v>
      </c>
      <c r="G861" t="s">
        <v>40</v>
      </c>
      <c r="H861">
        <v>76940</v>
      </c>
      <c r="I861">
        <v>0</v>
      </c>
      <c r="J861">
        <v>76940</v>
      </c>
      <c r="L861">
        <v>33</v>
      </c>
      <c r="M861">
        <v>411615</v>
      </c>
      <c r="N861" t="s">
        <v>51</v>
      </c>
      <c r="O861" t="s">
        <v>52</v>
      </c>
    </row>
    <row r="862" spans="2:15" x14ac:dyDescent="0.25">
      <c r="B862" t="s">
        <v>15</v>
      </c>
      <c r="C862" s="4">
        <v>44900</v>
      </c>
      <c r="D862">
        <v>12</v>
      </c>
      <c r="E862" t="s">
        <v>16</v>
      </c>
      <c r="F862" t="s">
        <v>43</v>
      </c>
      <c r="G862" t="s">
        <v>40</v>
      </c>
      <c r="H862">
        <v>14619</v>
      </c>
      <c r="I862">
        <v>0</v>
      </c>
      <c r="J862">
        <v>14619</v>
      </c>
      <c r="L862">
        <v>33</v>
      </c>
      <c r="M862">
        <v>411615</v>
      </c>
      <c r="N862" t="s">
        <v>51</v>
      </c>
      <c r="O862" t="s">
        <v>52</v>
      </c>
    </row>
    <row r="863" spans="2:15" x14ac:dyDescent="0.25">
      <c r="B863" t="s">
        <v>15</v>
      </c>
      <c r="C863" s="4">
        <v>44900</v>
      </c>
      <c r="D863">
        <v>12</v>
      </c>
      <c r="E863" t="s">
        <v>21</v>
      </c>
      <c r="F863" t="s">
        <v>44</v>
      </c>
      <c r="G863" t="s">
        <v>40</v>
      </c>
      <c r="H863">
        <v>0</v>
      </c>
      <c r="I863">
        <v>91559</v>
      </c>
      <c r="J863">
        <v>-91559</v>
      </c>
      <c r="L863">
        <v>33</v>
      </c>
      <c r="M863">
        <v>411615</v>
      </c>
      <c r="N863" t="s">
        <v>51</v>
      </c>
      <c r="O863" t="s">
        <v>52</v>
      </c>
    </row>
    <row r="864" spans="2:15" x14ac:dyDescent="0.25">
      <c r="B864" t="s">
        <v>15</v>
      </c>
      <c r="C864" s="4">
        <v>44903</v>
      </c>
      <c r="D864">
        <v>12</v>
      </c>
      <c r="E864" t="s">
        <v>38</v>
      </c>
      <c r="F864" t="s">
        <v>39</v>
      </c>
      <c r="G864" t="s">
        <v>40</v>
      </c>
      <c r="H864">
        <v>8235</v>
      </c>
      <c r="I864">
        <v>0</v>
      </c>
      <c r="J864">
        <v>8235</v>
      </c>
      <c r="L864">
        <v>33</v>
      </c>
      <c r="M864">
        <v>82</v>
      </c>
      <c r="N864" t="s">
        <v>91</v>
      </c>
      <c r="O864" t="s">
        <v>92</v>
      </c>
    </row>
    <row r="865" spans="2:15" x14ac:dyDescent="0.25">
      <c r="B865" t="s">
        <v>15</v>
      </c>
      <c r="C865" s="4">
        <v>44903</v>
      </c>
      <c r="D865">
        <v>12</v>
      </c>
      <c r="E865" t="s">
        <v>16</v>
      </c>
      <c r="F865" t="s">
        <v>43</v>
      </c>
      <c r="G865" t="s">
        <v>40</v>
      </c>
      <c r="H865">
        <v>1565</v>
      </c>
      <c r="I865">
        <v>0</v>
      </c>
      <c r="J865">
        <v>1565</v>
      </c>
      <c r="L865">
        <v>33</v>
      </c>
      <c r="M865">
        <v>82</v>
      </c>
      <c r="N865" t="s">
        <v>91</v>
      </c>
      <c r="O865" t="s">
        <v>92</v>
      </c>
    </row>
    <row r="866" spans="2:15" x14ac:dyDescent="0.25">
      <c r="B866" t="s">
        <v>15</v>
      </c>
      <c r="C866" s="4">
        <v>44903</v>
      </c>
      <c r="D866">
        <v>12</v>
      </c>
      <c r="E866" t="s">
        <v>21</v>
      </c>
      <c r="F866" t="s">
        <v>44</v>
      </c>
      <c r="G866" t="s">
        <v>40</v>
      </c>
      <c r="H866">
        <v>0</v>
      </c>
      <c r="I866">
        <v>9800</v>
      </c>
      <c r="J866">
        <v>-9800</v>
      </c>
      <c r="L866">
        <v>33</v>
      </c>
      <c r="M866">
        <v>82</v>
      </c>
      <c r="N866" t="s">
        <v>91</v>
      </c>
      <c r="O866" t="s">
        <v>92</v>
      </c>
    </row>
    <row r="867" spans="2:15" x14ac:dyDescent="0.25">
      <c r="B867" t="s">
        <v>15</v>
      </c>
      <c r="C867" s="4">
        <v>44908</v>
      </c>
      <c r="D867">
        <v>12</v>
      </c>
      <c r="E867" t="s">
        <v>38</v>
      </c>
      <c r="F867" t="s">
        <v>39</v>
      </c>
      <c r="G867" t="s">
        <v>40</v>
      </c>
      <c r="H867">
        <v>576220</v>
      </c>
      <c r="I867">
        <v>0</v>
      </c>
      <c r="J867">
        <v>576220</v>
      </c>
      <c r="L867">
        <v>33</v>
      </c>
      <c r="M867">
        <v>718798</v>
      </c>
      <c r="N867" t="s">
        <v>49</v>
      </c>
      <c r="O867" t="s">
        <v>50</v>
      </c>
    </row>
    <row r="868" spans="2:15" x14ac:dyDescent="0.25">
      <c r="B868" t="s">
        <v>15</v>
      </c>
      <c r="C868" s="4">
        <v>44908</v>
      </c>
      <c r="D868">
        <v>12</v>
      </c>
      <c r="E868" t="s">
        <v>16</v>
      </c>
      <c r="F868" t="s">
        <v>43</v>
      </c>
      <c r="G868" t="s">
        <v>40</v>
      </c>
      <c r="H868">
        <v>109482</v>
      </c>
      <c r="I868">
        <v>0</v>
      </c>
      <c r="J868">
        <v>109482</v>
      </c>
      <c r="L868">
        <v>33</v>
      </c>
      <c r="M868">
        <v>718798</v>
      </c>
      <c r="N868" t="s">
        <v>49</v>
      </c>
      <c r="O868" t="s">
        <v>50</v>
      </c>
    </row>
    <row r="869" spans="2:15" x14ac:dyDescent="0.25">
      <c r="B869" t="s">
        <v>15</v>
      </c>
      <c r="C869" s="4">
        <v>44908</v>
      </c>
      <c r="D869">
        <v>12</v>
      </c>
      <c r="E869" t="s">
        <v>21</v>
      </c>
      <c r="F869" t="s">
        <v>44</v>
      </c>
      <c r="G869" t="s">
        <v>40</v>
      </c>
      <c r="H869">
        <v>0</v>
      </c>
      <c r="I869">
        <v>685702</v>
      </c>
      <c r="J869">
        <v>-685702</v>
      </c>
      <c r="L869">
        <v>33</v>
      </c>
      <c r="M869">
        <v>718798</v>
      </c>
      <c r="N869" t="s">
        <v>49</v>
      </c>
      <c r="O869" t="s">
        <v>50</v>
      </c>
    </row>
    <row r="870" spans="2:15" x14ac:dyDescent="0.25">
      <c r="B870" t="s">
        <v>15</v>
      </c>
      <c r="C870" s="4">
        <v>44909</v>
      </c>
      <c r="D870">
        <v>12</v>
      </c>
      <c r="E870" t="s">
        <v>38</v>
      </c>
      <c r="F870" t="s">
        <v>39</v>
      </c>
      <c r="G870" t="s">
        <v>40</v>
      </c>
      <c r="H870">
        <v>74700</v>
      </c>
      <c r="I870">
        <v>0</v>
      </c>
      <c r="J870">
        <v>74700</v>
      </c>
      <c r="L870">
        <v>33</v>
      </c>
      <c r="M870">
        <v>412972</v>
      </c>
      <c r="N870" t="s">
        <v>51</v>
      </c>
      <c r="O870" t="s">
        <v>52</v>
      </c>
    </row>
    <row r="871" spans="2:15" x14ac:dyDescent="0.25">
      <c r="B871" t="s">
        <v>15</v>
      </c>
      <c r="C871" s="4">
        <v>44909</v>
      </c>
      <c r="D871">
        <v>12</v>
      </c>
      <c r="E871" t="s">
        <v>16</v>
      </c>
      <c r="F871" t="s">
        <v>43</v>
      </c>
      <c r="G871" t="s">
        <v>40</v>
      </c>
      <c r="H871">
        <v>14193</v>
      </c>
      <c r="I871">
        <v>0</v>
      </c>
      <c r="J871">
        <v>14193</v>
      </c>
      <c r="L871">
        <v>33</v>
      </c>
      <c r="M871">
        <v>412972</v>
      </c>
      <c r="N871" t="s">
        <v>51</v>
      </c>
      <c r="O871" t="s">
        <v>52</v>
      </c>
    </row>
    <row r="872" spans="2:15" x14ac:dyDescent="0.25">
      <c r="B872" t="s">
        <v>15</v>
      </c>
      <c r="C872" s="4">
        <v>44909</v>
      </c>
      <c r="D872">
        <v>12</v>
      </c>
      <c r="E872" t="s">
        <v>21</v>
      </c>
      <c r="F872" t="s">
        <v>44</v>
      </c>
      <c r="G872" t="s">
        <v>40</v>
      </c>
      <c r="H872">
        <v>0</v>
      </c>
      <c r="I872">
        <v>88893</v>
      </c>
      <c r="J872">
        <v>-88893</v>
      </c>
      <c r="L872">
        <v>33</v>
      </c>
      <c r="M872">
        <v>412972</v>
      </c>
      <c r="N872" t="s">
        <v>51</v>
      </c>
      <c r="O872" t="s">
        <v>52</v>
      </c>
    </row>
    <row r="873" spans="2:15" x14ac:dyDescent="0.25">
      <c r="B873" t="s">
        <v>15</v>
      </c>
      <c r="C873" s="4">
        <v>44910</v>
      </c>
      <c r="D873">
        <v>12</v>
      </c>
      <c r="E873" t="s">
        <v>38</v>
      </c>
      <c r="F873" t="s">
        <v>39</v>
      </c>
      <c r="G873" t="s">
        <v>40</v>
      </c>
      <c r="H873">
        <v>156870</v>
      </c>
      <c r="I873">
        <v>0</v>
      </c>
      <c r="J873">
        <v>156870</v>
      </c>
      <c r="L873">
        <v>33</v>
      </c>
      <c r="M873">
        <v>413098</v>
      </c>
      <c r="N873" t="s">
        <v>51</v>
      </c>
      <c r="O873" t="s">
        <v>52</v>
      </c>
    </row>
    <row r="874" spans="2:15" x14ac:dyDescent="0.25">
      <c r="B874" t="s">
        <v>15</v>
      </c>
      <c r="C874" s="4">
        <v>44910</v>
      </c>
      <c r="D874">
        <v>12</v>
      </c>
      <c r="E874" t="s">
        <v>16</v>
      </c>
      <c r="F874" t="s">
        <v>43</v>
      </c>
      <c r="G874" t="s">
        <v>40</v>
      </c>
      <c r="H874">
        <v>29805</v>
      </c>
      <c r="I874">
        <v>0</v>
      </c>
      <c r="J874">
        <v>29805</v>
      </c>
      <c r="L874">
        <v>33</v>
      </c>
      <c r="M874">
        <v>413098</v>
      </c>
      <c r="N874" t="s">
        <v>51</v>
      </c>
      <c r="O874" t="s">
        <v>52</v>
      </c>
    </row>
    <row r="875" spans="2:15" x14ac:dyDescent="0.25">
      <c r="B875" t="s">
        <v>15</v>
      </c>
      <c r="C875" s="4">
        <v>44910</v>
      </c>
      <c r="D875">
        <v>12</v>
      </c>
      <c r="E875" t="s">
        <v>21</v>
      </c>
      <c r="F875" t="s">
        <v>44</v>
      </c>
      <c r="G875" t="s">
        <v>40</v>
      </c>
      <c r="H875">
        <v>0</v>
      </c>
      <c r="I875">
        <v>186675</v>
      </c>
      <c r="J875">
        <v>-186675</v>
      </c>
      <c r="L875">
        <v>33</v>
      </c>
      <c r="M875">
        <v>413098</v>
      </c>
      <c r="N875" t="s">
        <v>51</v>
      </c>
      <c r="O875" t="s">
        <v>52</v>
      </c>
    </row>
    <row r="876" spans="2:15" x14ac:dyDescent="0.25">
      <c r="B876" t="s">
        <v>15</v>
      </c>
      <c r="C876" s="4">
        <v>44910</v>
      </c>
      <c r="D876">
        <v>12</v>
      </c>
      <c r="E876" t="s">
        <v>38</v>
      </c>
      <c r="F876" t="s">
        <v>39</v>
      </c>
      <c r="G876" t="s">
        <v>40</v>
      </c>
      <c r="H876">
        <v>153717</v>
      </c>
      <c r="I876">
        <v>0</v>
      </c>
      <c r="J876">
        <v>153717</v>
      </c>
      <c r="L876">
        <v>33</v>
      </c>
      <c r="M876">
        <v>16223</v>
      </c>
      <c r="N876" t="s">
        <v>61</v>
      </c>
      <c r="O876" t="s">
        <v>62</v>
      </c>
    </row>
    <row r="877" spans="2:15" x14ac:dyDescent="0.25">
      <c r="B877" t="s">
        <v>15</v>
      </c>
      <c r="C877" s="4">
        <v>44910</v>
      </c>
      <c r="D877">
        <v>12</v>
      </c>
      <c r="E877" t="s">
        <v>16</v>
      </c>
      <c r="F877" t="s">
        <v>43</v>
      </c>
      <c r="G877" t="s">
        <v>40</v>
      </c>
      <c r="H877">
        <v>29206</v>
      </c>
      <c r="I877">
        <v>0</v>
      </c>
      <c r="J877">
        <v>29206</v>
      </c>
      <c r="L877">
        <v>33</v>
      </c>
      <c r="M877">
        <v>16223</v>
      </c>
      <c r="N877" t="s">
        <v>61</v>
      </c>
      <c r="O877" t="s">
        <v>62</v>
      </c>
    </row>
    <row r="878" spans="2:15" x14ac:dyDescent="0.25">
      <c r="B878" t="s">
        <v>15</v>
      </c>
      <c r="C878" s="4">
        <v>44910</v>
      </c>
      <c r="D878">
        <v>12</v>
      </c>
      <c r="E878" t="s">
        <v>21</v>
      </c>
      <c r="F878" t="s">
        <v>44</v>
      </c>
      <c r="G878" t="s">
        <v>40</v>
      </c>
      <c r="H878">
        <v>0</v>
      </c>
      <c r="I878">
        <v>182923</v>
      </c>
      <c r="J878">
        <v>-182923</v>
      </c>
      <c r="L878">
        <v>33</v>
      </c>
      <c r="M878">
        <v>16223</v>
      </c>
      <c r="N878" t="s">
        <v>61</v>
      </c>
      <c r="O878" t="s">
        <v>62</v>
      </c>
    </row>
    <row r="879" spans="2:15" x14ac:dyDescent="0.25">
      <c r="B879" t="s">
        <v>15</v>
      </c>
      <c r="C879" s="4">
        <v>44910</v>
      </c>
      <c r="D879">
        <v>12</v>
      </c>
      <c r="E879" t="s">
        <v>38</v>
      </c>
      <c r="F879" t="s">
        <v>39</v>
      </c>
      <c r="G879" t="s">
        <v>40</v>
      </c>
      <c r="H879">
        <v>11211</v>
      </c>
      <c r="I879">
        <v>0</v>
      </c>
      <c r="J879">
        <v>11211</v>
      </c>
      <c r="L879">
        <v>33</v>
      </c>
      <c r="M879">
        <v>371740</v>
      </c>
      <c r="N879" t="s">
        <v>85</v>
      </c>
      <c r="O879" t="s">
        <v>86</v>
      </c>
    </row>
    <row r="880" spans="2:15" x14ac:dyDescent="0.25">
      <c r="B880" t="s">
        <v>15</v>
      </c>
      <c r="C880" s="4">
        <v>44910</v>
      </c>
      <c r="D880">
        <v>12</v>
      </c>
      <c r="E880" t="s">
        <v>16</v>
      </c>
      <c r="F880" t="s">
        <v>43</v>
      </c>
      <c r="G880" t="s">
        <v>40</v>
      </c>
      <c r="H880">
        <v>2130</v>
      </c>
      <c r="I880">
        <v>0</v>
      </c>
      <c r="J880">
        <v>2130</v>
      </c>
      <c r="L880">
        <v>33</v>
      </c>
      <c r="M880">
        <v>371740</v>
      </c>
      <c r="N880" t="s">
        <v>85</v>
      </c>
      <c r="O880" t="s">
        <v>86</v>
      </c>
    </row>
    <row r="881" spans="2:15" x14ac:dyDescent="0.25">
      <c r="B881" t="s">
        <v>15</v>
      </c>
      <c r="C881" s="4">
        <v>44910</v>
      </c>
      <c r="D881">
        <v>12</v>
      </c>
      <c r="E881" t="s">
        <v>21</v>
      </c>
      <c r="F881" t="s">
        <v>44</v>
      </c>
      <c r="G881" t="s">
        <v>40</v>
      </c>
      <c r="H881">
        <v>0</v>
      </c>
      <c r="I881">
        <v>13341</v>
      </c>
      <c r="J881">
        <v>-13341</v>
      </c>
      <c r="L881">
        <v>33</v>
      </c>
      <c r="M881">
        <v>371740</v>
      </c>
      <c r="N881" t="s">
        <v>85</v>
      </c>
      <c r="O881" t="s">
        <v>86</v>
      </c>
    </row>
    <row r="882" spans="2:15" x14ac:dyDescent="0.25">
      <c r="B882" t="s">
        <v>15</v>
      </c>
      <c r="C882" s="4">
        <v>44911</v>
      </c>
      <c r="D882">
        <v>12</v>
      </c>
      <c r="E882" t="s">
        <v>38</v>
      </c>
      <c r="F882" t="s">
        <v>39</v>
      </c>
      <c r="G882" t="s">
        <v>40</v>
      </c>
      <c r="H882">
        <v>3361</v>
      </c>
      <c r="I882">
        <v>0</v>
      </c>
      <c r="J882">
        <v>3361</v>
      </c>
      <c r="L882">
        <v>33</v>
      </c>
      <c r="M882">
        <v>95</v>
      </c>
      <c r="N882" t="s">
        <v>91</v>
      </c>
      <c r="O882" t="s">
        <v>92</v>
      </c>
    </row>
    <row r="883" spans="2:15" x14ac:dyDescent="0.25">
      <c r="B883" t="s">
        <v>15</v>
      </c>
      <c r="C883" s="4">
        <v>44911</v>
      </c>
      <c r="D883">
        <v>12</v>
      </c>
      <c r="E883" t="s">
        <v>16</v>
      </c>
      <c r="F883" t="s">
        <v>43</v>
      </c>
      <c r="G883" t="s">
        <v>40</v>
      </c>
      <c r="H883">
        <v>639</v>
      </c>
      <c r="I883">
        <v>0</v>
      </c>
      <c r="J883">
        <v>639</v>
      </c>
      <c r="L883">
        <v>33</v>
      </c>
      <c r="M883">
        <v>95</v>
      </c>
      <c r="N883" t="s">
        <v>91</v>
      </c>
      <c r="O883" t="s">
        <v>92</v>
      </c>
    </row>
    <row r="884" spans="2:15" x14ac:dyDescent="0.25">
      <c r="B884" t="s">
        <v>15</v>
      </c>
      <c r="C884" s="4">
        <v>44911</v>
      </c>
      <c r="D884">
        <v>12</v>
      </c>
      <c r="E884" t="s">
        <v>21</v>
      </c>
      <c r="F884" t="s">
        <v>44</v>
      </c>
      <c r="G884" t="s">
        <v>40</v>
      </c>
      <c r="H884">
        <v>0</v>
      </c>
      <c r="I884">
        <v>4000</v>
      </c>
      <c r="J884">
        <v>-4000</v>
      </c>
      <c r="L884">
        <v>33</v>
      </c>
      <c r="M884">
        <v>95</v>
      </c>
      <c r="N884" t="s">
        <v>91</v>
      </c>
      <c r="O884" t="s">
        <v>92</v>
      </c>
    </row>
    <row r="885" spans="2:15" x14ac:dyDescent="0.25">
      <c r="B885" t="s">
        <v>15</v>
      </c>
      <c r="C885" s="4">
        <v>44911</v>
      </c>
      <c r="D885">
        <v>12</v>
      </c>
      <c r="E885" t="s">
        <v>38</v>
      </c>
      <c r="F885" t="s">
        <v>39</v>
      </c>
      <c r="G885" t="s">
        <v>40</v>
      </c>
      <c r="H885">
        <v>139832</v>
      </c>
      <c r="I885">
        <v>0</v>
      </c>
      <c r="J885">
        <v>139832</v>
      </c>
      <c r="L885">
        <v>33</v>
      </c>
      <c r="M885">
        <v>18933</v>
      </c>
      <c r="N885" t="s">
        <v>120</v>
      </c>
      <c r="O885" t="s">
        <v>121</v>
      </c>
    </row>
    <row r="886" spans="2:15" x14ac:dyDescent="0.25">
      <c r="B886" t="s">
        <v>15</v>
      </c>
      <c r="C886" s="4">
        <v>44911</v>
      </c>
      <c r="D886">
        <v>12</v>
      </c>
      <c r="E886" t="s">
        <v>16</v>
      </c>
      <c r="F886" t="s">
        <v>43</v>
      </c>
      <c r="G886" t="s">
        <v>40</v>
      </c>
      <c r="H886">
        <v>26568</v>
      </c>
      <c r="I886">
        <v>0</v>
      </c>
      <c r="J886">
        <v>26568</v>
      </c>
      <c r="L886">
        <v>33</v>
      </c>
      <c r="M886">
        <v>18933</v>
      </c>
      <c r="N886" t="s">
        <v>120</v>
      </c>
      <c r="O886" t="s">
        <v>121</v>
      </c>
    </row>
    <row r="887" spans="2:15" x14ac:dyDescent="0.25">
      <c r="B887" t="s">
        <v>15</v>
      </c>
      <c r="C887" s="4">
        <v>44911</v>
      </c>
      <c r="D887">
        <v>12</v>
      </c>
      <c r="E887" t="s">
        <v>21</v>
      </c>
      <c r="F887" t="s">
        <v>44</v>
      </c>
      <c r="G887" t="s">
        <v>40</v>
      </c>
      <c r="H887">
        <v>0</v>
      </c>
      <c r="I887">
        <v>166400</v>
      </c>
      <c r="J887">
        <v>-166400</v>
      </c>
      <c r="L887">
        <v>33</v>
      </c>
      <c r="M887">
        <v>18933</v>
      </c>
      <c r="N887" t="s">
        <v>120</v>
      </c>
      <c r="O887" t="s">
        <v>121</v>
      </c>
    </row>
    <row r="888" spans="2:15" x14ac:dyDescent="0.25">
      <c r="B888" t="s">
        <v>15</v>
      </c>
      <c r="C888" s="4">
        <v>44914</v>
      </c>
      <c r="D888">
        <v>12</v>
      </c>
      <c r="E888" t="s">
        <v>38</v>
      </c>
      <c r="F888" t="s">
        <v>39</v>
      </c>
      <c r="G888" t="s">
        <v>40</v>
      </c>
      <c r="H888">
        <v>20740</v>
      </c>
      <c r="I888">
        <v>0</v>
      </c>
      <c r="J888">
        <v>20740</v>
      </c>
      <c r="L888">
        <v>33</v>
      </c>
      <c r="M888">
        <v>413568</v>
      </c>
      <c r="N888" t="s">
        <v>51</v>
      </c>
      <c r="O888" t="s">
        <v>52</v>
      </c>
    </row>
    <row r="889" spans="2:15" x14ac:dyDescent="0.25">
      <c r="B889" t="s">
        <v>15</v>
      </c>
      <c r="C889" s="4">
        <v>44914</v>
      </c>
      <c r="D889">
        <v>12</v>
      </c>
      <c r="E889" t="s">
        <v>16</v>
      </c>
      <c r="F889" t="s">
        <v>43</v>
      </c>
      <c r="G889" t="s">
        <v>40</v>
      </c>
      <c r="H889">
        <v>3941</v>
      </c>
      <c r="I889">
        <v>0</v>
      </c>
      <c r="J889">
        <v>3941</v>
      </c>
      <c r="L889">
        <v>33</v>
      </c>
      <c r="M889">
        <v>413568</v>
      </c>
      <c r="N889" t="s">
        <v>51</v>
      </c>
      <c r="O889" t="s">
        <v>52</v>
      </c>
    </row>
    <row r="890" spans="2:15" x14ac:dyDescent="0.25">
      <c r="B890" t="s">
        <v>15</v>
      </c>
      <c r="C890" s="4">
        <v>44914</v>
      </c>
      <c r="D890">
        <v>12</v>
      </c>
      <c r="E890" t="s">
        <v>21</v>
      </c>
      <c r="F890" t="s">
        <v>44</v>
      </c>
      <c r="G890" t="s">
        <v>40</v>
      </c>
      <c r="H890">
        <v>0</v>
      </c>
      <c r="I890">
        <v>24681</v>
      </c>
      <c r="J890">
        <v>-24681</v>
      </c>
      <c r="L890">
        <v>33</v>
      </c>
      <c r="M890">
        <v>413568</v>
      </c>
      <c r="N890" t="s">
        <v>51</v>
      </c>
      <c r="O890" t="s">
        <v>52</v>
      </c>
    </row>
    <row r="891" spans="2:15" x14ac:dyDescent="0.25">
      <c r="B891" t="s">
        <v>15</v>
      </c>
      <c r="C891" s="4">
        <v>44915</v>
      </c>
      <c r="D891">
        <v>12</v>
      </c>
      <c r="E891" t="s">
        <v>38</v>
      </c>
      <c r="F891" t="s">
        <v>39</v>
      </c>
      <c r="G891" t="s">
        <v>40</v>
      </c>
      <c r="H891">
        <v>11412</v>
      </c>
      <c r="I891">
        <v>0</v>
      </c>
      <c r="J891">
        <v>11412</v>
      </c>
      <c r="L891">
        <v>33</v>
      </c>
      <c r="M891">
        <v>41074</v>
      </c>
      <c r="N891" t="s">
        <v>81</v>
      </c>
      <c r="O891" t="s">
        <v>82</v>
      </c>
    </row>
    <row r="892" spans="2:15" x14ac:dyDescent="0.25">
      <c r="B892" t="s">
        <v>15</v>
      </c>
      <c r="C892" s="4">
        <v>44915</v>
      </c>
      <c r="D892">
        <v>12</v>
      </c>
      <c r="E892" t="s">
        <v>16</v>
      </c>
      <c r="F892" t="s">
        <v>43</v>
      </c>
      <c r="G892" t="s">
        <v>40</v>
      </c>
      <c r="H892">
        <v>2168</v>
      </c>
      <c r="I892">
        <v>0</v>
      </c>
      <c r="J892">
        <v>2168</v>
      </c>
      <c r="L892">
        <v>33</v>
      </c>
      <c r="M892">
        <v>41074</v>
      </c>
      <c r="N892" t="s">
        <v>81</v>
      </c>
      <c r="O892" t="s">
        <v>82</v>
      </c>
    </row>
    <row r="893" spans="2:15" x14ac:dyDescent="0.25">
      <c r="B893" t="s">
        <v>15</v>
      </c>
      <c r="C893" s="4">
        <v>44915</v>
      </c>
      <c r="D893">
        <v>12</v>
      </c>
      <c r="E893" t="s">
        <v>21</v>
      </c>
      <c r="F893" t="s">
        <v>44</v>
      </c>
      <c r="G893" t="s">
        <v>40</v>
      </c>
      <c r="H893">
        <v>0</v>
      </c>
      <c r="I893">
        <v>13580</v>
      </c>
      <c r="J893">
        <v>-13580</v>
      </c>
      <c r="L893">
        <v>33</v>
      </c>
      <c r="M893">
        <v>41074</v>
      </c>
      <c r="N893" t="s">
        <v>81</v>
      </c>
      <c r="O893" t="s">
        <v>82</v>
      </c>
    </row>
    <row r="894" spans="2:15" x14ac:dyDescent="0.25">
      <c r="B894" t="s">
        <v>15</v>
      </c>
      <c r="C894" s="4">
        <v>44915</v>
      </c>
      <c r="D894">
        <v>12</v>
      </c>
      <c r="E894" t="s">
        <v>38</v>
      </c>
      <c r="F894" t="s">
        <v>39</v>
      </c>
      <c r="G894" t="s">
        <v>40</v>
      </c>
      <c r="H894">
        <v>15408</v>
      </c>
      <c r="I894">
        <v>0</v>
      </c>
      <c r="J894">
        <v>15408</v>
      </c>
      <c r="L894">
        <v>33</v>
      </c>
      <c r="M894">
        <v>372228</v>
      </c>
      <c r="N894" t="s">
        <v>85</v>
      </c>
      <c r="O894" t="s">
        <v>86</v>
      </c>
    </row>
    <row r="895" spans="2:15" x14ac:dyDescent="0.25">
      <c r="B895" t="s">
        <v>15</v>
      </c>
      <c r="C895" s="4">
        <v>44915</v>
      </c>
      <c r="D895">
        <v>12</v>
      </c>
      <c r="E895" t="s">
        <v>16</v>
      </c>
      <c r="F895" t="s">
        <v>43</v>
      </c>
      <c r="G895" t="s">
        <v>40</v>
      </c>
      <c r="H895">
        <v>2928</v>
      </c>
      <c r="I895">
        <v>0</v>
      </c>
      <c r="J895">
        <v>2928</v>
      </c>
      <c r="L895">
        <v>33</v>
      </c>
      <c r="M895">
        <v>372228</v>
      </c>
      <c r="N895" t="s">
        <v>85</v>
      </c>
      <c r="O895" t="s">
        <v>86</v>
      </c>
    </row>
    <row r="896" spans="2:15" x14ac:dyDescent="0.25">
      <c r="B896" t="s">
        <v>15</v>
      </c>
      <c r="C896" s="4">
        <v>44915</v>
      </c>
      <c r="D896">
        <v>12</v>
      </c>
      <c r="E896" t="s">
        <v>21</v>
      </c>
      <c r="F896" t="s">
        <v>44</v>
      </c>
      <c r="G896" t="s">
        <v>40</v>
      </c>
      <c r="H896">
        <v>0</v>
      </c>
      <c r="I896">
        <v>18336</v>
      </c>
      <c r="J896">
        <v>-18336</v>
      </c>
      <c r="L896">
        <v>33</v>
      </c>
      <c r="M896">
        <v>372228</v>
      </c>
      <c r="N896" t="s">
        <v>85</v>
      </c>
      <c r="O896" t="s">
        <v>86</v>
      </c>
    </row>
    <row r="897" spans="2:15" x14ac:dyDescent="0.25">
      <c r="B897" t="s">
        <v>15</v>
      </c>
      <c r="C897" s="4">
        <v>44915</v>
      </c>
      <c r="D897">
        <v>12</v>
      </c>
      <c r="E897" t="s">
        <v>38</v>
      </c>
      <c r="F897" t="s">
        <v>39</v>
      </c>
      <c r="G897" t="s">
        <v>40</v>
      </c>
      <c r="H897">
        <v>44785</v>
      </c>
      <c r="I897">
        <v>0</v>
      </c>
      <c r="J897">
        <v>44785</v>
      </c>
      <c r="L897">
        <v>33</v>
      </c>
      <c r="M897">
        <v>720998</v>
      </c>
      <c r="N897" t="s">
        <v>49</v>
      </c>
      <c r="O897" t="s">
        <v>50</v>
      </c>
    </row>
    <row r="898" spans="2:15" x14ac:dyDescent="0.25">
      <c r="B898" t="s">
        <v>15</v>
      </c>
      <c r="C898" s="4">
        <v>44915</v>
      </c>
      <c r="D898">
        <v>12</v>
      </c>
      <c r="E898" t="s">
        <v>16</v>
      </c>
      <c r="F898" t="s">
        <v>43</v>
      </c>
      <c r="G898" t="s">
        <v>40</v>
      </c>
      <c r="H898">
        <v>8509</v>
      </c>
      <c r="I898">
        <v>0</v>
      </c>
      <c r="J898">
        <v>8509</v>
      </c>
      <c r="L898">
        <v>33</v>
      </c>
      <c r="M898">
        <v>720998</v>
      </c>
      <c r="N898" t="s">
        <v>49</v>
      </c>
      <c r="O898" t="s">
        <v>50</v>
      </c>
    </row>
    <row r="899" spans="2:15" x14ac:dyDescent="0.25">
      <c r="B899" t="s">
        <v>15</v>
      </c>
      <c r="C899" s="4">
        <v>44915</v>
      </c>
      <c r="D899">
        <v>12</v>
      </c>
      <c r="E899" t="s">
        <v>21</v>
      </c>
      <c r="F899" t="s">
        <v>44</v>
      </c>
      <c r="G899" t="s">
        <v>40</v>
      </c>
      <c r="H899">
        <v>0</v>
      </c>
      <c r="I899">
        <v>53294</v>
      </c>
      <c r="J899">
        <v>-53294</v>
      </c>
      <c r="L899">
        <v>33</v>
      </c>
      <c r="M899">
        <v>720998</v>
      </c>
      <c r="N899" t="s">
        <v>49</v>
      </c>
      <c r="O899" t="s">
        <v>50</v>
      </c>
    </row>
    <row r="900" spans="2:15" x14ac:dyDescent="0.25">
      <c r="B900" t="s">
        <v>15</v>
      </c>
      <c r="C900" s="4">
        <v>44911</v>
      </c>
      <c r="D900">
        <v>12</v>
      </c>
      <c r="E900" t="s">
        <v>38</v>
      </c>
      <c r="F900" t="s">
        <v>39</v>
      </c>
      <c r="G900" t="s">
        <v>40</v>
      </c>
      <c r="H900">
        <v>36101</v>
      </c>
      <c r="I900">
        <v>0</v>
      </c>
      <c r="J900">
        <v>36101</v>
      </c>
      <c r="L900">
        <v>33</v>
      </c>
      <c r="M900">
        <v>11161003</v>
      </c>
      <c r="N900" t="s">
        <v>57</v>
      </c>
      <c r="O900" t="s">
        <v>58</v>
      </c>
    </row>
    <row r="901" spans="2:15" x14ac:dyDescent="0.25">
      <c r="B901" t="s">
        <v>15</v>
      </c>
      <c r="C901" s="4">
        <v>44911</v>
      </c>
      <c r="D901">
        <v>12</v>
      </c>
      <c r="E901" t="s">
        <v>16</v>
      </c>
      <c r="F901" t="s">
        <v>43</v>
      </c>
      <c r="G901" t="s">
        <v>40</v>
      </c>
      <c r="H901">
        <v>6859</v>
      </c>
      <c r="I901">
        <v>0</v>
      </c>
      <c r="J901">
        <v>6859</v>
      </c>
      <c r="L901">
        <v>33</v>
      </c>
      <c r="M901">
        <v>11161003</v>
      </c>
      <c r="N901" t="s">
        <v>57</v>
      </c>
      <c r="O901" t="s">
        <v>58</v>
      </c>
    </row>
    <row r="902" spans="2:15" x14ac:dyDescent="0.25">
      <c r="B902" t="s">
        <v>15</v>
      </c>
      <c r="C902" s="4">
        <v>44911</v>
      </c>
      <c r="D902">
        <v>12</v>
      </c>
      <c r="E902" t="s">
        <v>21</v>
      </c>
      <c r="F902" t="s">
        <v>44</v>
      </c>
      <c r="G902" t="s">
        <v>40</v>
      </c>
      <c r="H902">
        <v>0</v>
      </c>
      <c r="I902">
        <v>42960</v>
      </c>
      <c r="J902">
        <v>-42960</v>
      </c>
      <c r="L902">
        <v>33</v>
      </c>
      <c r="M902">
        <v>11161003</v>
      </c>
      <c r="N902" t="s">
        <v>57</v>
      </c>
      <c r="O902" t="s">
        <v>58</v>
      </c>
    </row>
    <row r="903" spans="2:15" x14ac:dyDescent="0.25">
      <c r="B903" t="s">
        <v>15</v>
      </c>
      <c r="C903" s="4">
        <v>44916</v>
      </c>
      <c r="D903">
        <v>12</v>
      </c>
      <c r="E903" t="s">
        <v>38</v>
      </c>
      <c r="F903" t="s">
        <v>39</v>
      </c>
      <c r="G903" t="s">
        <v>40</v>
      </c>
      <c r="H903">
        <v>42240</v>
      </c>
      <c r="I903">
        <v>0</v>
      </c>
      <c r="J903">
        <v>42240</v>
      </c>
      <c r="L903">
        <v>33</v>
      </c>
      <c r="M903">
        <v>414101</v>
      </c>
      <c r="N903" t="s">
        <v>51</v>
      </c>
      <c r="O903" t="s">
        <v>52</v>
      </c>
    </row>
    <row r="904" spans="2:15" x14ac:dyDescent="0.25">
      <c r="B904" t="s">
        <v>15</v>
      </c>
      <c r="C904" s="4">
        <v>44916</v>
      </c>
      <c r="D904">
        <v>12</v>
      </c>
      <c r="E904" t="s">
        <v>16</v>
      </c>
      <c r="F904" t="s">
        <v>43</v>
      </c>
      <c r="G904" t="s">
        <v>40</v>
      </c>
      <c r="H904">
        <v>8026</v>
      </c>
      <c r="I904">
        <v>0</v>
      </c>
      <c r="J904">
        <v>8026</v>
      </c>
      <c r="L904">
        <v>33</v>
      </c>
      <c r="M904">
        <v>414101</v>
      </c>
      <c r="N904" t="s">
        <v>51</v>
      </c>
      <c r="O904" t="s">
        <v>52</v>
      </c>
    </row>
    <row r="905" spans="2:15" x14ac:dyDescent="0.25">
      <c r="B905" t="s">
        <v>15</v>
      </c>
      <c r="C905" s="4">
        <v>44916</v>
      </c>
      <c r="D905">
        <v>12</v>
      </c>
      <c r="E905" t="s">
        <v>21</v>
      </c>
      <c r="F905" t="s">
        <v>44</v>
      </c>
      <c r="G905" t="s">
        <v>40</v>
      </c>
      <c r="H905">
        <v>0</v>
      </c>
      <c r="I905">
        <v>50266</v>
      </c>
      <c r="J905">
        <v>-50266</v>
      </c>
      <c r="L905">
        <v>33</v>
      </c>
      <c r="M905">
        <v>414101</v>
      </c>
      <c r="N905" t="s">
        <v>51</v>
      </c>
      <c r="O905" t="s">
        <v>52</v>
      </c>
    </row>
    <row r="906" spans="2:15" x14ac:dyDescent="0.25">
      <c r="B906" t="s">
        <v>15</v>
      </c>
      <c r="C906" s="4">
        <v>44917</v>
      </c>
      <c r="D906">
        <v>12</v>
      </c>
      <c r="E906" t="s">
        <v>38</v>
      </c>
      <c r="F906" t="s">
        <v>39</v>
      </c>
      <c r="G906" t="s">
        <v>40</v>
      </c>
      <c r="H906">
        <v>12145</v>
      </c>
      <c r="I906">
        <v>0</v>
      </c>
      <c r="J906">
        <v>12145</v>
      </c>
      <c r="L906">
        <v>33</v>
      </c>
      <c r="M906">
        <v>721598</v>
      </c>
      <c r="N906" t="s">
        <v>49</v>
      </c>
      <c r="O906" t="s">
        <v>50</v>
      </c>
    </row>
    <row r="907" spans="2:15" x14ac:dyDescent="0.25">
      <c r="B907" t="s">
        <v>15</v>
      </c>
      <c r="C907" s="4">
        <v>44917</v>
      </c>
      <c r="D907">
        <v>12</v>
      </c>
      <c r="E907" t="s">
        <v>16</v>
      </c>
      <c r="F907" t="s">
        <v>43</v>
      </c>
      <c r="G907" t="s">
        <v>40</v>
      </c>
      <c r="H907">
        <v>2308</v>
      </c>
      <c r="I907">
        <v>0</v>
      </c>
      <c r="J907">
        <v>2308</v>
      </c>
      <c r="L907">
        <v>33</v>
      </c>
      <c r="M907">
        <v>721598</v>
      </c>
      <c r="N907" t="s">
        <v>49</v>
      </c>
      <c r="O907" t="s">
        <v>50</v>
      </c>
    </row>
    <row r="908" spans="2:15" x14ac:dyDescent="0.25">
      <c r="B908" t="s">
        <v>15</v>
      </c>
      <c r="C908" s="4">
        <v>44917</v>
      </c>
      <c r="D908">
        <v>12</v>
      </c>
      <c r="E908" t="s">
        <v>21</v>
      </c>
      <c r="F908" t="s">
        <v>44</v>
      </c>
      <c r="G908" t="s">
        <v>40</v>
      </c>
      <c r="H908">
        <v>0</v>
      </c>
      <c r="I908">
        <v>14453</v>
      </c>
      <c r="J908">
        <v>-14453</v>
      </c>
      <c r="L908">
        <v>33</v>
      </c>
      <c r="M908">
        <v>721598</v>
      </c>
      <c r="N908" t="s">
        <v>49</v>
      </c>
      <c r="O908" t="s">
        <v>50</v>
      </c>
    </row>
    <row r="909" spans="2:15" x14ac:dyDescent="0.25">
      <c r="B909" t="s">
        <v>15</v>
      </c>
      <c r="C909" s="4">
        <v>44918</v>
      </c>
      <c r="D909">
        <v>12</v>
      </c>
      <c r="E909" t="s">
        <v>38</v>
      </c>
      <c r="F909" t="s">
        <v>39</v>
      </c>
      <c r="G909" t="s">
        <v>40</v>
      </c>
      <c r="H909">
        <v>9076</v>
      </c>
      <c r="I909">
        <v>0</v>
      </c>
      <c r="J909">
        <v>9076</v>
      </c>
      <c r="L909">
        <v>33</v>
      </c>
      <c r="M909">
        <v>13043</v>
      </c>
      <c r="N909" t="s">
        <v>101</v>
      </c>
      <c r="O909" t="s">
        <v>102</v>
      </c>
    </row>
    <row r="910" spans="2:15" x14ac:dyDescent="0.25">
      <c r="B910" t="s">
        <v>15</v>
      </c>
      <c r="C910" s="4">
        <v>44918</v>
      </c>
      <c r="D910">
        <v>12</v>
      </c>
      <c r="E910" t="s">
        <v>16</v>
      </c>
      <c r="F910" t="s">
        <v>43</v>
      </c>
      <c r="G910" t="s">
        <v>40</v>
      </c>
      <c r="H910">
        <v>1724</v>
      </c>
      <c r="I910">
        <v>0</v>
      </c>
      <c r="J910">
        <v>1724</v>
      </c>
      <c r="L910">
        <v>33</v>
      </c>
      <c r="M910">
        <v>13043</v>
      </c>
      <c r="N910" t="s">
        <v>101</v>
      </c>
      <c r="O910" t="s">
        <v>102</v>
      </c>
    </row>
    <row r="911" spans="2:15" x14ac:dyDescent="0.25">
      <c r="B911" t="s">
        <v>15</v>
      </c>
      <c r="C911" s="4">
        <v>44918</v>
      </c>
      <c r="D911">
        <v>12</v>
      </c>
      <c r="E911" t="s">
        <v>21</v>
      </c>
      <c r="F911" t="s">
        <v>44</v>
      </c>
      <c r="G911" t="s">
        <v>40</v>
      </c>
      <c r="H911">
        <v>0</v>
      </c>
      <c r="I911">
        <v>10800</v>
      </c>
      <c r="J911">
        <v>-10800</v>
      </c>
      <c r="L911">
        <v>33</v>
      </c>
      <c r="M911">
        <v>13043</v>
      </c>
      <c r="N911" t="s">
        <v>101</v>
      </c>
      <c r="O911" t="s">
        <v>102</v>
      </c>
    </row>
    <row r="912" spans="2:15" x14ac:dyDescent="0.25">
      <c r="B912" t="s">
        <v>15</v>
      </c>
      <c r="C912" s="4">
        <v>44918</v>
      </c>
      <c r="D912">
        <v>12</v>
      </c>
      <c r="E912" t="s">
        <v>38</v>
      </c>
      <c r="F912" t="s">
        <v>39</v>
      </c>
      <c r="G912" t="s">
        <v>40</v>
      </c>
      <c r="H912">
        <v>14622</v>
      </c>
      <c r="I912">
        <v>0</v>
      </c>
      <c r="J912">
        <v>14622</v>
      </c>
      <c r="L912">
        <v>33</v>
      </c>
      <c r="M912">
        <v>171191</v>
      </c>
      <c r="N912" t="s">
        <v>45</v>
      </c>
      <c r="O912" t="s">
        <v>46</v>
      </c>
    </row>
    <row r="913" spans="2:15" x14ac:dyDescent="0.25">
      <c r="B913" t="s">
        <v>15</v>
      </c>
      <c r="C913" s="4">
        <v>44918</v>
      </c>
      <c r="D913">
        <v>12</v>
      </c>
      <c r="E913" t="s">
        <v>16</v>
      </c>
      <c r="F913" t="s">
        <v>43</v>
      </c>
      <c r="G913" t="s">
        <v>40</v>
      </c>
      <c r="H913">
        <v>2778</v>
      </c>
      <c r="I913">
        <v>0</v>
      </c>
      <c r="J913">
        <v>2778</v>
      </c>
      <c r="L913">
        <v>33</v>
      </c>
      <c r="M913">
        <v>171191</v>
      </c>
      <c r="N913" t="s">
        <v>45</v>
      </c>
      <c r="O913" t="s">
        <v>46</v>
      </c>
    </row>
    <row r="914" spans="2:15" x14ac:dyDescent="0.25">
      <c r="B914" t="s">
        <v>15</v>
      </c>
      <c r="C914" s="4">
        <v>44918</v>
      </c>
      <c r="D914">
        <v>12</v>
      </c>
      <c r="E914" t="s">
        <v>21</v>
      </c>
      <c r="F914" t="s">
        <v>44</v>
      </c>
      <c r="G914" t="s">
        <v>40</v>
      </c>
      <c r="H914">
        <v>0</v>
      </c>
      <c r="I914">
        <v>17400</v>
      </c>
      <c r="J914">
        <v>-17400</v>
      </c>
      <c r="L914">
        <v>33</v>
      </c>
      <c r="M914">
        <v>171191</v>
      </c>
      <c r="N914" t="s">
        <v>45</v>
      </c>
      <c r="O914" t="s">
        <v>46</v>
      </c>
    </row>
    <row r="915" spans="2:15" x14ac:dyDescent="0.25">
      <c r="B915" t="s">
        <v>15</v>
      </c>
      <c r="C915" s="4">
        <v>44922</v>
      </c>
      <c r="D915">
        <v>12</v>
      </c>
      <c r="E915" t="s">
        <v>38</v>
      </c>
      <c r="F915" t="s">
        <v>39</v>
      </c>
      <c r="G915" t="s">
        <v>40</v>
      </c>
      <c r="H915">
        <v>83580</v>
      </c>
      <c r="I915">
        <v>0</v>
      </c>
      <c r="J915">
        <v>83580</v>
      </c>
      <c r="L915">
        <v>33</v>
      </c>
      <c r="M915">
        <v>414387</v>
      </c>
      <c r="N915" t="s">
        <v>51</v>
      </c>
      <c r="O915" t="s">
        <v>52</v>
      </c>
    </row>
    <row r="916" spans="2:15" x14ac:dyDescent="0.25">
      <c r="B916" t="s">
        <v>15</v>
      </c>
      <c r="C916" s="4">
        <v>44922</v>
      </c>
      <c r="D916">
        <v>12</v>
      </c>
      <c r="E916" t="s">
        <v>16</v>
      </c>
      <c r="F916" t="s">
        <v>43</v>
      </c>
      <c r="G916" t="s">
        <v>40</v>
      </c>
      <c r="H916">
        <v>15880</v>
      </c>
      <c r="I916">
        <v>0</v>
      </c>
      <c r="J916">
        <v>15880</v>
      </c>
      <c r="L916">
        <v>33</v>
      </c>
      <c r="M916">
        <v>414387</v>
      </c>
      <c r="N916" t="s">
        <v>51</v>
      </c>
      <c r="O916" t="s">
        <v>52</v>
      </c>
    </row>
    <row r="917" spans="2:15" x14ac:dyDescent="0.25">
      <c r="B917" t="s">
        <v>15</v>
      </c>
      <c r="C917" s="4">
        <v>44922</v>
      </c>
      <c r="D917">
        <v>12</v>
      </c>
      <c r="E917" t="s">
        <v>21</v>
      </c>
      <c r="F917" t="s">
        <v>44</v>
      </c>
      <c r="G917" t="s">
        <v>40</v>
      </c>
      <c r="H917">
        <v>0</v>
      </c>
      <c r="I917">
        <v>99460</v>
      </c>
      <c r="J917">
        <v>-99460</v>
      </c>
      <c r="L917">
        <v>33</v>
      </c>
      <c r="M917">
        <v>414387</v>
      </c>
      <c r="N917" t="s">
        <v>51</v>
      </c>
      <c r="O917" t="s">
        <v>52</v>
      </c>
    </row>
    <row r="918" spans="2:15" x14ac:dyDescent="0.25">
      <c r="B918" t="s">
        <v>15</v>
      </c>
      <c r="C918" s="4">
        <v>44922</v>
      </c>
      <c r="D918">
        <v>12</v>
      </c>
      <c r="E918" t="s">
        <v>38</v>
      </c>
      <c r="F918" t="s">
        <v>39</v>
      </c>
      <c r="G918" t="s">
        <v>40</v>
      </c>
      <c r="H918">
        <v>41960</v>
      </c>
      <c r="I918">
        <v>0</v>
      </c>
      <c r="J918">
        <v>41960</v>
      </c>
      <c r="L918">
        <v>33</v>
      </c>
      <c r="M918">
        <v>414388</v>
      </c>
      <c r="N918" t="s">
        <v>51</v>
      </c>
      <c r="O918" t="s">
        <v>52</v>
      </c>
    </row>
    <row r="919" spans="2:15" x14ac:dyDescent="0.25">
      <c r="B919" t="s">
        <v>15</v>
      </c>
      <c r="C919" s="4">
        <v>44922</v>
      </c>
      <c r="D919">
        <v>12</v>
      </c>
      <c r="E919" t="s">
        <v>16</v>
      </c>
      <c r="F919" t="s">
        <v>43</v>
      </c>
      <c r="G919" t="s">
        <v>40</v>
      </c>
      <c r="H919">
        <v>7972</v>
      </c>
      <c r="I919">
        <v>0</v>
      </c>
      <c r="J919">
        <v>7972</v>
      </c>
      <c r="L919">
        <v>33</v>
      </c>
      <c r="M919">
        <v>414388</v>
      </c>
      <c r="N919" t="s">
        <v>51</v>
      </c>
      <c r="O919" t="s">
        <v>52</v>
      </c>
    </row>
    <row r="920" spans="2:15" x14ac:dyDescent="0.25">
      <c r="B920" t="s">
        <v>15</v>
      </c>
      <c r="C920" s="4">
        <v>44922</v>
      </c>
      <c r="D920">
        <v>12</v>
      </c>
      <c r="E920" t="s">
        <v>21</v>
      </c>
      <c r="F920" t="s">
        <v>44</v>
      </c>
      <c r="G920" t="s">
        <v>40</v>
      </c>
      <c r="H920">
        <v>0</v>
      </c>
      <c r="I920">
        <v>49932</v>
      </c>
      <c r="J920">
        <v>-49932</v>
      </c>
      <c r="L920">
        <v>33</v>
      </c>
      <c r="M920">
        <v>414388</v>
      </c>
      <c r="N920" t="s">
        <v>51</v>
      </c>
      <c r="O920" t="s">
        <v>52</v>
      </c>
    </row>
    <row r="921" spans="2:15" x14ac:dyDescent="0.25">
      <c r="B921" t="s">
        <v>15</v>
      </c>
      <c r="C921" s="4">
        <v>44922</v>
      </c>
      <c r="D921">
        <v>12</v>
      </c>
      <c r="E921" t="s">
        <v>38</v>
      </c>
      <c r="F921" t="s">
        <v>39</v>
      </c>
      <c r="G921" t="s">
        <v>40</v>
      </c>
      <c r="H921">
        <v>65760</v>
      </c>
      <c r="I921">
        <v>0</v>
      </c>
      <c r="J921">
        <v>65760</v>
      </c>
      <c r="L921">
        <v>33</v>
      </c>
      <c r="M921">
        <v>414390</v>
      </c>
      <c r="N921" t="s">
        <v>51</v>
      </c>
      <c r="O921" t="s">
        <v>52</v>
      </c>
    </row>
    <row r="922" spans="2:15" x14ac:dyDescent="0.25">
      <c r="B922" t="s">
        <v>15</v>
      </c>
      <c r="C922" s="4">
        <v>44922</v>
      </c>
      <c r="D922">
        <v>12</v>
      </c>
      <c r="E922" t="s">
        <v>16</v>
      </c>
      <c r="F922" t="s">
        <v>43</v>
      </c>
      <c r="G922" t="s">
        <v>40</v>
      </c>
      <c r="H922">
        <v>12494</v>
      </c>
      <c r="I922">
        <v>0</v>
      </c>
      <c r="J922">
        <v>12494</v>
      </c>
      <c r="L922">
        <v>33</v>
      </c>
      <c r="M922">
        <v>414390</v>
      </c>
      <c r="N922" t="s">
        <v>51</v>
      </c>
      <c r="O922" t="s">
        <v>52</v>
      </c>
    </row>
    <row r="923" spans="2:15" x14ac:dyDescent="0.25">
      <c r="B923" t="s">
        <v>15</v>
      </c>
      <c r="C923" s="4">
        <v>44922</v>
      </c>
      <c r="D923">
        <v>12</v>
      </c>
      <c r="E923" t="s">
        <v>21</v>
      </c>
      <c r="F923" t="s">
        <v>44</v>
      </c>
      <c r="G923" t="s">
        <v>40</v>
      </c>
      <c r="H923">
        <v>0</v>
      </c>
      <c r="I923">
        <v>78254</v>
      </c>
      <c r="J923">
        <v>-78254</v>
      </c>
      <c r="L923">
        <v>33</v>
      </c>
      <c r="M923">
        <v>414390</v>
      </c>
      <c r="N923" t="s">
        <v>51</v>
      </c>
      <c r="O923" t="s">
        <v>52</v>
      </c>
    </row>
    <row r="924" spans="2:15" x14ac:dyDescent="0.25">
      <c r="B924" t="s">
        <v>15</v>
      </c>
      <c r="C924" s="4">
        <v>44923</v>
      </c>
      <c r="D924">
        <v>12</v>
      </c>
      <c r="E924" t="s">
        <v>38</v>
      </c>
      <c r="F924" t="s">
        <v>39</v>
      </c>
      <c r="G924" t="s">
        <v>40</v>
      </c>
      <c r="H924">
        <v>8235</v>
      </c>
      <c r="I924">
        <v>0</v>
      </c>
      <c r="J924">
        <v>8235</v>
      </c>
      <c r="L924">
        <v>33</v>
      </c>
      <c r="M924">
        <v>106</v>
      </c>
      <c r="N924" t="s">
        <v>91</v>
      </c>
      <c r="O924" t="s">
        <v>92</v>
      </c>
    </row>
    <row r="925" spans="2:15" x14ac:dyDescent="0.25">
      <c r="B925" t="s">
        <v>15</v>
      </c>
      <c r="C925" s="4">
        <v>44923</v>
      </c>
      <c r="D925">
        <v>12</v>
      </c>
      <c r="E925" t="s">
        <v>16</v>
      </c>
      <c r="F925" t="s">
        <v>43</v>
      </c>
      <c r="G925" t="s">
        <v>40</v>
      </c>
      <c r="H925">
        <v>1565</v>
      </c>
      <c r="I925">
        <v>0</v>
      </c>
      <c r="J925">
        <v>1565</v>
      </c>
      <c r="L925">
        <v>33</v>
      </c>
      <c r="M925">
        <v>106</v>
      </c>
      <c r="N925" t="s">
        <v>91</v>
      </c>
      <c r="O925" t="s">
        <v>92</v>
      </c>
    </row>
    <row r="926" spans="2:15" x14ac:dyDescent="0.25">
      <c r="B926" t="s">
        <v>15</v>
      </c>
      <c r="C926" s="4">
        <v>44923</v>
      </c>
      <c r="D926">
        <v>12</v>
      </c>
      <c r="E926" t="s">
        <v>21</v>
      </c>
      <c r="F926" t="s">
        <v>44</v>
      </c>
      <c r="G926" t="s">
        <v>40</v>
      </c>
      <c r="H926">
        <v>0</v>
      </c>
      <c r="I926">
        <v>9800</v>
      </c>
      <c r="J926">
        <v>-9800</v>
      </c>
      <c r="L926">
        <v>33</v>
      </c>
      <c r="M926">
        <v>106</v>
      </c>
      <c r="N926" t="s">
        <v>91</v>
      </c>
      <c r="O926" t="s">
        <v>92</v>
      </c>
    </row>
    <row r="927" spans="2:15" x14ac:dyDescent="0.25">
      <c r="B927" t="s">
        <v>15</v>
      </c>
      <c r="C927" s="4">
        <v>44923</v>
      </c>
      <c r="D927">
        <v>12</v>
      </c>
      <c r="E927" t="s">
        <v>38</v>
      </c>
      <c r="F927" t="s">
        <v>39</v>
      </c>
      <c r="G927" t="s">
        <v>40</v>
      </c>
      <c r="H927">
        <v>183370</v>
      </c>
      <c r="I927">
        <v>0</v>
      </c>
      <c r="J927">
        <v>183370</v>
      </c>
      <c r="L927">
        <v>33</v>
      </c>
      <c r="M927">
        <v>30672</v>
      </c>
      <c r="N927" t="s">
        <v>122</v>
      </c>
      <c r="O927" t="s">
        <v>123</v>
      </c>
    </row>
    <row r="928" spans="2:15" x14ac:dyDescent="0.25">
      <c r="B928" t="s">
        <v>15</v>
      </c>
      <c r="C928" s="4">
        <v>44923</v>
      </c>
      <c r="D928">
        <v>12</v>
      </c>
      <c r="E928" t="s">
        <v>16</v>
      </c>
      <c r="F928" t="s">
        <v>43</v>
      </c>
      <c r="G928" t="s">
        <v>40</v>
      </c>
      <c r="H928">
        <v>34840</v>
      </c>
      <c r="I928">
        <v>0</v>
      </c>
      <c r="J928">
        <v>34840</v>
      </c>
      <c r="L928">
        <v>33</v>
      </c>
      <c r="M928">
        <v>30672</v>
      </c>
      <c r="N928" t="s">
        <v>122</v>
      </c>
      <c r="O928" t="s">
        <v>123</v>
      </c>
    </row>
    <row r="929" spans="2:15" x14ac:dyDescent="0.25">
      <c r="B929" t="s">
        <v>15</v>
      </c>
      <c r="C929" s="4">
        <v>44923</v>
      </c>
      <c r="D929">
        <v>12</v>
      </c>
      <c r="E929" t="s">
        <v>21</v>
      </c>
      <c r="F929" t="s">
        <v>44</v>
      </c>
      <c r="G929" t="s">
        <v>40</v>
      </c>
      <c r="H929">
        <v>0</v>
      </c>
      <c r="I929">
        <v>218210</v>
      </c>
      <c r="J929">
        <v>-218210</v>
      </c>
      <c r="L929">
        <v>33</v>
      </c>
      <c r="M929">
        <v>30672</v>
      </c>
      <c r="N929" t="s">
        <v>122</v>
      </c>
      <c r="O929" t="s">
        <v>123</v>
      </c>
    </row>
    <row r="930" spans="2:15" x14ac:dyDescent="0.25">
      <c r="B930" t="s">
        <v>15</v>
      </c>
      <c r="C930" s="4">
        <v>44924</v>
      </c>
      <c r="D930">
        <v>12</v>
      </c>
      <c r="E930" t="s">
        <v>38</v>
      </c>
      <c r="F930" t="s">
        <v>39</v>
      </c>
      <c r="G930" t="s">
        <v>40</v>
      </c>
      <c r="H930">
        <v>195840</v>
      </c>
      <c r="I930">
        <v>0</v>
      </c>
      <c r="J930">
        <v>195840</v>
      </c>
      <c r="L930">
        <v>33</v>
      </c>
      <c r="M930">
        <v>414853</v>
      </c>
      <c r="N930" t="s">
        <v>51</v>
      </c>
      <c r="O930" t="s">
        <v>52</v>
      </c>
    </row>
    <row r="931" spans="2:15" x14ac:dyDescent="0.25">
      <c r="B931" t="s">
        <v>15</v>
      </c>
      <c r="C931" s="4">
        <v>44924</v>
      </c>
      <c r="D931">
        <v>12</v>
      </c>
      <c r="E931" t="s">
        <v>16</v>
      </c>
      <c r="F931" t="s">
        <v>43</v>
      </c>
      <c r="G931" t="s">
        <v>40</v>
      </c>
      <c r="H931">
        <v>37210</v>
      </c>
      <c r="I931">
        <v>0</v>
      </c>
      <c r="J931">
        <v>37210</v>
      </c>
      <c r="L931">
        <v>33</v>
      </c>
      <c r="M931">
        <v>414853</v>
      </c>
      <c r="N931" t="s">
        <v>51</v>
      </c>
      <c r="O931" t="s">
        <v>52</v>
      </c>
    </row>
    <row r="932" spans="2:15" x14ac:dyDescent="0.25">
      <c r="B932" t="s">
        <v>15</v>
      </c>
      <c r="C932" s="4">
        <v>44924</v>
      </c>
      <c r="D932">
        <v>12</v>
      </c>
      <c r="E932" t="s">
        <v>21</v>
      </c>
      <c r="F932" t="s">
        <v>44</v>
      </c>
      <c r="G932" t="s">
        <v>40</v>
      </c>
      <c r="H932">
        <v>0</v>
      </c>
      <c r="I932">
        <v>233050</v>
      </c>
      <c r="J932">
        <v>-233050</v>
      </c>
      <c r="L932">
        <v>33</v>
      </c>
      <c r="M932">
        <v>414853</v>
      </c>
      <c r="N932" t="s">
        <v>51</v>
      </c>
      <c r="O932" t="s">
        <v>52</v>
      </c>
    </row>
    <row r="933" spans="2:15" x14ac:dyDescent="0.25">
      <c r="B933" t="s">
        <v>15</v>
      </c>
      <c r="C933" s="4">
        <v>44924</v>
      </c>
      <c r="D933">
        <v>12</v>
      </c>
      <c r="E933" t="s">
        <v>38</v>
      </c>
      <c r="F933" t="s">
        <v>39</v>
      </c>
      <c r="G933" t="s">
        <v>40</v>
      </c>
      <c r="H933">
        <v>36330</v>
      </c>
      <c r="I933">
        <v>0</v>
      </c>
      <c r="J933">
        <v>36330</v>
      </c>
      <c r="L933">
        <v>33</v>
      </c>
      <c r="M933">
        <v>414992</v>
      </c>
      <c r="N933" t="s">
        <v>51</v>
      </c>
      <c r="O933" t="s">
        <v>52</v>
      </c>
    </row>
    <row r="934" spans="2:15" x14ac:dyDescent="0.25">
      <c r="B934" t="s">
        <v>15</v>
      </c>
      <c r="C934" s="4">
        <v>44924</v>
      </c>
      <c r="D934">
        <v>12</v>
      </c>
      <c r="E934" t="s">
        <v>16</v>
      </c>
      <c r="F934" t="s">
        <v>43</v>
      </c>
      <c r="G934" t="s">
        <v>40</v>
      </c>
      <c r="H934">
        <v>6903</v>
      </c>
      <c r="I934">
        <v>0</v>
      </c>
      <c r="J934">
        <v>6903</v>
      </c>
      <c r="L934">
        <v>33</v>
      </c>
      <c r="M934">
        <v>414992</v>
      </c>
      <c r="N934" t="s">
        <v>51</v>
      </c>
      <c r="O934" t="s">
        <v>52</v>
      </c>
    </row>
    <row r="935" spans="2:15" x14ac:dyDescent="0.25">
      <c r="B935" t="s">
        <v>15</v>
      </c>
      <c r="C935" s="4">
        <v>44924</v>
      </c>
      <c r="D935">
        <v>12</v>
      </c>
      <c r="E935" t="s">
        <v>21</v>
      </c>
      <c r="F935" t="s">
        <v>44</v>
      </c>
      <c r="G935" t="s">
        <v>40</v>
      </c>
      <c r="H935">
        <v>0</v>
      </c>
      <c r="I935">
        <v>43233</v>
      </c>
      <c r="J935">
        <v>-43233</v>
      </c>
      <c r="L935">
        <v>33</v>
      </c>
      <c r="M935">
        <v>414992</v>
      </c>
      <c r="N935" t="s">
        <v>51</v>
      </c>
      <c r="O935" t="s">
        <v>52</v>
      </c>
    </row>
    <row r="936" spans="2:15" x14ac:dyDescent="0.25">
      <c r="B936" t="s">
        <v>15</v>
      </c>
      <c r="C936" s="4">
        <v>44925</v>
      </c>
      <c r="D936">
        <v>12</v>
      </c>
      <c r="E936" t="s">
        <v>38</v>
      </c>
      <c r="F936" t="s">
        <v>39</v>
      </c>
      <c r="G936" t="s">
        <v>40</v>
      </c>
      <c r="H936">
        <v>92084</v>
      </c>
      <c r="I936">
        <v>0</v>
      </c>
      <c r="J936">
        <v>92084</v>
      </c>
      <c r="L936">
        <v>33</v>
      </c>
      <c r="M936">
        <v>17958884</v>
      </c>
      <c r="N936" t="s">
        <v>117</v>
      </c>
      <c r="O936" t="s">
        <v>118</v>
      </c>
    </row>
    <row r="937" spans="2:15" x14ac:dyDescent="0.25">
      <c r="B937" t="s">
        <v>15</v>
      </c>
      <c r="C937" s="4">
        <v>44925</v>
      </c>
      <c r="D937">
        <v>12</v>
      </c>
      <c r="E937" t="s">
        <v>16</v>
      </c>
      <c r="F937" t="s">
        <v>43</v>
      </c>
      <c r="G937" t="s">
        <v>40</v>
      </c>
      <c r="H937">
        <v>16790</v>
      </c>
      <c r="I937">
        <v>0</v>
      </c>
      <c r="J937">
        <v>16790</v>
      </c>
      <c r="L937">
        <v>33</v>
      </c>
      <c r="M937">
        <v>17958884</v>
      </c>
      <c r="N937" t="s">
        <v>117</v>
      </c>
      <c r="O937" t="s">
        <v>118</v>
      </c>
    </row>
    <row r="938" spans="2:15" x14ac:dyDescent="0.25">
      <c r="B938" t="s">
        <v>15</v>
      </c>
      <c r="C938" s="4">
        <v>44925</v>
      </c>
      <c r="D938">
        <v>12</v>
      </c>
      <c r="E938" t="s">
        <v>21</v>
      </c>
      <c r="F938" t="s">
        <v>44</v>
      </c>
      <c r="G938" t="s">
        <v>40</v>
      </c>
      <c r="H938">
        <v>0</v>
      </c>
      <c r="I938">
        <v>108874</v>
      </c>
      <c r="J938">
        <v>-108874</v>
      </c>
      <c r="L938">
        <v>33</v>
      </c>
      <c r="M938">
        <v>17958884</v>
      </c>
      <c r="N938" t="s">
        <v>117</v>
      </c>
      <c r="O938" t="s">
        <v>118</v>
      </c>
    </row>
    <row r="939" spans="2:15" x14ac:dyDescent="0.25">
      <c r="B939" t="s">
        <v>15</v>
      </c>
      <c r="C939" s="4">
        <v>44887</v>
      </c>
      <c r="D939">
        <v>12</v>
      </c>
      <c r="E939" t="s">
        <v>38</v>
      </c>
      <c r="F939" t="s">
        <v>39</v>
      </c>
      <c r="G939" t="s">
        <v>40</v>
      </c>
      <c r="H939">
        <v>121100</v>
      </c>
      <c r="I939">
        <v>0</v>
      </c>
      <c r="J939">
        <v>121100</v>
      </c>
      <c r="L939">
        <v>34</v>
      </c>
      <c r="M939">
        <v>135</v>
      </c>
      <c r="N939" t="s">
        <v>71</v>
      </c>
      <c r="O939" t="s">
        <v>72</v>
      </c>
    </row>
    <row r="940" spans="2:15" x14ac:dyDescent="0.25">
      <c r="B940" t="s">
        <v>15</v>
      </c>
      <c r="C940" s="4">
        <v>44887</v>
      </c>
      <c r="D940">
        <v>12</v>
      </c>
      <c r="E940" t="s">
        <v>16</v>
      </c>
      <c r="F940" t="s">
        <v>43</v>
      </c>
      <c r="G940" t="s">
        <v>40</v>
      </c>
      <c r="H940">
        <v>0</v>
      </c>
      <c r="I940">
        <v>0</v>
      </c>
      <c r="J940">
        <v>0</v>
      </c>
      <c r="L940">
        <v>34</v>
      </c>
      <c r="M940">
        <v>135</v>
      </c>
      <c r="N940" t="s">
        <v>71</v>
      </c>
      <c r="O940" t="s">
        <v>72</v>
      </c>
    </row>
    <row r="941" spans="2:15" x14ac:dyDescent="0.25">
      <c r="B941" t="s">
        <v>15</v>
      </c>
      <c r="C941" s="4">
        <v>44887</v>
      </c>
      <c r="D941">
        <v>12</v>
      </c>
      <c r="E941" t="s">
        <v>21</v>
      </c>
      <c r="F941" t="s">
        <v>44</v>
      </c>
      <c r="G941" t="s">
        <v>40</v>
      </c>
      <c r="H941">
        <v>0</v>
      </c>
      <c r="I941">
        <v>121100</v>
      </c>
      <c r="J941">
        <v>-121100</v>
      </c>
      <c r="L941">
        <v>34</v>
      </c>
      <c r="M941">
        <v>135</v>
      </c>
      <c r="N941" t="s">
        <v>71</v>
      </c>
      <c r="O941" t="s">
        <v>72</v>
      </c>
    </row>
    <row r="942" spans="2:15" x14ac:dyDescent="0.25">
      <c r="B942" t="s">
        <v>15</v>
      </c>
      <c r="C942" s="4">
        <v>44916</v>
      </c>
      <c r="D942">
        <v>12</v>
      </c>
      <c r="E942" t="s">
        <v>38</v>
      </c>
      <c r="F942" t="s">
        <v>39</v>
      </c>
      <c r="G942" t="s">
        <v>40</v>
      </c>
      <c r="H942">
        <v>121839</v>
      </c>
      <c r="I942">
        <v>0</v>
      </c>
      <c r="J942">
        <v>121839</v>
      </c>
      <c r="L942">
        <v>34</v>
      </c>
      <c r="M942">
        <v>155</v>
      </c>
      <c r="N942" t="s">
        <v>71</v>
      </c>
      <c r="O942" t="s">
        <v>72</v>
      </c>
    </row>
    <row r="943" spans="2:15" x14ac:dyDescent="0.25">
      <c r="B943" t="s">
        <v>15</v>
      </c>
      <c r="C943" s="4">
        <v>44916</v>
      </c>
      <c r="D943">
        <v>12</v>
      </c>
      <c r="E943" t="s">
        <v>16</v>
      </c>
      <c r="F943" t="s">
        <v>43</v>
      </c>
      <c r="G943" t="s">
        <v>40</v>
      </c>
      <c r="H943">
        <v>0</v>
      </c>
      <c r="I943">
        <v>0</v>
      </c>
      <c r="J943">
        <v>0</v>
      </c>
      <c r="L943">
        <v>34</v>
      </c>
      <c r="M943">
        <v>155</v>
      </c>
      <c r="N943" t="s">
        <v>71</v>
      </c>
      <c r="O943" t="s">
        <v>72</v>
      </c>
    </row>
    <row r="944" spans="2:15" x14ac:dyDescent="0.25">
      <c r="B944" t="s">
        <v>15</v>
      </c>
      <c r="C944" s="4">
        <v>44916</v>
      </c>
      <c r="D944">
        <v>12</v>
      </c>
      <c r="E944" t="s">
        <v>21</v>
      </c>
      <c r="F944" t="s">
        <v>44</v>
      </c>
      <c r="G944" t="s">
        <v>40</v>
      </c>
      <c r="H944">
        <v>0</v>
      </c>
      <c r="I944">
        <v>121839</v>
      </c>
      <c r="J944">
        <v>-121839</v>
      </c>
      <c r="L944">
        <v>34</v>
      </c>
      <c r="M944">
        <v>155</v>
      </c>
      <c r="N944" t="s">
        <v>71</v>
      </c>
      <c r="O944" t="s">
        <v>72</v>
      </c>
    </row>
    <row r="945" spans="2:15" x14ac:dyDescent="0.25">
      <c r="B945" t="s">
        <v>36</v>
      </c>
      <c r="C945" s="4">
        <v>44557</v>
      </c>
      <c r="D945">
        <v>1</v>
      </c>
      <c r="E945" t="s">
        <v>21</v>
      </c>
      <c r="F945" t="s">
        <v>44</v>
      </c>
      <c r="G945" t="s">
        <v>124</v>
      </c>
      <c r="H945">
        <v>61150</v>
      </c>
      <c r="I945">
        <v>0</v>
      </c>
      <c r="J945">
        <v>61150</v>
      </c>
      <c r="L945">
        <v>33</v>
      </c>
      <c r="M945">
        <v>63348</v>
      </c>
      <c r="N945" t="s">
        <v>41</v>
      </c>
      <c r="O945" t="s">
        <v>42</v>
      </c>
    </row>
    <row r="946" spans="2:15" x14ac:dyDescent="0.25">
      <c r="B946" t="s">
        <v>36</v>
      </c>
      <c r="C946" s="4">
        <v>44557</v>
      </c>
      <c r="D946">
        <v>1</v>
      </c>
      <c r="E946" t="s">
        <v>16</v>
      </c>
      <c r="F946" t="s">
        <v>17</v>
      </c>
      <c r="G946" t="s">
        <v>124</v>
      </c>
      <c r="H946">
        <v>0</v>
      </c>
      <c r="I946">
        <v>61150</v>
      </c>
      <c r="J946">
        <v>-61150</v>
      </c>
      <c r="L946">
        <v>33</v>
      </c>
      <c r="M946">
        <v>63348</v>
      </c>
      <c r="N946" t="s">
        <v>41</v>
      </c>
      <c r="O946" t="s">
        <v>42</v>
      </c>
    </row>
    <row r="947" spans="2:15" x14ac:dyDescent="0.25">
      <c r="B947" t="s">
        <v>36</v>
      </c>
      <c r="C947" s="4">
        <v>44557</v>
      </c>
      <c r="D947">
        <v>1</v>
      </c>
      <c r="E947" t="s">
        <v>21</v>
      </c>
      <c r="F947" t="s">
        <v>44</v>
      </c>
      <c r="G947" t="s">
        <v>124</v>
      </c>
      <c r="H947">
        <v>36000</v>
      </c>
      <c r="I947">
        <v>0</v>
      </c>
      <c r="J947">
        <v>36000</v>
      </c>
      <c r="L947">
        <v>33</v>
      </c>
      <c r="M947">
        <v>146696</v>
      </c>
      <c r="N947" t="s">
        <v>45</v>
      </c>
      <c r="O947" t="s">
        <v>46</v>
      </c>
    </row>
    <row r="948" spans="2:15" x14ac:dyDescent="0.25">
      <c r="B948" t="s">
        <v>36</v>
      </c>
      <c r="C948" s="4">
        <v>44557</v>
      </c>
      <c r="D948">
        <v>1</v>
      </c>
      <c r="E948" t="s">
        <v>16</v>
      </c>
      <c r="F948" t="s">
        <v>17</v>
      </c>
      <c r="G948" t="s">
        <v>124</v>
      </c>
      <c r="H948">
        <v>0</v>
      </c>
      <c r="I948">
        <v>36000</v>
      </c>
      <c r="J948">
        <v>-36000</v>
      </c>
      <c r="L948">
        <v>33</v>
      </c>
      <c r="M948">
        <v>146696</v>
      </c>
      <c r="N948" t="s">
        <v>45</v>
      </c>
      <c r="O948" t="s">
        <v>46</v>
      </c>
    </row>
    <row r="949" spans="2:15" x14ac:dyDescent="0.25">
      <c r="B949" t="s">
        <v>36</v>
      </c>
      <c r="C949" s="4">
        <v>44566</v>
      </c>
      <c r="D949">
        <v>1</v>
      </c>
      <c r="E949" t="s">
        <v>21</v>
      </c>
      <c r="F949" t="s">
        <v>44</v>
      </c>
      <c r="G949" t="s">
        <v>124</v>
      </c>
      <c r="H949">
        <v>7800</v>
      </c>
      <c r="I949">
        <v>0</v>
      </c>
      <c r="J949">
        <v>7800</v>
      </c>
      <c r="L949">
        <v>33</v>
      </c>
      <c r="M949">
        <v>178309</v>
      </c>
      <c r="N949" t="s">
        <v>47</v>
      </c>
      <c r="O949" t="s">
        <v>48</v>
      </c>
    </row>
    <row r="950" spans="2:15" x14ac:dyDescent="0.25">
      <c r="B950" t="s">
        <v>36</v>
      </c>
      <c r="C950" s="4">
        <v>44566</v>
      </c>
      <c r="D950">
        <v>1</v>
      </c>
      <c r="E950" t="s">
        <v>16</v>
      </c>
      <c r="F950" t="s">
        <v>17</v>
      </c>
      <c r="G950" t="s">
        <v>124</v>
      </c>
      <c r="H950">
        <v>0</v>
      </c>
      <c r="I950">
        <v>7800</v>
      </c>
      <c r="J950">
        <v>-7800</v>
      </c>
      <c r="L950">
        <v>33</v>
      </c>
      <c r="M950">
        <v>178309</v>
      </c>
      <c r="N950" t="s">
        <v>47</v>
      </c>
      <c r="O950" t="s">
        <v>48</v>
      </c>
    </row>
    <row r="951" spans="2:15" x14ac:dyDescent="0.25">
      <c r="B951" t="s">
        <v>36</v>
      </c>
      <c r="C951" s="4">
        <v>44566</v>
      </c>
      <c r="D951">
        <v>1</v>
      </c>
      <c r="E951" t="s">
        <v>21</v>
      </c>
      <c r="F951" t="s">
        <v>44</v>
      </c>
      <c r="G951" t="s">
        <v>124</v>
      </c>
      <c r="H951">
        <v>188191</v>
      </c>
      <c r="I951">
        <v>0</v>
      </c>
      <c r="J951">
        <v>188191</v>
      </c>
      <c r="L951">
        <v>33</v>
      </c>
      <c r="M951">
        <v>653595</v>
      </c>
      <c r="N951" t="s">
        <v>49</v>
      </c>
      <c r="O951" t="s">
        <v>50</v>
      </c>
    </row>
    <row r="952" spans="2:15" x14ac:dyDescent="0.25">
      <c r="B952" t="s">
        <v>36</v>
      </c>
      <c r="C952" s="4">
        <v>44566</v>
      </c>
      <c r="D952">
        <v>1</v>
      </c>
      <c r="E952" t="s">
        <v>16</v>
      </c>
      <c r="F952" t="s">
        <v>17</v>
      </c>
      <c r="G952" t="s">
        <v>124</v>
      </c>
      <c r="H952">
        <v>0</v>
      </c>
      <c r="I952">
        <v>188191</v>
      </c>
      <c r="J952">
        <v>-188191</v>
      </c>
      <c r="L952">
        <v>33</v>
      </c>
      <c r="M952">
        <v>653595</v>
      </c>
      <c r="N952" t="s">
        <v>49</v>
      </c>
      <c r="O952" t="s">
        <v>50</v>
      </c>
    </row>
    <row r="953" spans="2:15" x14ac:dyDescent="0.25">
      <c r="B953" t="s">
        <v>36</v>
      </c>
      <c r="C953" s="4">
        <v>44567</v>
      </c>
      <c r="D953">
        <v>1</v>
      </c>
      <c r="E953" t="s">
        <v>21</v>
      </c>
      <c r="F953" t="s">
        <v>44</v>
      </c>
      <c r="G953" t="s">
        <v>124</v>
      </c>
      <c r="H953">
        <v>40841</v>
      </c>
      <c r="I953">
        <v>0</v>
      </c>
      <c r="J953">
        <v>40841</v>
      </c>
      <c r="L953">
        <v>33</v>
      </c>
      <c r="M953">
        <v>361530</v>
      </c>
      <c r="N953" t="s">
        <v>51</v>
      </c>
      <c r="O953" t="s">
        <v>52</v>
      </c>
    </row>
    <row r="954" spans="2:15" x14ac:dyDescent="0.25">
      <c r="B954" t="s">
        <v>36</v>
      </c>
      <c r="C954" s="4">
        <v>44567</v>
      </c>
      <c r="D954">
        <v>1</v>
      </c>
      <c r="E954" t="s">
        <v>16</v>
      </c>
      <c r="F954" t="s">
        <v>17</v>
      </c>
      <c r="G954" t="s">
        <v>124</v>
      </c>
      <c r="H954">
        <v>0</v>
      </c>
      <c r="I954">
        <v>40841</v>
      </c>
      <c r="J954">
        <v>-40841</v>
      </c>
      <c r="L954">
        <v>33</v>
      </c>
      <c r="M954">
        <v>361530</v>
      </c>
      <c r="N954" t="s">
        <v>51</v>
      </c>
      <c r="O954" t="s">
        <v>52</v>
      </c>
    </row>
    <row r="955" spans="2:15" x14ac:dyDescent="0.25">
      <c r="B955" t="s">
        <v>36</v>
      </c>
      <c r="C955" s="4">
        <v>44567</v>
      </c>
      <c r="D955">
        <v>1</v>
      </c>
      <c r="E955" t="s">
        <v>21</v>
      </c>
      <c r="F955" t="s">
        <v>44</v>
      </c>
      <c r="G955" t="s">
        <v>124</v>
      </c>
      <c r="H955">
        <v>196047</v>
      </c>
      <c r="I955">
        <v>0</v>
      </c>
      <c r="J955">
        <v>196047</v>
      </c>
      <c r="L955">
        <v>33</v>
      </c>
      <c r="M955">
        <v>653902</v>
      </c>
      <c r="N955" t="s">
        <v>49</v>
      </c>
      <c r="O955" t="s">
        <v>50</v>
      </c>
    </row>
    <row r="956" spans="2:15" x14ac:dyDescent="0.25">
      <c r="B956" t="s">
        <v>36</v>
      </c>
      <c r="C956" s="4">
        <v>44567</v>
      </c>
      <c r="D956">
        <v>1</v>
      </c>
      <c r="E956" t="s">
        <v>16</v>
      </c>
      <c r="F956" t="s">
        <v>17</v>
      </c>
      <c r="G956" t="s">
        <v>124</v>
      </c>
      <c r="H956">
        <v>0</v>
      </c>
      <c r="I956">
        <v>196047</v>
      </c>
      <c r="J956">
        <v>-196047</v>
      </c>
      <c r="L956">
        <v>33</v>
      </c>
      <c r="M956">
        <v>653902</v>
      </c>
      <c r="N956" t="s">
        <v>49</v>
      </c>
      <c r="O956" t="s">
        <v>50</v>
      </c>
    </row>
    <row r="957" spans="2:15" x14ac:dyDescent="0.25">
      <c r="B957" t="s">
        <v>36</v>
      </c>
      <c r="C957" s="4">
        <v>44568</v>
      </c>
      <c r="D957">
        <v>1</v>
      </c>
      <c r="E957" t="s">
        <v>21</v>
      </c>
      <c r="F957" t="s">
        <v>44</v>
      </c>
      <c r="G957" t="s">
        <v>124</v>
      </c>
      <c r="H957">
        <v>111360</v>
      </c>
      <c r="I957">
        <v>0</v>
      </c>
      <c r="J957">
        <v>111360</v>
      </c>
      <c r="L957">
        <v>33</v>
      </c>
      <c r="M957">
        <v>361658</v>
      </c>
      <c r="N957" t="s">
        <v>51</v>
      </c>
      <c r="O957" t="s">
        <v>52</v>
      </c>
    </row>
    <row r="958" spans="2:15" x14ac:dyDescent="0.25">
      <c r="B958" t="s">
        <v>36</v>
      </c>
      <c r="C958" s="4">
        <v>44568</v>
      </c>
      <c r="D958">
        <v>1</v>
      </c>
      <c r="E958" t="s">
        <v>16</v>
      </c>
      <c r="F958" t="s">
        <v>17</v>
      </c>
      <c r="G958" t="s">
        <v>124</v>
      </c>
      <c r="H958">
        <v>0</v>
      </c>
      <c r="I958">
        <v>111360</v>
      </c>
      <c r="J958">
        <v>-111360</v>
      </c>
      <c r="L958">
        <v>33</v>
      </c>
      <c r="M958">
        <v>361658</v>
      </c>
      <c r="N958" t="s">
        <v>51</v>
      </c>
      <c r="O958" t="s">
        <v>52</v>
      </c>
    </row>
    <row r="959" spans="2:15" x14ac:dyDescent="0.25">
      <c r="B959" t="s">
        <v>36</v>
      </c>
      <c r="C959" s="4">
        <v>44571</v>
      </c>
      <c r="D959">
        <v>1</v>
      </c>
      <c r="E959" t="s">
        <v>21</v>
      </c>
      <c r="F959" t="s">
        <v>44</v>
      </c>
      <c r="G959" t="s">
        <v>124</v>
      </c>
      <c r="H959">
        <v>29560</v>
      </c>
      <c r="I959">
        <v>0</v>
      </c>
      <c r="J959">
        <v>29560</v>
      </c>
      <c r="L959">
        <v>33</v>
      </c>
      <c r="M959">
        <v>361760</v>
      </c>
      <c r="N959" t="s">
        <v>51</v>
      </c>
      <c r="O959" t="s">
        <v>52</v>
      </c>
    </row>
    <row r="960" spans="2:15" x14ac:dyDescent="0.25">
      <c r="B960" t="s">
        <v>36</v>
      </c>
      <c r="C960" s="4">
        <v>44571</v>
      </c>
      <c r="D960">
        <v>1</v>
      </c>
      <c r="E960" t="s">
        <v>16</v>
      </c>
      <c r="F960" t="s">
        <v>17</v>
      </c>
      <c r="G960" t="s">
        <v>124</v>
      </c>
      <c r="H960">
        <v>0</v>
      </c>
      <c r="I960">
        <v>29560</v>
      </c>
      <c r="J960">
        <v>-29560</v>
      </c>
      <c r="L960">
        <v>33</v>
      </c>
      <c r="M960">
        <v>361760</v>
      </c>
      <c r="N960" t="s">
        <v>51</v>
      </c>
      <c r="O960" t="s">
        <v>52</v>
      </c>
    </row>
    <row r="961" spans="2:15" x14ac:dyDescent="0.25">
      <c r="B961" t="s">
        <v>36</v>
      </c>
      <c r="C961" s="4">
        <v>44572</v>
      </c>
      <c r="D961">
        <v>1</v>
      </c>
      <c r="E961" t="s">
        <v>21</v>
      </c>
      <c r="F961" t="s">
        <v>44</v>
      </c>
      <c r="G961" t="s">
        <v>124</v>
      </c>
      <c r="H961">
        <v>509320</v>
      </c>
      <c r="I961">
        <v>0</v>
      </c>
      <c r="J961">
        <v>509320</v>
      </c>
      <c r="L961">
        <v>33</v>
      </c>
      <c r="M961">
        <v>166805</v>
      </c>
      <c r="N961" t="s">
        <v>53</v>
      </c>
      <c r="O961" t="s">
        <v>54</v>
      </c>
    </row>
    <row r="962" spans="2:15" x14ac:dyDescent="0.25">
      <c r="B962" t="s">
        <v>36</v>
      </c>
      <c r="C962" s="4">
        <v>44572</v>
      </c>
      <c r="D962">
        <v>1</v>
      </c>
      <c r="E962" t="s">
        <v>16</v>
      </c>
      <c r="F962" t="s">
        <v>17</v>
      </c>
      <c r="G962" t="s">
        <v>124</v>
      </c>
      <c r="H962">
        <v>0</v>
      </c>
      <c r="I962">
        <v>509320</v>
      </c>
      <c r="J962">
        <v>-509320</v>
      </c>
      <c r="L962">
        <v>33</v>
      </c>
      <c r="M962">
        <v>166805</v>
      </c>
      <c r="N962" t="s">
        <v>53</v>
      </c>
      <c r="O962" t="s">
        <v>54</v>
      </c>
    </row>
    <row r="963" spans="2:15" x14ac:dyDescent="0.25">
      <c r="B963" t="s">
        <v>36</v>
      </c>
      <c r="C963" s="4">
        <v>44573</v>
      </c>
      <c r="D963">
        <v>1</v>
      </c>
      <c r="E963" t="s">
        <v>21</v>
      </c>
      <c r="F963" t="s">
        <v>44</v>
      </c>
      <c r="G963" t="s">
        <v>124</v>
      </c>
      <c r="H963">
        <v>11798</v>
      </c>
      <c r="I963">
        <v>0</v>
      </c>
      <c r="J963">
        <v>11798</v>
      </c>
      <c r="L963">
        <v>33</v>
      </c>
      <c r="M963">
        <v>178879</v>
      </c>
      <c r="N963" t="s">
        <v>47</v>
      </c>
      <c r="O963" t="s">
        <v>48</v>
      </c>
    </row>
    <row r="964" spans="2:15" x14ac:dyDescent="0.25">
      <c r="B964" t="s">
        <v>36</v>
      </c>
      <c r="C964" s="4">
        <v>44573</v>
      </c>
      <c r="D964">
        <v>1</v>
      </c>
      <c r="E964" t="s">
        <v>16</v>
      </c>
      <c r="F964" t="s">
        <v>17</v>
      </c>
      <c r="G964" t="s">
        <v>124</v>
      </c>
      <c r="H964">
        <v>0</v>
      </c>
      <c r="I964">
        <v>11798</v>
      </c>
      <c r="J964">
        <v>-11798</v>
      </c>
      <c r="L964">
        <v>33</v>
      </c>
      <c r="M964">
        <v>178879</v>
      </c>
      <c r="N964" t="s">
        <v>47</v>
      </c>
      <c r="O964" t="s">
        <v>48</v>
      </c>
    </row>
    <row r="965" spans="2:15" x14ac:dyDescent="0.25">
      <c r="B965" t="s">
        <v>36</v>
      </c>
      <c r="C965" s="4">
        <v>44573</v>
      </c>
      <c r="D965">
        <v>1</v>
      </c>
      <c r="E965" t="s">
        <v>21</v>
      </c>
      <c r="F965" t="s">
        <v>44</v>
      </c>
      <c r="G965" t="s">
        <v>124</v>
      </c>
      <c r="H965">
        <v>67830</v>
      </c>
      <c r="I965">
        <v>0</v>
      </c>
      <c r="J965">
        <v>67830</v>
      </c>
      <c r="L965">
        <v>33</v>
      </c>
      <c r="M965">
        <v>51874</v>
      </c>
      <c r="N965" t="s">
        <v>55</v>
      </c>
      <c r="O965" t="s">
        <v>56</v>
      </c>
    </row>
    <row r="966" spans="2:15" x14ac:dyDescent="0.25">
      <c r="B966" t="s">
        <v>36</v>
      </c>
      <c r="C966" s="4">
        <v>44573</v>
      </c>
      <c r="D966">
        <v>1</v>
      </c>
      <c r="E966" t="s">
        <v>16</v>
      </c>
      <c r="F966" t="s">
        <v>17</v>
      </c>
      <c r="G966" t="s">
        <v>124</v>
      </c>
      <c r="H966">
        <v>0</v>
      </c>
      <c r="I966">
        <v>67830</v>
      </c>
      <c r="J966">
        <v>-67830</v>
      </c>
      <c r="L966">
        <v>33</v>
      </c>
      <c r="M966">
        <v>51874</v>
      </c>
      <c r="N966" t="s">
        <v>55</v>
      </c>
      <c r="O966" t="s">
        <v>56</v>
      </c>
    </row>
    <row r="967" spans="2:15" x14ac:dyDescent="0.25">
      <c r="B967" t="s">
        <v>36</v>
      </c>
      <c r="C967" s="4">
        <v>44574</v>
      </c>
      <c r="D967">
        <v>1</v>
      </c>
      <c r="E967" t="s">
        <v>21</v>
      </c>
      <c r="F967" t="s">
        <v>44</v>
      </c>
      <c r="G967" t="s">
        <v>124</v>
      </c>
      <c r="H967">
        <v>472430</v>
      </c>
      <c r="I967">
        <v>0</v>
      </c>
      <c r="J967">
        <v>472430</v>
      </c>
      <c r="L967">
        <v>33</v>
      </c>
      <c r="M967">
        <v>362309</v>
      </c>
      <c r="N967" t="s">
        <v>51</v>
      </c>
      <c r="O967" t="s">
        <v>52</v>
      </c>
    </row>
    <row r="968" spans="2:15" x14ac:dyDescent="0.25">
      <c r="B968" t="s">
        <v>36</v>
      </c>
      <c r="C968" s="4">
        <v>44574</v>
      </c>
      <c r="D968">
        <v>1</v>
      </c>
      <c r="E968" t="s">
        <v>16</v>
      </c>
      <c r="F968" t="s">
        <v>17</v>
      </c>
      <c r="G968" t="s">
        <v>124</v>
      </c>
      <c r="H968">
        <v>0</v>
      </c>
      <c r="I968">
        <v>472430</v>
      </c>
      <c r="J968">
        <v>-472430</v>
      </c>
      <c r="L968">
        <v>33</v>
      </c>
      <c r="M968">
        <v>362309</v>
      </c>
      <c r="N968" t="s">
        <v>51</v>
      </c>
      <c r="O968" t="s">
        <v>52</v>
      </c>
    </row>
    <row r="969" spans="2:15" x14ac:dyDescent="0.25">
      <c r="B969" t="s">
        <v>36</v>
      </c>
      <c r="C969" s="4">
        <v>44574</v>
      </c>
      <c r="D969">
        <v>1</v>
      </c>
      <c r="E969" t="s">
        <v>21</v>
      </c>
      <c r="F969" t="s">
        <v>44</v>
      </c>
      <c r="G969" t="s">
        <v>124</v>
      </c>
      <c r="H969">
        <v>185854</v>
      </c>
      <c r="I969">
        <v>0</v>
      </c>
      <c r="J969">
        <v>185854</v>
      </c>
      <c r="L969">
        <v>33</v>
      </c>
      <c r="M969">
        <v>362345</v>
      </c>
      <c r="N969" t="s">
        <v>51</v>
      </c>
      <c r="O969" t="s">
        <v>52</v>
      </c>
    </row>
    <row r="970" spans="2:15" x14ac:dyDescent="0.25">
      <c r="B970" t="s">
        <v>36</v>
      </c>
      <c r="C970" s="4">
        <v>44574</v>
      </c>
      <c r="D970">
        <v>1</v>
      </c>
      <c r="E970" t="s">
        <v>16</v>
      </c>
      <c r="F970" t="s">
        <v>17</v>
      </c>
      <c r="G970" t="s">
        <v>124</v>
      </c>
      <c r="H970">
        <v>0</v>
      </c>
      <c r="I970">
        <v>185854</v>
      </c>
      <c r="J970">
        <v>-185854</v>
      </c>
      <c r="L970">
        <v>33</v>
      </c>
      <c r="M970">
        <v>362345</v>
      </c>
      <c r="N970" t="s">
        <v>51</v>
      </c>
      <c r="O970" t="s">
        <v>52</v>
      </c>
    </row>
    <row r="971" spans="2:15" x14ac:dyDescent="0.25">
      <c r="B971" t="s">
        <v>36</v>
      </c>
      <c r="C971" s="4">
        <v>44575</v>
      </c>
      <c r="D971">
        <v>1</v>
      </c>
      <c r="E971" t="s">
        <v>21</v>
      </c>
      <c r="F971" t="s">
        <v>44</v>
      </c>
      <c r="G971" t="s">
        <v>124</v>
      </c>
      <c r="H971">
        <v>36902</v>
      </c>
      <c r="I971">
        <v>0</v>
      </c>
      <c r="J971">
        <v>36902</v>
      </c>
      <c r="L971">
        <v>33</v>
      </c>
      <c r="M971">
        <v>362536</v>
      </c>
      <c r="N971" t="s">
        <v>51</v>
      </c>
      <c r="O971" t="s">
        <v>52</v>
      </c>
    </row>
    <row r="972" spans="2:15" x14ac:dyDescent="0.25">
      <c r="B972" t="s">
        <v>36</v>
      </c>
      <c r="C972" s="4">
        <v>44575</v>
      </c>
      <c r="D972">
        <v>1</v>
      </c>
      <c r="E972" t="s">
        <v>16</v>
      </c>
      <c r="F972" t="s">
        <v>17</v>
      </c>
      <c r="G972" t="s">
        <v>124</v>
      </c>
      <c r="H972">
        <v>0</v>
      </c>
      <c r="I972">
        <v>36902</v>
      </c>
      <c r="J972">
        <v>-36902</v>
      </c>
      <c r="L972">
        <v>33</v>
      </c>
      <c r="M972">
        <v>362536</v>
      </c>
      <c r="N972" t="s">
        <v>51</v>
      </c>
      <c r="O972" t="s">
        <v>52</v>
      </c>
    </row>
    <row r="973" spans="2:15" x14ac:dyDescent="0.25">
      <c r="B973" t="s">
        <v>36</v>
      </c>
      <c r="C973" s="4">
        <v>44578</v>
      </c>
      <c r="D973">
        <v>1</v>
      </c>
      <c r="E973" t="s">
        <v>21</v>
      </c>
      <c r="F973" t="s">
        <v>44</v>
      </c>
      <c r="G973" t="s">
        <v>124</v>
      </c>
      <c r="H973">
        <v>47857</v>
      </c>
      <c r="I973">
        <v>0</v>
      </c>
      <c r="J973">
        <v>47857</v>
      </c>
      <c r="L973">
        <v>33</v>
      </c>
      <c r="M973">
        <v>655351</v>
      </c>
      <c r="N973" t="s">
        <v>49</v>
      </c>
      <c r="O973" t="s">
        <v>50</v>
      </c>
    </row>
    <row r="974" spans="2:15" x14ac:dyDescent="0.25">
      <c r="B974" t="s">
        <v>36</v>
      </c>
      <c r="C974" s="4">
        <v>44578</v>
      </c>
      <c r="D974">
        <v>1</v>
      </c>
      <c r="E974" t="s">
        <v>16</v>
      </c>
      <c r="F974" t="s">
        <v>17</v>
      </c>
      <c r="G974" t="s">
        <v>124</v>
      </c>
      <c r="H974">
        <v>0</v>
      </c>
      <c r="I974">
        <v>47857</v>
      </c>
      <c r="J974">
        <v>-47857</v>
      </c>
      <c r="L974">
        <v>33</v>
      </c>
      <c r="M974">
        <v>655351</v>
      </c>
      <c r="N974" t="s">
        <v>49</v>
      </c>
      <c r="O974" t="s">
        <v>50</v>
      </c>
    </row>
    <row r="975" spans="2:15" x14ac:dyDescent="0.25">
      <c r="B975" t="s">
        <v>36</v>
      </c>
      <c r="C975" s="4">
        <v>44578</v>
      </c>
      <c r="D975">
        <v>1</v>
      </c>
      <c r="E975" t="s">
        <v>21</v>
      </c>
      <c r="F975" t="s">
        <v>44</v>
      </c>
      <c r="G975" t="s">
        <v>124</v>
      </c>
      <c r="H975">
        <v>1184468</v>
      </c>
      <c r="I975">
        <v>0</v>
      </c>
      <c r="J975">
        <v>1184468</v>
      </c>
      <c r="L975">
        <v>33</v>
      </c>
      <c r="M975">
        <v>655353</v>
      </c>
      <c r="N975" t="s">
        <v>49</v>
      </c>
      <c r="O975" t="s">
        <v>50</v>
      </c>
    </row>
    <row r="976" spans="2:15" x14ac:dyDescent="0.25">
      <c r="B976" t="s">
        <v>36</v>
      </c>
      <c r="C976" s="4">
        <v>44578</v>
      </c>
      <c r="D976">
        <v>1</v>
      </c>
      <c r="E976" t="s">
        <v>16</v>
      </c>
      <c r="F976" t="s">
        <v>17</v>
      </c>
      <c r="G976" t="s">
        <v>124</v>
      </c>
      <c r="H976">
        <v>0</v>
      </c>
      <c r="I976">
        <v>1184468</v>
      </c>
      <c r="J976">
        <v>-1184468</v>
      </c>
      <c r="L976">
        <v>33</v>
      </c>
      <c r="M976">
        <v>655353</v>
      </c>
      <c r="N976" t="s">
        <v>49</v>
      </c>
      <c r="O976" t="s">
        <v>50</v>
      </c>
    </row>
    <row r="977" spans="2:15" x14ac:dyDescent="0.25">
      <c r="B977" t="s">
        <v>36</v>
      </c>
      <c r="C977" s="4">
        <v>44577</v>
      </c>
      <c r="D977">
        <v>1</v>
      </c>
      <c r="E977" t="s">
        <v>21</v>
      </c>
      <c r="F977" t="s">
        <v>44</v>
      </c>
      <c r="G977" t="s">
        <v>124</v>
      </c>
      <c r="H977">
        <v>41960</v>
      </c>
      <c r="I977">
        <v>0</v>
      </c>
      <c r="J977">
        <v>41960</v>
      </c>
      <c r="L977">
        <v>33</v>
      </c>
      <c r="M977">
        <v>9381468</v>
      </c>
      <c r="N977" t="s">
        <v>57</v>
      </c>
      <c r="O977" t="s">
        <v>58</v>
      </c>
    </row>
    <row r="978" spans="2:15" x14ac:dyDescent="0.25">
      <c r="B978" t="s">
        <v>36</v>
      </c>
      <c r="C978" s="4">
        <v>44577</v>
      </c>
      <c r="D978">
        <v>1</v>
      </c>
      <c r="E978" t="s">
        <v>16</v>
      </c>
      <c r="F978" t="s">
        <v>17</v>
      </c>
      <c r="G978" t="s">
        <v>124</v>
      </c>
      <c r="H978">
        <v>0</v>
      </c>
      <c r="I978">
        <v>41960</v>
      </c>
      <c r="J978">
        <v>-41960</v>
      </c>
      <c r="L978">
        <v>33</v>
      </c>
      <c r="M978">
        <v>9381468</v>
      </c>
      <c r="N978" t="s">
        <v>57</v>
      </c>
      <c r="O978" t="s">
        <v>58</v>
      </c>
    </row>
    <row r="979" spans="2:15" x14ac:dyDescent="0.25">
      <c r="B979" t="s">
        <v>36</v>
      </c>
      <c r="C979" s="4">
        <v>44581</v>
      </c>
      <c r="D979">
        <v>1</v>
      </c>
      <c r="E979" t="s">
        <v>21</v>
      </c>
      <c r="F979" t="s">
        <v>44</v>
      </c>
      <c r="G979" t="s">
        <v>124</v>
      </c>
      <c r="H979">
        <v>95714</v>
      </c>
      <c r="I979">
        <v>0</v>
      </c>
      <c r="J979">
        <v>95714</v>
      </c>
      <c r="L979">
        <v>33</v>
      </c>
      <c r="M979">
        <v>655942</v>
      </c>
      <c r="N979" t="s">
        <v>49</v>
      </c>
      <c r="O979" t="s">
        <v>50</v>
      </c>
    </row>
    <row r="980" spans="2:15" x14ac:dyDescent="0.25">
      <c r="B980" t="s">
        <v>36</v>
      </c>
      <c r="C980" s="4">
        <v>44581</v>
      </c>
      <c r="D980">
        <v>1</v>
      </c>
      <c r="E980" t="s">
        <v>16</v>
      </c>
      <c r="F980" t="s">
        <v>17</v>
      </c>
      <c r="G980" t="s">
        <v>124</v>
      </c>
      <c r="H980">
        <v>0</v>
      </c>
      <c r="I980">
        <v>95714</v>
      </c>
      <c r="J980">
        <v>-95714</v>
      </c>
      <c r="L980">
        <v>33</v>
      </c>
      <c r="M980">
        <v>655942</v>
      </c>
      <c r="N980" t="s">
        <v>49</v>
      </c>
      <c r="O980" t="s">
        <v>50</v>
      </c>
    </row>
    <row r="981" spans="2:15" x14ac:dyDescent="0.25">
      <c r="B981" t="s">
        <v>36</v>
      </c>
      <c r="C981" s="4">
        <v>44587</v>
      </c>
      <c r="D981">
        <v>1</v>
      </c>
      <c r="E981" t="s">
        <v>21</v>
      </c>
      <c r="F981" t="s">
        <v>44</v>
      </c>
      <c r="G981" t="s">
        <v>124</v>
      </c>
      <c r="H981">
        <v>11798</v>
      </c>
      <c r="I981">
        <v>0</v>
      </c>
      <c r="J981">
        <v>11798</v>
      </c>
      <c r="L981">
        <v>33</v>
      </c>
      <c r="M981">
        <v>180116</v>
      </c>
      <c r="N981" t="s">
        <v>47</v>
      </c>
      <c r="O981" t="s">
        <v>48</v>
      </c>
    </row>
    <row r="982" spans="2:15" x14ac:dyDescent="0.25">
      <c r="B982" t="s">
        <v>36</v>
      </c>
      <c r="C982" s="4">
        <v>44587</v>
      </c>
      <c r="D982">
        <v>1</v>
      </c>
      <c r="E982" t="s">
        <v>16</v>
      </c>
      <c r="F982" t="s">
        <v>17</v>
      </c>
      <c r="G982" t="s">
        <v>124</v>
      </c>
      <c r="H982">
        <v>0</v>
      </c>
      <c r="I982">
        <v>11798</v>
      </c>
      <c r="J982">
        <v>-11798</v>
      </c>
      <c r="L982">
        <v>33</v>
      </c>
      <c r="M982">
        <v>180116</v>
      </c>
      <c r="N982" t="s">
        <v>47</v>
      </c>
      <c r="O982" t="s">
        <v>48</v>
      </c>
    </row>
    <row r="983" spans="2:15" x14ac:dyDescent="0.25">
      <c r="B983" t="s">
        <v>36</v>
      </c>
      <c r="C983" s="4">
        <v>44587</v>
      </c>
      <c r="D983">
        <v>1</v>
      </c>
      <c r="E983" t="s">
        <v>21</v>
      </c>
      <c r="F983" t="s">
        <v>44</v>
      </c>
      <c r="G983" t="s">
        <v>124</v>
      </c>
      <c r="H983">
        <v>85359</v>
      </c>
      <c r="I983">
        <v>0</v>
      </c>
      <c r="J983">
        <v>85359</v>
      </c>
      <c r="L983">
        <v>33</v>
      </c>
      <c r="M983">
        <v>656887</v>
      </c>
      <c r="N983" t="s">
        <v>49</v>
      </c>
      <c r="O983" t="s">
        <v>50</v>
      </c>
    </row>
    <row r="984" spans="2:15" x14ac:dyDescent="0.25">
      <c r="B984" t="s">
        <v>36</v>
      </c>
      <c r="C984" s="4">
        <v>44587</v>
      </c>
      <c r="D984">
        <v>1</v>
      </c>
      <c r="E984" t="s">
        <v>16</v>
      </c>
      <c r="F984" t="s">
        <v>17</v>
      </c>
      <c r="G984" t="s">
        <v>124</v>
      </c>
      <c r="H984">
        <v>0</v>
      </c>
      <c r="I984">
        <v>85359</v>
      </c>
      <c r="J984">
        <v>-85359</v>
      </c>
      <c r="L984">
        <v>33</v>
      </c>
      <c r="M984">
        <v>656887</v>
      </c>
      <c r="N984" t="s">
        <v>49</v>
      </c>
      <c r="O984" t="s">
        <v>50</v>
      </c>
    </row>
    <row r="985" spans="2:15" x14ac:dyDescent="0.25">
      <c r="B985" t="s">
        <v>36</v>
      </c>
      <c r="C985" s="4">
        <v>44589</v>
      </c>
      <c r="D985">
        <v>1</v>
      </c>
      <c r="E985" t="s">
        <v>21</v>
      </c>
      <c r="F985" t="s">
        <v>44</v>
      </c>
      <c r="G985" t="s">
        <v>124</v>
      </c>
      <c r="H985">
        <v>224315</v>
      </c>
      <c r="I985">
        <v>0</v>
      </c>
      <c r="J985">
        <v>224315</v>
      </c>
      <c r="L985">
        <v>33</v>
      </c>
      <c r="M985">
        <v>1058</v>
      </c>
      <c r="N985" t="s">
        <v>59</v>
      </c>
      <c r="O985" t="s">
        <v>60</v>
      </c>
    </row>
    <row r="986" spans="2:15" x14ac:dyDescent="0.25">
      <c r="B986" t="s">
        <v>36</v>
      </c>
      <c r="C986" s="4">
        <v>44589</v>
      </c>
      <c r="D986">
        <v>1</v>
      </c>
      <c r="E986" t="s">
        <v>16</v>
      </c>
      <c r="F986" t="s">
        <v>17</v>
      </c>
      <c r="G986" t="s">
        <v>124</v>
      </c>
      <c r="H986">
        <v>0</v>
      </c>
      <c r="I986">
        <v>224315</v>
      </c>
      <c r="J986">
        <v>-224315</v>
      </c>
      <c r="L986">
        <v>33</v>
      </c>
      <c r="M986">
        <v>1058</v>
      </c>
      <c r="N986" t="s">
        <v>59</v>
      </c>
      <c r="O986" t="s">
        <v>60</v>
      </c>
    </row>
    <row r="987" spans="2:15" x14ac:dyDescent="0.25">
      <c r="B987" t="s">
        <v>36</v>
      </c>
      <c r="C987" s="4">
        <v>44581</v>
      </c>
      <c r="D987">
        <v>1</v>
      </c>
      <c r="E987" t="s">
        <v>21</v>
      </c>
      <c r="F987" t="s">
        <v>44</v>
      </c>
      <c r="G987" t="s">
        <v>124</v>
      </c>
      <c r="H987">
        <v>0</v>
      </c>
      <c r="I987">
        <v>179465</v>
      </c>
      <c r="J987">
        <v>-179465</v>
      </c>
      <c r="L987">
        <v>61</v>
      </c>
      <c r="M987">
        <v>35491</v>
      </c>
      <c r="N987" t="s">
        <v>49</v>
      </c>
      <c r="O987" t="s">
        <v>50</v>
      </c>
    </row>
    <row r="988" spans="2:15" x14ac:dyDescent="0.25">
      <c r="B988" t="s">
        <v>36</v>
      </c>
      <c r="C988" s="4">
        <v>44581</v>
      </c>
      <c r="D988">
        <v>1</v>
      </c>
      <c r="E988" t="s">
        <v>16</v>
      </c>
      <c r="F988" t="s">
        <v>17</v>
      </c>
      <c r="G988" t="s">
        <v>124</v>
      </c>
      <c r="H988">
        <v>179465</v>
      </c>
      <c r="I988">
        <v>0</v>
      </c>
      <c r="J988">
        <v>179465</v>
      </c>
      <c r="L988">
        <v>61</v>
      </c>
      <c r="M988">
        <v>35491</v>
      </c>
      <c r="N988" t="s">
        <v>49</v>
      </c>
      <c r="O988" t="s">
        <v>50</v>
      </c>
    </row>
    <row r="989" spans="2:15" x14ac:dyDescent="0.25">
      <c r="B989" t="s">
        <v>36</v>
      </c>
      <c r="C989" s="4">
        <v>44587</v>
      </c>
      <c r="D989">
        <v>2</v>
      </c>
      <c r="E989" t="s">
        <v>21</v>
      </c>
      <c r="F989" t="s">
        <v>44</v>
      </c>
      <c r="G989" t="s">
        <v>124</v>
      </c>
      <c r="H989">
        <v>265290</v>
      </c>
      <c r="I989">
        <v>0</v>
      </c>
      <c r="J989">
        <v>265290</v>
      </c>
      <c r="L989">
        <v>33</v>
      </c>
      <c r="M989">
        <v>8012</v>
      </c>
      <c r="N989" t="s">
        <v>61</v>
      </c>
      <c r="O989" t="s">
        <v>62</v>
      </c>
    </row>
    <row r="990" spans="2:15" x14ac:dyDescent="0.25">
      <c r="B990" t="s">
        <v>36</v>
      </c>
      <c r="C990" s="4">
        <v>44587</v>
      </c>
      <c r="D990">
        <v>2</v>
      </c>
      <c r="E990" t="s">
        <v>16</v>
      </c>
      <c r="F990" t="s">
        <v>17</v>
      </c>
      <c r="G990" t="s">
        <v>124</v>
      </c>
      <c r="H990">
        <v>0</v>
      </c>
      <c r="I990">
        <v>265290</v>
      </c>
      <c r="J990">
        <v>-265290</v>
      </c>
      <c r="L990">
        <v>33</v>
      </c>
      <c r="M990">
        <v>8012</v>
      </c>
      <c r="N990" t="s">
        <v>61</v>
      </c>
      <c r="O990" t="s">
        <v>62</v>
      </c>
    </row>
    <row r="991" spans="2:15" x14ac:dyDescent="0.25">
      <c r="B991" t="s">
        <v>36</v>
      </c>
      <c r="C991" s="4">
        <v>44587</v>
      </c>
      <c r="D991">
        <v>2</v>
      </c>
      <c r="E991" t="s">
        <v>21</v>
      </c>
      <c r="F991" t="s">
        <v>44</v>
      </c>
      <c r="G991" t="s">
        <v>124</v>
      </c>
      <c r="H991">
        <v>9560</v>
      </c>
      <c r="I991">
        <v>0</v>
      </c>
      <c r="J991">
        <v>9560</v>
      </c>
      <c r="L991">
        <v>33</v>
      </c>
      <c r="M991">
        <v>8014</v>
      </c>
      <c r="N991" t="s">
        <v>61</v>
      </c>
      <c r="O991" t="s">
        <v>62</v>
      </c>
    </row>
    <row r="992" spans="2:15" x14ac:dyDescent="0.25">
      <c r="B992" t="s">
        <v>36</v>
      </c>
      <c r="C992" s="4">
        <v>44587</v>
      </c>
      <c r="D992">
        <v>2</v>
      </c>
      <c r="E992" t="s">
        <v>16</v>
      </c>
      <c r="F992" t="s">
        <v>17</v>
      </c>
      <c r="G992" t="s">
        <v>124</v>
      </c>
      <c r="H992">
        <v>0</v>
      </c>
      <c r="I992">
        <v>9560</v>
      </c>
      <c r="J992">
        <v>-9560</v>
      </c>
      <c r="L992">
        <v>33</v>
      </c>
      <c r="M992">
        <v>8014</v>
      </c>
      <c r="N992" t="s">
        <v>61</v>
      </c>
      <c r="O992" t="s">
        <v>62</v>
      </c>
    </row>
    <row r="993" spans="2:15" x14ac:dyDescent="0.25">
      <c r="B993" t="s">
        <v>36</v>
      </c>
      <c r="C993" s="4">
        <v>44589</v>
      </c>
      <c r="D993">
        <v>2</v>
      </c>
      <c r="E993" t="s">
        <v>21</v>
      </c>
      <c r="F993" t="s">
        <v>44</v>
      </c>
      <c r="G993" t="s">
        <v>124</v>
      </c>
      <c r="H993">
        <v>144928</v>
      </c>
      <c r="I993">
        <v>0</v>
      </c>
      <c r="J993">
        <v>144928</v>
      </c>
      <c r="L993">
        <v>33</v>
      </c>
      <c r="M993">
        <v>285938</v>
      </c>
      <c r="N993" t="s">
        <v>63</v>
      </c>
      <c r="O993" t="s">
        <v>64</v>
      </c>
    </row>
    <row r="994" spans="2:15" x14ac:dyDescent="0.25">
      <c r="B994" t="s">
        <v>36</v>
      </c>
      <c r="C994" s="4">
        <v>44589</v>
      </c>
      <c r="D994">
        <v>2</v>
      </c>
      <c r="E994" t="s">
        <v>16</v>
      </c>
      <c r="F994" t="s">
        <v>17</v>
      </c>
      <c r="G994" t="s">
        <v>124</v>
      </c>
      <c r="H994">
        <v>0</v>
      </c>
      <c r="I994">
        <v>144928</v>
      </c>
      <c r="J994">
        <v>-144928</v>
      </c>
      <c r="L994">
        <v>33</v>
      </c>
      <c r="M994">
        <v>285938</v>
      </c>
      <c r="N994" t="s">
        <v>63</v>
      </c>
      <c r="O994" t="s">
        <v>64</v>
      </c>
    </row>
    <row r="995" spans="2:15" x14ac:dyDescent="0.25">
      <c r="B995" t="s">
        <v>36</v>
      </c>
      <c r="C995" s="4">
        <v>44595</v>
      </c>
      <c r="D995">
        <v>2</v>
      </c>
      <c r="E995" t="s">
        <v>21</v>
      </c>
      <c r="F995" t="s">
        <v>44</v>
      </c>
      <c r="G995" t="s">
        <v>124</v>
      </c>
      <c r="H995">
        <v>129850</v>
      </c>
      <c r="I995">
        <v>0</v>
      </c>
      <c r="J995">
        <v>129850</v>
      </c>
      <c r="L995">
        <v>33</v>
      </c>
      <c r="M995">
        <v>148427</v>
      </c>
      <c r="N995" t="s">
        <v>45</v>
      </c>
      <c r="O995" t="s">
        <v>46</v>
      </c>
    </row>
    <row r="996" spans="2:15" x14ac:dyDescent="0.25">
      <c r="B996" t="s">
        <v>36</v>
      </c>
      <c r="C996" s="4">
        <v>44595</v>
      </c>
      <c r="D996">
        <v>2</v>
      </c>
      <c r="E996" t="s">
        <v>16</v>
      </c>
      <c r="F996" t="s">
        <v>17</v>
      </c>
      <c r="G996" t="s">
        <v>124</v>
      </c>
      <c r="H996">
        <v>0</v>
      </c>
      <c r="I996">
        <v>129850</v>
      </c>
      <c r="J996">
        <v>-129850</v>
      </c>
      <c r="L996">
        <v>33</v>
      </c>
      <c r="M996">
        <v>148427</v>
      </c>
      <c r="N996" t="s">
        <v>45</v>
      </c>
      <c r="O996" t="s">
        <v>46</v>
      </c>
    </row>
    <row r="997" spans="2:15" x14ac:dyDescent="0.25">
      <c r="B997" t="s">
        <v>36</v>
      </c>
      <c r="C997" s="4">
        <v>44595</v>
      </c>
      <c r="D997">
        <v>2</v>
      </c>
      <c r="E997" t="s">
        <v>21</v>
      </c>
      <c r="F997" t="s">
        <v>44</v>
      </c>
      <c r="G997" t="s">
        <v>124</v>
      </c>
      <c r="H997">
        <v>301546</v>
      </c>
      <c r="I997">
        <v>0</v>
      </c>
      <c r="J997">
        <v>301546</v>
      </c>
      <c r="L997">
        <v>33</v>
      </c>
      <c r="M997">
        <v>364690</v>
      </c>
      <c r="N997" t="s">
        <v>51</v>
      </c>
      <c r="O997" t="s">
        <v>52</v>
      </c>
    </row>
    <row r="998" spans="2:15" x14ac:dyDescent="0.25">
      <c r="B998" t="s">
        <v>36</v>
      </c>
      <c r="C998" s="4">
        <v>44595</v>
      </c>
      <c r="D998">
        <v>2</v>
      </c>
      <c r="E998" t="s">
        <v>16</v>
      </c>
      <c r="F998" t="s">
        <v>17</v>
      </c>
      <c r="G998" t="s">
        <v>124</v>
      </c>
      <c r="H998">
        <v>0</v>
      </c>
      <c r="I998">
        <v>301546</v>
      </c>
      <c r="J998">
        <v>-301546</v>
      </c>
      <c r="L998">
        <v>33</v>
      </c>
      <c r="M998">
        <v>364690</v>
      </c>
      <c r="N998" t="s">
        <v>51</v>
      </c>
      <c r="O998" t="s">
        <v>52</v>
      </c>
    </row>
    <row r="999" spans="2:15" x14ac:dyDescent="0.25">
      <c r="B999" t="s">
        <v>36</v>
      </c>
      <c r="C999" s="4">
        <v>44599</v>
      </c>
      <c r="D999">
        <v>2</v>
      </c>
      <c r="E999" t="s">
        <v>21</v>
      </c>
      <c r="F999" t="s">
        <v>44</v>
      </c>
      <c r="G999" t="s">
        <v>124</v>
      </c>
      <c r="H999">
        <v>29951</v>
      </c>
      <c r="I999">
        <v>0</v>
      </c>
      <c r="J999">
        <v>29951</v>
      </c>
      <c r="L999">
        <v>33</v>
      </c>
      <c r="M999">
        <v>40138</v>
      </c>
      <c r="N999" t="s">
        <v>65</v>
      </c>
      <c r="O999" t="s">
        <v>66</v>
      </c>
    </row>
    <row r="1000" spans="2:15" x14ac:dyDescent="0.25">
      <c r="B1000" t="s">
        <v>36</v>
      </c>
      <c r="C1000" s="4">
        <v>44599</v>
      </c>
      <c r="D1000">
        <v>2</v>
      </c>
      <c r="E1000" t="s">
        <v>16</v>
      </c>
      <c r="F1000" t="s">
        <v>17</v>
      </c>
      <c r="G1000" t="s">
        <v>124</v>
      </c>
      <c r="H1000">
        <v>0</v>
      </c>
      <c r="I1000">
        <v>29951</v>
      </c>
      <c r="J1000">
        <v>-29951</v>
      </c>
      <c r="L1000">
        <v>33</v>
      </c>
      <c r="M1000">
        <v>40138</v>
      </c>
      <c r="N1000" t="s">
        <v>65</v>
      </c>
      <c r="O1000" t="s">
        <v>66</v>
      </c>
    </row>
    <row r="1001" spans="2:15" x14ac:dyDescent="0.25">
      <c r="B1001" t="s">
        <v>36</v>
      </c>
      <c r="C1001" s="4">
        <v>44600</v>
      </c>
      <c r="D1001">
        <v>2</v>
      </c>
      <c r="E1001" t="s">
        <v>21</v>
      </c>
      <c r="F1001" t="s">
        <v>44</v>
      </c>
      <c r="G1001" t="s">
        <v>124</v>
      </c>
      <c r="H1001">
        <v>96259</v>
      </c>
      <c r="I1001">
        <v>0</v>
      </c>
      <c r="J1001">
        <v>96259</v>
      </c>
      <c r="L1001">
        <v>33</v>
      </c>
      <c r="M1001">
        <v>365195</v>
      </c>
      <c r="N1001" t="s">
        <v>51</v>
      </c>
      <c r="O1001" t="s">
        <v>52</v>
      </c>
    </row>
    <row r="1002" spans="2:15" x14ac:dyDescent="0.25">
      <c r="B1002" t="s">
        <v>36</v>
      </c>
      <c r="C1002" s="4">
        <v>44600</v>
      </c>
      <c r="D1002">
        <v>2</v>
      </c>
      <c r="E1002" t="s">
        <v>16</v>
      </c>
      <c r="F1002" t="s">
        <v>17</v>
      </c>
      <c r="G1002" t="s">
        <v>124</v>
      </c>
      <c r="H1002">
        <v>0</v>
      </c>
      <c r="I1002">
        <v>96259</v>
      </c>
      <c r="J1002">
        <v>-96259</v>
      </c>
      <c r="L1002">
        <v>33</v>
      </c>
      <c r="M1002">
        <v>365195</v>
      </c>
      <c r="N1002" t="s">
        <v>51</v>
      </c>
      <c r="O1002" t="s">
        <v>52</v>
      </c>
    </row>
    <row r="1003" spans="2:15" x14ac:dyDescent="0.25">
      <c r="B1003" t="s">
        <v>36</v>
      </c>
      <c r="C1003" s="4">
        <v>44603</v>
      </c>
      <c r="D1003">
        <v>2</v>
      </c>
      <c r="E1003" t="s">
        <v>21</v>
      </c>
      <c r="F1003" t="s">
        <v>44</v>
      </c>
      <c r="G1003" t="s">
        <v>124</v>
      </c>
      <c r="H1003">
        <v>5177</v>
      </c>
      <c r="I1003">
        <v>0</v>
      </c>
      <c r="J1003">
        <v>5177</v>
      </c>
      <c r="L1003">
        <v>33</v>
      </c>
      <c r="M1003">
        <v>14497</v>
      </c>
      <c r="N1003" t="s">
        <v>67</v>
      </c>
      <c r="O1003" t="s">
        <v>68</v>
      </c>
    </row>
    <row r="1004" spans="2:15" x14ac:dyDescent="0.25">
      <c r="B1004" t="s">
        <v>36</v>
      </c>
      <c r="C1004" s="4">
        <v>44603</v>
      </c>
      <c r="D1004">
        <v>2</v>
      </c>
      <c r="E1004" t="s">
        <v>16</v>
      </c>
      <c r="F1004" t="s">
        <v>17</v>
      </c>
      <c r="G1004" t="s">
        <v>124</v>
      </c>
      <c r="H1004">
        <v>0</v>
      </c>
      <c r="I1004">
        <v>5177</v>
      </c>
      <c r="J1004">
        <v>-5177</v>
      </c>
      <c r="L1004">
        <v>33</v>
      </c>
      <c r="M1004">
        <v>14497</v>
      </c>
      <c r="N1004" t="s">
        <v>67</v>
      </c>
      <c r="O1004" t="s">
        <v>68</v>
      </c>
    </row>
    <row r="1005" spans="2:15" x14ac:dyDescent="0.25">
      <c r="B1005" t="s">
        <v>36</v>
      </c>
      <c r="C1005" s="4">
        <v>44603</v>
      </c>
      <c r="D1005">
        <v>2</v>
      </c>
      <c r="E1005" t="s">
        <v>21</v>
      </c>
      <c r="F1005" t="s">
        <v>44</v>
      </c>
      <c r="G1005" t="s">
        <v>124</v>
      </c>
      <c r="H1005">
        <v>66250</v>
      </c>
      <c r="I1005">
        <v>0</v>
      </c>
      <c r="J1005">
        <v>66250</v>
      </c>
      <c r="L1005">
        <v>33</v>
      </c>
      <c r="M1005">
        <v>148803</v>
      </c>
      <c r="N1005" t="s">
        <v>45</v>
      </c>
      <c r="O1005" t="s">
        <v>46</v>
      </c>
    </row>
    <row r="1006" spans="2:15" x14ac:dyDescent="0.25">
      <c r="B1006" t="s">
        <v>36</v>
      </c>
      <c r="C1006" s="4">
        <v>44603</v>
      </c>
      <c r="D1006">
        <v>2</v>
      </c>
      <c r="E1006" t="s">
        <v>16</v>
      </c>
      <c r="F1006" t="s">
        <v>17</v>
      </c>
      <c r="G1006" t="s">
        <v>124</v>
      </c>
      <c r="H1006">
        <v>0</v>
      </c>
      <c r="I1006">
        <v>66250</v>
      </c>
      <c r="J1006">
        <v>-66250</v>
      </c>
      <c r="L1006">
        <v>33</v>
      </c>
      <c r="M1006">
        <v>148803</v>
      </c>
      <c r="N1006" t="s">
        <v>45</v>
      </c>
      <c r="O1006" t="s">
        <v>46</v>
      </c>
    </row>
    <row r="1007" spans="2:15" x14ac:dyDescent="0.25">
      <c r="B1007" t="s">
        <v>36</v>
      </c>
      <c r="C1007" s="4">
        <v>44607</v>
      </c>
      <c r="D1007">
        <v>2</v>
      </c>
      <c r="E1007" t="s">
        <v>21</v>
      </c>
      <c r="F1007" t="s">
        <v>44</v>
      </c>
      <c r="G1007" t="s">
        <v>124</v>
      </c>
      <c r="H1007">
        <v>5200</v>
      </c>
      <c r="I1007">
        <v>0</v>
      </c>
      <c r="J1007">
        <v>5200</v>
      </c>
      <c r="L1007">
        <v>33</v>
      </c>
      <c r="M1007">
        <v>40406</v>
      </c>
      <c r="N1007" t="s">
        <v>65</v>
      </c>
      <c r="O1007" t="s">
        <v>66</v>
      </c>
    </row>
    <row r="1008" spans="2:15" x14ac:dyDescent="0.25">
      <c r="B1008" t="s">
        <v>36</v>
      </c>
      <c r="C1008" s="4">
        <v>44607</v>
      </c>
      <c r="D1008">
        <v>2</v>
      </c>
      <c r="E1008" t="s">
        <v>16</v>
      </c>
      <c r="F1008" t="s">
        <v>17</v>
      </c>
      <c r="G1008" t="s">
        <v>124</v>
      </c>
      <c r="H1008">
        <v>0</v>
      </c>
      <c r="I1008">
        <v>5200</v>
      </c>
      <c r="J1008">
        <v>-5200</v>
      </c>
      <c r="L1008">
        <v>33</v>
      </c>
      <c r="M1008">
        <v>40406</v>
      </c>
      <c r="N1008" t="s">
        <v>65</v>
      </c>
      <c r="O1008" t="s">
        <v>66</v>
      </c>
    </row>
    <row r="1009" spans="2:15" x14ac:dyDescent="0.25">
      <c r="B1009" t="s">
        <v>36</v>
      </c>
      <c r="C1009" s="4">
        <v>44607</v>
      </c>
      <c r="D1009">
        <v>2</v>
      </c>
      <c r="E1009" t="s">
        <v>21</v>
      </c>
      <c r="F1009" t="s">
        <v>44</v>
      </c>
      <c r="G1009" t="s">
        <v>124</v>
      </c>
      <c r="H1009">
        <v>15069</v>
      </c>
      <c r="I1009">
        <v>0</v>
      </c>
      <c r="J1009">
        <v>15069</v>
      </c>
      <c r="L1009">
        <v>33</v>
      </c>
      <c r="M1009">
        <v>659396</v>
      </c>
      <c r="N1009" t="s">
        <v>49</v>
      </c>
      <c r="O1009" t="s">
        <v>50</v>
      </c>
    </row>
    <row r="1010" spans="2:15" x14ac:dyDescent="0.25">
      <c r="B1010" t="s">
        <v>36</v>
      </c>
      <c r="C1010" s="4">
        <v>44607</v>
      </c>
      <c r="D1010">
        <v>2</v>
      </c>
      <c r="E1010" t="s">
        <v>16</v>
      </c>
      <c r="F1010" t="s">
        <v>17</v>
      </c>
      <c r="G1010" t="s">
        <v>124</v>
      </c>
      <c r="H1010">
        <v>0</v>
      </c>
      <c r="I1010">
        <v>15069</v>
      </c>
      <c r="J1010">
        <v>-15069</v>
      </c>
      <c r="L1010">
        <v>33</v>
      </c>
      <c r="M1010">
        <v>659396</v>
      </c>
      <c r="N1010" t="s">
        <v>49</v>
      </c>
      <c r="O1010" t="s">
        <v>50</v>
      </c>
    </row>
    <row r="1011" spans="2:15" x14ac:dyDescent="0.25">
      <c r="B1011" t="s">
        <v>36</v>
      </c>
      <c r="C1011" s="4">
        <v>44607</v>
      </c>
      <c r="D1011">
        <v>2</v>
      </c>
      <c r="E1011" t="s">
        <v>21</v>
      </c>
      <c r="F1011" t="s">
        <v>44</v>
      </c>
      <c r="G1011" t="s">
        <v>124</v>
      </c>
      <c r="H1011">
        <v>71971</v>
      </c>
      <c r="I1011">
        <v>0</v>
      </c>
      <c r="J1011">
        <v>71971</v>
      </c>
      <c r="L1011">
        <v>33</v>
      </c>
      <c r="M1011">
        <v>365933</v>
      </c>
      <c r="N1011" t="s">
        <v>51</v>
      </c>
      <c r="O1011" t="s">
        <v>52</v>
      </c>
    </row>
    <row r="1012" spans="2:15" x14ac:dyDescent="0.25">
      <c r="B1012" t="s">
        <v>36</v>
      </c>
      <c r="C1012" s="4">
        <v>44607</v>
      </c>
      <c r="D1012">
        <v>2</v>
      </c>
      <c r="E1012" t="s">
        <v>16</v>
      </c>
      <c r="F1012" t="s">
        <v>17</v>
      </c>
      <c r="G1012" t="s">
        <v>124</v>
      </c>
      <c r="H1012">
        <v>0</v>
      </c>
      <c r="I1012">
        <v>71971</v>
      </c>
      <c r="J1012">
        <v>-71971</v>
      </c>
      <c r="L1012">
        <v>33</v>
      </c>
      <c r="M1012">
        <v>365933</v>
      </c>
      <c r="N1012" t="s">
        <v>51</v>
      </c>
      <c r="O1012" t="s">
        <v>52</v>
      </c>
    </row>
    <row r="1013" spans="2:15" x14ac:dyDescent="0.25">
      <c r="B1013" t="s">
        <v>36</v>
      </c>
      <c r="C1013" s="4">
        <v>44608</v>
      </c>
      <c r="D1013">
        <v>2</v>
      </c>
      <c r="E1013" t="s">
        <v>21</v>
      </c>
      <c r="F1013" t="s">
        <v>44</v>
      </c>
      <c r="G1013" t="s">
        <v>124</v>
      </c>
      <c r="H1013">
        <v>30643</v>
      </c>
      <c r="I1013">
        <v>0</v>
      </c>
      <c r="J1013">
        <v>30643</v>
      </c>
      <c r="L1013">
        <v>33</v>
      </c>
      <c r="M1013">
        <v>365984</v>
      </c>
      <c r="N1013" t="s">
        <v>51</v>
      </c>
      <c r="O1013" t="s">
        <v>52</v>
      </c>
    </row>
    <row r="1014" spans="2:15" x14ac:dyDescent="0.25">
      <c r="B1014" t="s">
        <v>36</v>
      </c>
      <c r="C1014" s="4">
        <v>44608</v>
      </c>
      <c r="D1014">
        <v>2</v>
      </c>
      <c r="E1014" t="s">
        <v>16</v>
      </c>
      <c r="F1014" t="s">
        <v>17</v>
      </c>
      <c r="G1014" t="s">
        <v>124</v>
      </c>
      <c r="H1014">
        <v>0</v>
      </c>
      <c r="I1014">
        <v>30643</v>
      </c>
      <c r="J1014">
        <v>-30643</v>
      </c>
      <c r="L1014">
        <v>33</v>
      </c>
      <c r="M1014">
        <v>365984</v>
      </c>
      <c r="N1014" t="s">
        <v>51</v>
      </c>
      <c r="O1014" t="s">
        <v>52</v>
      </c>
    </row>
    <row r="1015" spans="2:15" x14ac:dyDescent="0.25">
      <c r="B1015" t="s">
        <v>36</v>
      </c>
      <c r="C1015" s="4">
        <v>44609</v>
      </c>
      <c r="D1015">
        <v>2</v>
      </c>
      <c r="E1015" t="s">
        <v>21</v>
      </c>
      <c r="F1015" t="s">
        <v>44</v>
      </c>
      <c r="G1015" t="s">
        <v>124</v>
      </c>
      <c r="H1015">
        <v>102602</v>
      </c>
      <c r="I1015">
        <v>0</v>
      </c>
      <c r="J1015">
        <v>102602</v>
      </c>
      <c r="L1015">
        <v>33</v>
      </c>
      <c r="M1015">
        <v>366203</v>
      </c>
      <c r="N1015" t="s">
        <v>51</v>
      </c>
      <c r="O1015" t="s">
        <v>52</v>
      </c>
    </row>
    <row r="1016" spans="2:15" x14ac:dyDescent="0.25">
      <c r="B1016" t="s">
        <v>36</v>
      </c>
      <c r="C1016" s="4">
        <v>44609</v>
      </c>
      <c r="D1016">
        <v>2</v>
      </c>
      <c r="E1016" t="s">
        <v>16</v>
      </c>
      <c r="F1016" t="s">
        <v>17</v>
      </c>
      <c r="G1016" t="s">
        <v>124</v>
      </c>
      <c r="H1016">
        <v>0</v>
      </c>
      <c r="I1016">
        <v>102602</v>
      </c>
      <c r="J1016">
        <v>-102602</v>
      </c>
      <c r="L1016">
        <v>33</v>
      </c>
      <c r="M1016">
        <v>366203</v>
      </c>
      <c r="N1016" t="s">
        <v>51</v>
      </c>
      <c r="O1016" t="s">
        <v>52</v>
      </c>
    </row>
    <row r="1017" spans="2:15" x14ac:dyDescent="0.25">
      <c r="B1017" t="s">
        <v>36</v>
      </c>
      <c r="C1017" s="4">
        <v>44608</v>
      </c>
      <c r="D1017">
        <v>2</v>
      </c>
      <c r="E1017" t="s">
        <v>21</v>
      </c>
      <c r="F1017" t="s">
        <v>44</v>
      </c>
      <c r="G1017" t="s">
        <v>124</v>
      </c>
      <c r="H1017">
        <v>41960</v>
      </c>
      <c r="I1017">
        <v>0</v>
      </c>
      <c r="J1017">
        <v>41960</v>
      </c>
      <c r="L1017">
        <v>33</v>
      </c>
      <c r="M1017">
        <v>9596883</v>
      </c>
      <c r="N1017" t="s">
        <v>57</v>
      </c>
      <c r="O1017" t="s">
        <v>58</v>
      </c>
    </row>
    <row r="1018" spans="2:15" x14ac:dyDescent="0.25">
      <c r="B1018" t="s">
        <v>36</v>
      </c>
      <c r="C1018" s="4">
        <v>44608</v>
      </c>
      <c r="D1018">
        <v>2</v>
      </c>
      <c r="E1018" t="s">
        <v>16</v>
      </c>
      <c r="F1018" t="s">
        <v>17</v>
      </c>
      <c r="G1018" t="s">
        <v>124</v>
      </c>
      <c r="H1018">
        <v>0</v>
      </c>
      <c r="I1018">
        <v>41960</v>
      </c>
      <c r="J1018">
        <v>-41960</v>
      </c>
      <c r="L1018">
        <v>33</v>
      </c>
      <c r="M1018">
        <v>9596883</v>
      </c>
      <c r="N1018" t="s">
        <v>57</v>
      </c>
      <c r="O1018" t="s">
        <v>58</v>
      </c>
    </row>
    <row r="1019" spans="2:15" x14ac:dyDescent="0.25">
      <c r="B1019" t="s">
        <v>36</v>
      </c>
      <c r="C1019" s="4">
        <v>44613</v>
      </c>
      <c r="D1019">
        <v>2</v>
      </c>
      <c r="E1019" t="s">
        <v>21</v>
      </c>
      <c r="F1019" t="s">
        <v>44</v>
      </c>
      <c r="G1019" t="s">
        <v>124</v>
      </c>
      <c r="H1019">
        <v>52102</v>
      </c>
      <c r="I1019">
        <v>0</v>
      </c>
      <c r="J1019">
        <v>52102</v>
      </c>
      <c r="L1019">
        <v>33</v>
      </c>
      <c r="M1019">
        <v>660068</v>
      </c>
      <c r="N1019" t="s">
        <v>49</v>
      </c>
      <c r="O1019" t="s">
        <v>50</v>
      </c>
    </row>
    <row r="1020" spans="2:15" x14ac:dyDescent="0.25">
      <c r="B1020" t="s">
        <v>36</v>
      </c>
      <c r="C1020" s="4">
        <v>44613</v>
      </c>
      <c r="D1020">
        <v>2</v>
      </c>
      <c r="E1020" t="s">
        <v>16</v>
      </c>
      <c r="F1020" t="s">
        <v>17</v>
      </c>
      <c r="G1020" t="s">
        <v>124</v>
      </c>
      <c r="H1020">
        <v>0</v>
      </c>
      <c r="I1020">
        <v>52102</v>
      </c>
      <c r="J1020">
        <v>-52102</v>
      </c>
      <c r="L1020">
        <v>33</v>
      </c>
      <c r="M1020">
        <v>660068</v>
      </c>
      <c r="N1020" t="s">
        <v>49</v>
      </c>
      <c r="O1020" t="s">
        <v>50</v>
      </c>
    </row>
    <row r="1021" spans="2:15" x14ac:dyDescent="0.25">
      <c r="B1021" t="s">
        <v>36</v>
      </c>
      <c r="C1021" s="4">
        <v>44614</v>
      </c>
      <c r="D1021">
        <v>2</v>
      </c>
      <c r="E1021" t="s">
        <v>21</v>
      </c>
      <c r="F1021" t="s">
        <v>44</v>
      </c>
      <c r="G1021" t="s">
        <v>124</v>
      </c>
      <c r="H1021">
        <v>47017</v>
      </c>
      <c r="I1021">
        <v>0</v>
      </c>
      <c r="J1021">
        <v>47017</v>
      </c>
      <c r="L1021">
        <v>33</v>
      </c>
      <c r="M1021">
        <v>366759</v>
      </c>
      <c r="N1021" t="s">
        <v>51</v>
      </c>
      <c r="O1021" t="s">
        <v>52</v>
      </c>
    </row>
    <row r="1022" spans="2:15" x14ac:dyDescent="0.25">
      <c r="B1022" t="s">
        <v>36</v>
      </c>
      <c r="C1022" s="4">
        <v>44614</v>
      </c>
      <c r="D1022">
        <v>2</v>
      </c>
      <c r="E1022" t="s">
        <v>16</v>
      </c>
      <c r="F1022" t="s">
        <v>17</v>
      </c>
      <c r="G1022" t="s">
        <v>124</v>
      </c>
      <c r="H1022">
        <v>0</v>
      </c>
      <c r="I1022">
        <v>47017</v>
      </c>
      <c r="J1022">
        <v>-47017</v>
      </c>
      <c r="L1022">
        <v>33</v>
      </c>
      <c r="M1022">
        <v>366759</v>
      </c>
      <c r="N1022" t="s">
        <v>51</v>
      </c>
      <c r="O1022" t="s">
        <v>52</v>
      </c>
    </row>
    <row r="1023" spans="2:15" x14ac:dyDescent="0.25">
      <c r="B1023" t="s">
        <v>36</v>
      </c>
      <c r="C1023" s="4">
        <v>44614</v>
      </c>
      <c r="D1023">
        <v>2</v>
      </c>
      <c r="E1023" t="s">
        <v>21</v>
      </c>
      <c r="F1023" t="s">
        <v>44</v>
      </c>
      <c r="G1023" t="s">
        <v>124</v>
      </c>
      <c r="H1023">
        <v>483765</v>
      </c>
      <c r="I1023">
        <v>0</v>
      </c>
      <c r="J1023">
        <v>483765</v>
      </c>
      <c r="L1023">
        <v>33</v>
      </c>
      <c r="M1023">
        <v>168743</v>
      </c>
      <c r="N1023" t="s">
        <v>53</v>
      </c>
      <c r="O1023" t="s">
        <v>54</v>
      </c>
    </row>
    <row r="1024" spans="2:15" x14ac:dyDescent="0.25">
      <c r="B1024" t="s">
        <v>36</v>
      </c>
      <c r="C1024" s="4">
        <v>44614</v>
      </c>
      <c r="D1024">
        <v>2</v>
      </c>
      <c r="E1024" t="s">
        <v>16</v>
      </c>
      <c r="F1024" t="s">
        <v>17</v>
      </c>
      <c r="G1024" t="s">
        <v>124</v>
      </c>
      <c r="H1024">
        <v>0</v>
      </c>
      <c r="I1024">
        <v>483765</v>
      </c>
      <c r="J1024">
        <v>-483765</v>
      </c>
      <c r="L1024">
        <v>33</v>
      </c>
      <c r="M1024">
        <v>168743</v>
      </c>
      <c r="N1024" t="s">
        <v>53</v>
      </c>
      <c r="O1024" t="s">
        <v>54</v>
      </c>
    </row>
    <row r="1025" spans="2:15" x14ac:dyDescent="0.25">
      <c r="B1025" t="s">
        <v>36</v>
      </c>
      <c r="C1025" s="4">
        <v>44614</v>
      </c>
      <c r="D1025">
        <v>2</v>
      </c>
      <c r="E1025" t="s">
        <v>21</v>
      </c>
      <c r="F1025" t="s">
        <v>44</v>
      </c>
      <c r="G1025" t="s">
        <v>124</v>
      </c>
      <c r="H1025">
        <v>103030</v>
      </c>
      <c r="I1025">
        <v>0</v>
      </c>
      <c r="J1025">
        <v>103030</v>
      </c>
      <c r="L1025">
        <v>33</v>
      </c>
      <c r="M1025">
        <v>366840</v>
      </c>
      <c r="N1025" t="s">
        <v>51</v>
      </c>
      <c r="O1025" t="s">
        <v>52</v>
      </c>
    </row>
    <row r="1026" spans="2:15" x14ac:dyDescent="0.25">
      <c r="B1026" t="s">
        <v>36</v>
      </c>
      <c r="C1026" s="4">
        <v>44614</v>
      </c>
      <c r="D1026">
        <v>2</v>
      </c>
      <c r="E1026" t="s">
        <v>16</v>
      </c>
      <c r="F1026" t="s">
        <v>17</v>
      </c>
      <c r="G1026" t="s">
        <v>124</v>
      </c>
      <c r="H1026">
        <v>0</v>
      </c>
      <c r="I1026">
        <v>103030</v>
      </c>
      <c r="J1026">
        <v>-103030</v>
      </c>
      <c r="L1026">
        <v>33</v>
      </c>
      <c r="M1026">
        <v>366840</v>
      </c>
      <c r="N1026" t="s">
        <v>51</v>
      </c>
      <c r="O1026" t="s">
        <v>52</v>
      </c>
    </row>
    <row r="1027" spans="2:15" x14ac:dyDescent="0.25">
      <c r="B1027" t="s">
        <v>36</v>
      </c>
      <c r="C1027" s="4">
        <v>44614</v>
      </c>
      <c r="D1027">
        <v>2</v>
      </c>
      <c r="E1027" t="s">
        <v>21</v>
      </c>
      <c r="F1027" t="s">
        <v>44</v>
      </c>
      <c r="G1027" t="s">
        <v>124</v>
      </c>
      <c r="H1027">
        <v>62689</v>
      </c>
      <c r="I1027">
        <v>0</v>
      </c>
      <c r="J1027">
        <v>62689</v>
      </c>
      <c r="L1027">
        <v>33</v>
      </c>
      <c r="M1027">
        <v>366843</v>
      </c>
      <c r="N1027" t="s">
        <v>51</v>
      </c>
      <c r="O1027" t="s">
        <v>52</v>
      </c>
    </row>
    <row r="1028" spans="2:15" x14ac:dyDescent="0.25">
      <c r="B1028" t="s">
        <v>36</v>
      </c>
      <c r="C1028" s="4">
        <v>44614</v>
      </c>
      <c r="D1028">
        <v>2</v>
      </c>
      <c r="E1028" t="s">
        <v>16</v>
      </c>
      <c r="F1028" t="s">
        <v>17</v>
      </c>
      <c r="G1028" t="s">
        <v>124</v>
      </c>
      <c r="H1028">
        <v>0</v>
      </c>
      <c r="I1028">
        <v>62689</v>
      </c>
      <c r="J1028">
        <v>-62689</v>
      </c>
      <c r="L1028">
        <v>33</v>
      </c>
      <c r="M1028">
        <v>366843</v>
      </c>
      <c r="N1028" t="s">
        <v>51</v>
      </c>
      <c r="O1028" t="s">
        <v>52</v>
      </c>
    </row>
    <row r="1029" spans="2:15" x14ac:dyDescent="0.25">
      <c r="B1029" t="s">
        <v>36</v>
      </c>
      <c r="C1029" s="4">
        <v>44614</v>
      </c>
      <c r="D1029">
        <v>2</v>
      </c>
      <c r="E1029" t="s">
        <v>21</v>
      </c>
      <c r="F1029" t="s">
        <v>44</v>
      </c>
      <c r="G1029" t="s">
        <v>124</v>
      </c>
      <c r="H1029">
        <v>52688</v>
      </c>
      <c r="I1029">
        <v>0</v>
      </c>
      <c r="J1029">
        <v>52688</v>
      </c>
      <c r="L1029">
        <v>33</v>
      </c>
      <c r="M1029">
        <v>660287</v>
      </c>
      <c r="N1029" t="s">
        <v>49</v>
      </c>
      <c r="O1029" t="s">
        <v>50</v>
      </c>
    </row>
    <row r="1030" spans="2:15" x14ac:dyDescent="0.25">
      <c r="B1030" t="s">
        <v>36</v>
      </c>
      <c r="C1030" s="4">
        <v>44614</v>
      </c>
      <c r="D1030">
        <v>2</v>
      </c>
      <c r="E1030" t="s">
        <v>16</v>
      </c>
      <c r="F1030" t="s">
        <v>17</v>
      </c>
      <c r="G1030" t="s">
        <v>124</v>
      </c>
      <c r="H1030">
        <v>0</v>
      </c>
      <c r="I1030">
        <v>52688</v>
      </c>
      <c r="J1030">
        <v>-52688</v>
      </c>
      <c r="L1030">
        <v>33</v>
      </c>
      <c r="M1030">
        <v>660287</v>
      </c>
      <c r="N1030" t="s">
        <v>49</v>
      </c>
      <c r="O1030" t="s">
        <v>50</v>
      </c>
    </row>
    <row r="1031" spans="2:15" x14ac:dyDescent="0.25">
      <c r="B1031" t="s">
        <v>36</v>
      </c>
      <c r="C1031" s="4">
        <v>44614</v>
      </c>
      <c r="D1031">
        <v>2</v>
      </c>
      <c r="E1031" t="s">
        <v>21</v>
      </c>
      <c r="F1031" t="s">
        <v>44</v>
      </c>
      <c r="G1031" t="s">
        <v>124</v>
      </c>
      <c r="H1031">
        <v>17551</v>
      </c>
      <c r="I1031">
        <v>0</v>
      </c>
      <c r="J1031">
        <v>17551</v>
      </c>
      <c r="L1031">
        <v>33</v>
      </c>
      <c r="M1031">
        <v>288345</v>
      </c>
      <c r="N1031" t="s">
        <v>63</v>
      </c>
      <c r="O1031" t="s">
        <v>64</v>
      </c>
    </row>
    <row r="1032" spans="2:15" x14ac:dyDescent="0.25">
      <c r="B1032" t="s">
        <v>36</v>
      </c>
      <c r="C1032" s="4">
        <v>44614</v>
      </c>
      <c r="D1032">
        <v>2</v>
      </c>
      <c r="E1032" t="s">
        <v>16</v>
      </c>
      <c r="F1032" t="s">
        <v>17</v>
      </c>
      <c r="G1032" t="s">
        <v>124</v>
      </c>
      <c r="H1032">
        <v>0</v>
      </c>
      <c r="I1032">
        <v>17551</v>
      </c>
      <c r="J1032">
        <v>-17551</v>
      </c>
      <c r="L1032">
        <v>33</v>
      </c>
      <c r="M1032">
        <v>288345</v>
      </c>
      <c r="N1032" t="s">
        <v>63</v>
      </c>
      <c r="O1032" t="s">
        <v>64</v>
      </c>
    </row>
    <row r="1033" spans="2:15" x14ac:dyDescent="0.25">
      <c r="B1033" t="s">
        <v>36</v>
      </c>
      <c r="C1033" s="4">
        <v>44614</v>
      </c>
      <c r="D1033">
        <v>2</v>
      </c>
      <c r="E1033" t="s">
        <v>21</v>
      </c>
      <c r="F1033" t="s">
        <v>44</v>
      </c>
      <c r="G1033" t="s">
        <v>124</v>
      </c>
      <c r="H1033">
        <v>55240</v>
      </c>
      <c r="I1033">
        <v>0</v>
      </c>
      <c r="J1033">
        <v>55240</v>
      </c>
      <c r="L1033">
        <v>33</v>
      </c>
      <c r="M1033">
        <v>366951</v>
      </c>
      <c r="N1033" t="s">
        <v>51</v>
      </c>
      <c r="O1033" t="s">
        <v>52</v>
      </c>
    </row>
    <row r="1034" spans="2:15" x14ac:dyDescent="0.25">
      <c r="B1034" t="s">
        <v>36</v>
      </c>
      <c r="C1034" s="4">
        <v>44614</v>
      </c>
      <c r="D1034">
        <v>2</v>
      </c>
      <c r="E1034" t="s">
        <v>16</v>
      </c>
      <c r="F1034" t="s">
        <v>17</v>
      </c>
      <c r="G1034" t="s">
        <v>124</v>
      </c>
      <c r="H1034">
        <v>0</v>
      </c>
      <c r="I1034">
        <v>55240</v>
      </c>
      <c r="J1034">
        <v>-55240</v>
      </c>
      <c r="L1034">
        <v>33</v>
      </c>
      <c r="M1034">
        <v>366951</v>
      </c>
      <c r="N1034" t="s">
        <v>51</v>
      </c>
      <c r="O1034" t="s">
        <v>52</v>
      </c>
    </row>
    <row r="1035" spans="2:15" x14ac:dyDescent="0.25">
      <c r="B1035" t="s">
        <v>36</v>
      </c>
      <c r="C1035" s="4">
        <v>44615</v>
      </c>
      <c r="D1035">
        <v>2</v>
      </c>
      <c r="E1035" t="s">
        <v>21</v>
      </c>
      <c r="F1035" t="s">
        <v>44</v>
      </c>
      <c r="G1035" t="s">
        <v>124</v>
      </c>
      <c r="H1035">
        <v>39102</v>
      </c>
      <c r="I1035">
        <v>0</v>
      </c>
      <c r="J1035">
        <v>39102</v>
      </c>
      <c r="L1035">
        <v>33</v>
      </c>
      <c r="M1035">
        <v>288454</v>
      </c>
      <c r="N1035" t="s">
        <v>63</v>
      </c>
      <c r="O1035" t="s">
        <v>64</v>
      </c>
    </row>
    <row r="1036" spans="2:15" x14ac:dyDescent="0.25">
      <c r="B1036" t="s">
        <v>36</v>
      </c>
      <c r="C1036" s="4">
        <v>44615</v>
      </c>
      <c r="D1036">
        <v>2</v>
      </c>
      <c r="E1036" t="s">
        <v>16</v>
      </c>
      <c r="F1036" t="s">
        <v>17</v>
      </c>
      <c r="G1036" t="s">
        <v>124</v>
      </c>
      <c r="H1036">
        <v>0</v>
      </c>
      <c r="I1036">
        <v>39102</v>
      </c>
      <c r="J1036">
        <v>-39102</v>
      </c>
      <c r="L1036">
        <v>33</v>
      </c>
      <c r="M1036">
        <v>288454</v>
      </c>
      <c r="N1036" t="s">
        <v>63</v>
      </c>
      <c r="O1036" t="s">
        <v>64</v>
      </c>
    </row>
    <row r="1037" spans="2:15" x14ac:dyDescent="0.25">
      <c r="B1037" t="s">
        <v>36</v>
      </c>
      <c r="C1037" s="4">
        <v>44615</v>
      </c>
      <c r="D1037">
        <v>2</v>
      </c>
      <c r="E1037" t="s">
        <v>21</v>
      </c>
      <c r="F1037" t="s">
        <v>44</v>
      </c>
      <c r="G1037" t="s">
        <v>124</v>
      </c>
      <c r="H1037">
        <v>10399</v>
      </c>
      <c r="I1037">
        <v>0</v>
      </c>
      <c r="J1037">
        <v>10399</v>
      </c>
      <c r="L1037">
        <v>33</v>
      </c>
      <c r="M1037">
        <v>40705</v>
      </c>
      <c r="N1037" t="s">
        <v>65</v>
      </c>
      <c r="O1037" t="s">
        <v>66</v>
      </c>
    </row>
    <row r="1038" spans="2:15" x14ac:dyDescent="0.25">
      <c r="B1038" t="s">
        <v>36</v>
      </c>
      <c r="C1038" s="4">
        <v>44615</v>
      </c>
      <c r="D1038">
        <v>2</v>
      </c>
      <c r="E1038" t="s">
        <v>16</v>
      </c>
      <c r="F1038" t="s">
        <v>17</v>
      </c>
      <c r="G1038" t="s">
        <v>124</v>
      </c>
      <c r="H1038">
        <v>0</v>
      </c>
      <c r="I1038">
        <v>10399</v>
      </c>
      <c r="J1038">
        <v>-10399</v>
      </c>
      <c r="L1038">
        <v>33</v>
      </c>
      <c r="M1038">
        <v>40705</v>
      </c>
      <c r="N1038" t="s">
        <v>65</v>
      </c>
      <c r="O1038" t="s">
        <v>66</v>
      </c>
    </row>
    <row r="1039" spans="2:15" x14ac:dyDescent="0.25">
      <c r="B1039" t="s">
        <v>36</v>
      </c>
      <c r="C1039" s="4">
        <v>44614</v>
      </c>
      <c r="D1039">
        <v>2</v>
      </c>
      <c r="E1039" t="s">
        <v>21</v>
      </c>
      <c r="F1039" t="s">
        <v>44</v>
      </c>
      <c r="G1039" t="s">
        <v>124</v>
      </c>
      <c r="H1039">
        <v>160969</v>
      </c>
      <c r="I1039">
        <v>0</v>
      </c>
      <c r="J1039">
        <v>160969</v>
      </c>
      <c r="L1039">
        <v>33</v>
      </c>
      <c r="M1039">
        <v>288276</v>
      </c>
      <c r="N1039" t="s">
        <v>63</v>
      </c>
      <c r="O1039" t="s">
        <v>64</v>
      </c>
    </row>
    <row r="1040" spans="2:15" x14ac:dyDescent="0.25">
      <c r="B1040" t="s">
        <v>36</v>
      </c>
      <c r="C1040" s="4">
        <v>44614</v>
      </c>
      <c r="D1040">
        <v>2</v>
      </c>
      <c r="E1040" t="s">
        <v>16</v>
      </c>
      <c r="F1040" t="s">
        <v>17</v>
      </c>
      <c r="G1040" t="s">
        <v>124</v>
      </c>
      <c r="H1040">
        <v>0</v>
      </c>
      <c r="I1040">
        <v>160969</v>
      </c>
      <c r="J1040">
        <v>-160969</v>
      </c>
      <c r="L1040">
        <v>33</v>
      </c>
      <c r="M1040">
        <v>288276</v>
      </c>
      <c r="N1040" t="s">
        <v>63</v>
      </c>
      <c r="O1040" t="s">
        <v>64</v>
      </c>
    </row>
    <row r="1041" spans="2:15" x14ac:dyDescent="0.25">
      <c r="B1041" t="s">
        <v>36</v>
      </c>
      <c r="C1041" s="4">
        <v>44617</v>
      </c>
      <c r="D1041">
        <v>2</v>
      </c>
      <c r="E1041" t="s">
        <v>21</v>
      </c>
      <c r="F1041" t="s">
        <v>44</v>
      </c>
      <c r="G1041" t="s">
        <v>124</v>
      </c>
      <c r="H1041">
        <v>228194</v>
      </c>
      <c r="I1041">
        <v>0</v>
      </c>
      <c r="J1041">
        <v>228194</v>
      </c>
      <c r="L1041">
        <v>33</v>
      </c>
      <c r="M1041">
        <v>20973</v>
      </c>
      <c r="N1041" t="s">
        <v>69</v>
      </c>
      <c r="O1041" t="s">
        <v>70</v>
      </c>
    </row>
    <row r="1042" spans="2:15" x14ac:dyDescent="0.25">
      <c r="B1042" t="s">
        <v>36</v>
      </c>
      <c r="C1042" s="4">
        <v>44617</v>
      </c>
      <c r="D1042">
        <v>2</v>
      </c>
      <c r="E1042" t="s">
        <v>16</v>
      </c>
      <c r="F1042" t="s">
        <v>17</v>
      </c>
      <c r="G1042" t="s">
        <v>124</v>
      </c>
      <c r="H1042">
        <v>0</v>
      </c>
      <c r="I1042">
        <v>228194</v>
      </c>
      <c r="J1042">
        <v>-228194</v>
      </c>
      <c r="L1042">
        <v>33</v>
      </c>
      <c r="M1042">
        <v>20973</v>
      </c>
      <c r="N1042" t="s">
        <v>69</v>
      </c>
      <c r="O1042" t="s">
        <v>70</v>
      </c>
    </row>
    <row r="1043" spans="2:15" x14ac:dyDescent="0.25">
      <c r="B1043" t="s">
        <v>36</v>
      </c>
      <c r="C1043" s="4">
        <v>44592</v>
      </c>
      <c r="D1043">
        <v>2</v>
      </c>
      <c r="E1043" t="s">
        <v>21</v>
      </c>
      <c r="F1043" t="s">
        <v>44</v>
      </c>
      <c r="G1043" t="s">
        <v>124</v>
      </c>
      <c r="H1043">
        <v>109244</v>
      </c>
      <c r="I1043">
        <v>0</v>
      </c>
      <c r="J1043">
        <v>109244</v>
      </c>
      <c r="L1043">
        <v>34</v>
      </c>
      <c r="M1043">
        <v>78</v>
      </c>
      <c r="N1043" t="s">
        <v>71</v>
      </c>
      <c r="O1043" t="s">
        <v>72</v>
      </c>
    </row>
    <row r="1044" spans="2:15" x14ac:dyDescent="0.25">
      <c r="B1044" t="s">
        <v>36</v>
      </c>
      <c r="C1044" s="4">
        <v>44592</v>
      </c>
      <c r="D1044">
        <v>2</v>
      </c>
      <c r="E1044" t="s">
        <v>16</v>
      </c>
      <c r="F1044" t="s">
        <v>17</v>
      </c>
      <c r="G1044" t="s">
        <v>124</v>
      </c>
      <c r="H1044">
        <v>0</v>
      </c>
      <c r="I1044">
        <v>109244</v>
      </c>
      <c r="J1044">
        <v>-109244</v>
      </c>
      <c r="L1044">
        <v>34</v>
      </c>
      <c r="M1044">
        <v>78</v>
      </c>
      <c r="N1044" t="s">
        <v>71</v>
      </c>
      <c r="O1044" t="s">
        <v>72</v>
      </c>
    </row>
    <row r="1045" spans="2:15" x14ac:dyDescent="0.25">
      <c r="B1045" t="s">
        <v>36</v>
      </c>
      <c r="C1045" s="4">
        <v>44621</v>
      </c>
      <c r="D1045">
        <v>3</v>
      </c>
      <c r="E1045" t="s">
        <v>21</v>
      </c>
      <c r="F1045" t="s">
        <v>44</v>
      </c>
      <c r="G1045" t="s">
        <v>124</v>
      </c>
      <c r="H1045">
        <v>160976</v>
      </c>
      <c r="I1045">
        <v>0</v>
      </c>
      <c r="J1045">
        <v>160976</v>
      </c>
      <c r="L1045">
        <v>33</v>
      </c>
      <c r="M1045">
        <v>288988</v>
      </c>
      <c r="N1045" t="s">
        <v>63</v>
      </c>
      <c r="O1045" t="s">
        <v>64</v>
      </c>
    </row>
    <row r="1046" spans="2:15" x14ac:dyDescent="0.25">
      <c r="B1046" t="s">
        <v>36</v>
      </c>
      <c r="C1046" s="4">
        <v>44621</v>
      </c>
      <c r="D1046">
        <v>3</v>
      </c>
      <c r="E1046" t="s">
        <v>16</v>
      </c>
      <c r="F1046" t="s">
        <v>17</v>
      </c>
      <c r="G1046" t="s">
        <v>124</v>
      </c>
      <c r="H1046">
        <v>0</v>
      </c>
      <c r="I1046">
        <v>160976</v>
      </c>
      <c r="J1046">
        <v>-160976</v>
      </c>
      <c r="L1046">
        <v>33</v>
      </c>
      <c r="M1046">
        <v>288988</v>
      </c>
      <c r="N1046" t="s">
        <v>63</v>
      </c>
      <c r="O1046" t="s">
        <v>64</v>
      </c>
    </row>
    <row r="1047" spans="2:15" x14ac:dyDescent="0.25">
      <c r="B1047" t="s">
        <v>36</v>
      </c>
      <c r="C1047" s="4">
        <v>44630</v>
      </c>
      <c r="D1047">
        <v>3</v>
      </c>
      <c r="E1047" t="s">
        <v>21</v>
      </c>
      <c r="F1047" t="s">
        <v>44</v>
      </c>
      <c r="G1047" t="s">
        <v>124</v>
      </c>
      <c r="H1047">
        <v>32400</v>
      </c>
      <c r="I1047">
        <v>0</v>
      </c>
      <c r="J1047">
        <v>32400</v>
      </c>
      <c r="L1047">
        <v>33</v>
      </c>
      <c r="M1047">
        <v>151309</v>
      </c>
      <c r="N1047" t="s">
        <v>45</v>
      </c>
      <c r="O1047" t="s">
        <v>46</v>
      </c>
    </row>
    <row r="1048" spans="2:15" x14ac:dyDescent="0.25">
      <c r="B1048" t="s">
        <v>36</v>
      </c>
      <c r="C1048" s="4">
        <v>44630</v>
      </c>
      <c r="D1048">
        <v>3</v>
      </c>
      <c r="E1048" t="s">
        <v>16</v>
      </c>
      <c r="F1048" t="s">
        <v>17</v>
      </c>
      <c r="G1048" t="s">
        <v>124</v>
      </c>
      <c r="H1048">
        <v>0</v>
      </c>
      <c r="I1048">
        <v>32400</v>
      </c>
      <c r="J1048">
        <v>-32400</v>
      </c>
      <c r="L1048">
        <v>33</v>
      </c>
      <c r="M1048">
        <v>151309</v>
      </c>
      <c r="N1048" t="s">
        <v>45</v>
      </c>
      <c r="O1048" t="s">
        <v>46</v>
      </c>
    </row>
    <row r="1049" spans="2:15" x14ac:dyDescent="0.25">
      <c r="B1049" t="s">
        <v>36</v>
      </c>
      <c r="C1049" s="4">
        <v>44631</v>
      </c>
      <c r="D1049">
        <v>3</v>
      </c>
      <c r="E1049" t="s">
        <v>21</v>
      </c>
      <c r="F1049" t="s">
        <v>44</v>
      </c>
      <c r="G1049" t="s">
        <v>124</v>
      </c>
      <c r="H1049">
        <v>102066</v>
      </c>
      <c r="I1049">
        <v>0</v>
      </c>
      <c r="J1049">
        <v>102066</v>
      </c>
      <c r="L1049">
        <v>33</v>
      </c>
      <c r="M1049">
        <v>369279</v>
      </c>
      <c r="N1049" t="s">
        <v>51</v>
      </c>
      <c r="O1049" t="s">
        <v>52</v>
      </c>
    </row>
    <row r="1050" spans="2:15" x14ac:dyDescent="0.25">
      <c r="B1050" t="s">
        <v>36</v>
      </c>
      <c r="C1050" s="4">
        <v>44631</v>
      </c>
      <c r="D1050">
        <v>3</v>
      </c>
      <c r="E1050" t="s">
        <v>16</v>
      </c>
      <c r="F1050" t="s">
        <v>17</v>
      </c>
      <c r="G1050" t="s">
        <v>124</v>
      </c>
      <c r="H1050">
        <v>0</v>
      </c>
      <c r="I1050">
        <v>102066</v>
      </c>
      <c r="J1050">
        <v>-102066</v>
      </c>
      <c r="L1050">
        <v>33</v>
      </c>
      <c r="M1050">
        <v>369279</v>
      </c>
      <c r="N1050" t="s">
        <v>51</v>
      </c>
      <c r="O1050" t="s">
        <v>52</v>
      </c>
    </row>
    <row r="1051" spans="2:15" x14ac:dyDescent="0.25">
      <c r="B1051" t="s">
        <v>36</v>
      </c>
      <c r="C1051" s="4">
        <v>44634</v>
      </c>
      <c r="D1051">
        <v>3</v>
      </c>
      <c r="E1051" t="s">
        <v>21</v>
      </c>
      <c r="F1051" t="s">
        <v>44</v>
      </c>
      <c r="G1051" t="s">
        <v>124</v>
      </c>
      <c r="H1051">
        <v>5998</v>
      </c>
      <c r="I1051">
        <v>0</v>
      </c>
      <c r="J1051">
        <v>5998</v>
      </c>
      <c r="L1051">
        <v>33</v>
      </c>
      <c r="M1051">
        <v>179</v>
      </c>
      <c r="N1051" t="s">
        <v>73</v>
      </c>
      <c r="O1051" t="s">
        <v>74</v>
      </c>
    </row>
    <row r="1052" spans="2:15" x14ac:dyDescent="0.25">
      <c r="B1052" t="s">
        <v>36</v>
      </c>
      <c r="C1052" s="4">
        <v>44634</v>
      </c>
      <c r="D1052">
        <v>3</v>
      </c>
      <c r="E1052" t="s">
        <v>16</v>
      </c>
      <c r="F1052" t="s">
        <v>17</v>
      </c>
      <c r="G1052" t="s">
        <v>124</v>
      </c>
      <c r="H1052">
        <v>0</v>
      </c>
      <c r="I1052">
        <v>5998</v>
      </c>
      <c r="J1052">
        <v>-5998</v>
      </c>
      <c r="L1052">
        <v>33</v>
      </c>
      <c r="M1052">
        <v>179</v>
      </c>
      <c r="N1052" t="s">
        <v>73</v>
      </c>
      <c r="O1052" t="s">
        <v>74</v>
      </c>
    </row>
    <row r="1053" spans="2:15" x14ac:dyDescent="0.25">
      <c r="B1053" t="s">
        <v>36</v>
      </c>
      <c r="C1053" s="4">
        <v>44634</v>
      </c>
      <c r="D1053">
        <v>3</v>
      </c>
      <c r="E1053" t="s">
        <v>21</v>
      </c>
      <c r="F1053" t="s">
        <v>44</v>
      </c>
      <c r="G1053" t="s">
        <v>124</v>
      </c>
      <c r="H1053">
        <v>24954</v>
      </c>
      <c r="I1053">
        <v>0</v>
      </c>
      <c r="J1053">
        <v>24954</v>
      </c>
      <c r="L1053">
        <v>33</v>
      </c>
      <c r="M1053">
        <v>21083</v>
      </c>
      <c r="N1053" t="s">
        <v>69</v>
      </c>
      <c r="O1053" t="s">
        <v>70</v>
      </c>
    </row>
    <row r="1054" spans="2:15" x14ac:dyDescent="0.25">
      <c r="B1054" t="s">
        <v>36</v>
      </c>
      <c r="C1054" s="4">
        <v>44634</v>
      </c>
      <c r="D1054">
        <v>3</v>
      </c>
      <c r="E1054" t="s">
        <v>16</v>
      </c>
      <c r="F1054" t="s">
        <v>17</v>
      </c>
      <c r="G1054" t="s">
        <v>124</v>
      </c>
      <c r="H1054">
        <v>0</v>
      </c>
      <c r="I1054">
        <v>24954</v>
      </c>
      <c r="J1054">
        <v>-24954</v>
      </c>
      <c r="L1054">
        <v>33</v>
      </c>
      <c r="M1054">
        <v>21083</v>
      </c>
      <c r="N1054" t="s">
        <v>69</v>
      </c>
      <c r="O1054" t="s">
        <v>70</v>
      </c>
    </row>
    <row r="1055" spans="2:15" x14ac:dyDescent="0.25">
      <c r="B1055" t="s">
        <v>36</v>
      </c>
      <c r="C1055" s="4">
        <v>44637</v>
      </c>
      <c r="D1055">
        <v>3</v>
      </c>
      <c r="E1055" t="s">
        <v>21</v>
      </c>
      <c r="F1055" t="s">
        <v>44</v>
      </c>
      <c r="G1055" t="s">
        <v>124</v>
      </c>
      <c r="H1055">
        <v>78873</v>
      </c>
      <c r="I1055">
        <v>0</v>
      </c>
      <c r="J1055">
        <v>78873</v>
      </c>
      <c r="L1055">
        <v>33</v>
      </c>
      <c r="M1055">
        <v>369993</v>
      </c>
      <c r="N1055" t="s">
        <v>51</v>
      </c>
      <c r="O1055" t="s">
        <v>52</v>
      </c>
    </row>
    <row r="1056" spans="2:15" x14ac:dyDescent="0.25">
      <c r="B1056" t="s">
        <v>36</v>
      </c>
      <c r="C1056" s="4">
        <v>44637</v>
      </c>
      <c r="D1056">
        <v>3</v>
      </c>
      <c r="E1056" t="s">
        <v>16</v>
      </c>
      <c r="F1056" t="s">
        <v>17</v>
      </c>
      <c r="G1056" t="s">
        <v>124</v>
      </c>
      <c r="H1056">
        <v>0</v>
      </c>
      <c r="I1056">
        <v>78873</v>
      </c>
      <c r="J1056">
        <v>-78873</v>
      </c>
      <c r="L1056">
        <v>33</v>
      </c>
      <c r="M1056">
        <v>369993</v>
      </c>
      <c r="N1056" t="s">
        <v>51</v>
      </c>
      <c r="O1056" t="s">
        <v>52</v>
      </c>
    </row>
    <row r="1057" spans="2:15" x14ac:dyDescent="0.25">
      <c r="B1057" t="s">
        <v>36</v>
      </c>
      <c r="C1057" s="4">
        <v>44641</v>
      </c>
      <c r="D1057">
        <v>3</v>
      </c>
      <c r="E1057" t="s">
        <v>21</v>
      </c>
      <c r="F1057" t="s">
        <v>44</v>
      </c>
      <c r="G1057" t="s">
        <v>124</v>
      </c>
      <c r="H1057">
        <v>62966</v>
      </c>
      <c r="I1057">
        <v>0</v>
      </c>
      <c r="J1057">
        <v>62966</v>
      </c>
      <c r="L1057">
        <v>33</v>
      </c>
      <c r="M1057">
        <v>291635</v>
      </c>
      <c r="N1057" t="s">
        <v>63</v>
      </c>
      <c r="O1057" t="s">
        <v>64</v>
      </c>
    </row>
    <row r="1058" spans="2:15" x14ac:dyDescent="0.25">
      <c r="B1058" t="s">
        <v>36</v>
      </c>
      <c r="C1058" s="4">
        <v>44641</v>
      </c>
      <c r="D1058">
        <v>3</v>
      </c>
      <c r="E1058" t="s">
        <v>16</v>
      </c>
      <c r="F1058" t="s">
        <v>17</v>
      </c>
      <c r="G1058" t="s">
        <v>124</v>
      </c>
      <c r="H1058">
        <v>0</v>
      </c>
      <c r="I1058">
        <v>62966</v>
      </c>
      <c r="J1058">
        <v>-62966</v>
      </c>
      <c r="L1058">
        <v>33</v>
      </c>
      <c r="M1058">
        <v>291635</v>
      </c>
      <c r="N1058" t="s">
        <v>63</v>
      </c>
      <c r="O1058" t="s">
        <v>64</v>
      </c>
    </row>
    <row r="1059" spans="2:15" x14ac:dyDescent="0.25">
      <c r="B1059" t="s">
        <v>36</v>
      </c>
      <c r="C1059" s="4">
        <v>44636</v>
      </c>
      <c r="D1059">
        <v>3</v>
      </c>
      <c r="E1059" t="s">
        <v>21</v>
      </c>
      <c r="F1059" t="s">
        <v>44</v>
      </c>
      <c r="G1059" t="s">
        <v>124</v>
      </c>
      <c r="H1059">
        <v>42960</v>
      </c>
      <c r="I1059">
        <v>0</v>
      </c>
      <c r="J1059">
        <v>42960</v>
      </c>
      <c r="L1059">
        <v>33</v>
      </c>
      <c r="M1059">
        <v>9755772</v>
      </c>
      <c r="N1059" t="s">
        <v>57</v>
      </c>
      <c r="O1059" t="s">
        <v>58</v>
      </c>
    </row>
    <row r="1060" spans="2:15" x14ac:dyDescent="0.25">
      <c r="B1060" t="s">
        <v>36</v>
      </c>
      <c r="C1060" s="4">
        <v>44636</v>
      </c>
      <c r="D1060">
        <v>3</v>
      </c>
      <c r="E1060" t="s">
        <v>16</v>
      </c>
      <c r="F1060" t="s">
        <v>17</v>
      </c>
      <c r="G1060" t="s">
        <v>124</v>
      </c>
      <c r="H1060">
        <v>0</v>
      </c>
      <c r="I1060">
        <v>42960</v>
      </c>
      <c r="J1060">
        <v>-42960</v>
      </c>
      <c r="L1060">
        <v>33</v>
      </c>
      <c r="M1060">
        <v>9755772</v>
      </c>
      <c r="N1060" t="s">
        <v>57</v>
      </c>
      <c r="O1060" t="s">
        <v>58</v>
      </c>
    </row>
    <row r="1061" spans="2:15" x14ac:dyDescent="0.25">
      <c r="B1061" t="s">
        <v>36</v>
      </c>
      <c r="C1061" s="4">
        <v>44642</v>
      </c>
      <c r="D1061">
        <v>3</v>
      </c>
      <c r="E1061" t="s">
        <v>21</v>
      </c>
      <c r="F1061" t="s">
        <v>44</v>
      </c>
      <c r="G1061" t="s">
        <v>124</v>
      </c>
      <c r="H1061">
        <v>12600</v>
      </c>
      <c r="I1061">
        <v>0</v>
      </c>
      <c r="J1061">
        <v>12600</v>
      </c>
      <c r="L1061">
        <v>33</v>
      </c>
      <c r="M1061">
        <v>15933</v>
      </c>
      <c r="N1061" t="s">
        <v>75</v>
      </c>
      <c r="O1061" t="s">
        <v>76</v>
      </c>
    </row>
    <row r="1062" spans="2:15" x14ac:dyDescent="0.25">
      <c r="B1062" t="s">
        <v>36</v>
      </c>
      <c r="C1062" s="4">
        <v>44642</v>
      </c>
      <c r="D1062">
        <v>3</v>
      </c>
      <c r="E1062" t="s">
        <v>16</v>
      </c>
      <c r="F1062" t="s">
        <v>17</v>
      </c>
      <c r="G1062" t="s">
        <v>124</v>
      </c>
      <c r="H1062">
        <v>0</v>
      </c>
      <c r="I1062">
        <v>12600</v>
      </c>
      <c r="J1062">
        <v>-12600</v>
      </c>
      <c r="L1062">
        <v>33</v>
      </c>
      <c r="M1062">
        <v>15933</v>
      </c>
      <c r="N1062" t="s">
        <v>75</v>
      </c>
      <c r="O1062" t="s">
        <v>76</v>
      </c>
    </row>
    <row r="1063" spans="2:15" x14ac:dyDescent="0.25">
      <c r="B1063" t="s">
        <v>36</v>
      </c>
      <c r="C1063" s="4">
        <v>44644</v>
      </c>
      <c r="D1063">
        <v>3</v>
      </c>
      <c r="E1063" t="s">
        <v>21</v>
      </c>
      <c r="F1063" t="s">
        <v>44</v>
      </c>
      <c r="G1063" t="s">
        <v>124</v>
      </c>
      <c r="H1063">
        <v>5913</v>
      </c>
      <c r="I1063">
        <v>0</v>
      </c>
      <c r="J1063">
        <v>5913</v>
      </c>
      <c r="L1063">
        <v>33</v>
      </c>
      <c r="M1063">
        <v>665420</v>
      </c>
      <c r="N1063" t="s">
        <v>49</v>
      </c>
      <c r="O1063" t="s">
        <v>50</v>
      </c>
    </row>
    <row r="1064" spans="2:15" x14ac:dyDescent="0.25">
      <c r="B1064" t="s">
        <v>36</v>
      </c>
      <c r="C1064" s="4">
        <v>44644</v>
      </c>
      <c r="D1064">
        <v>3</v>
      </c>
      <c r="E1064" t="s">
        <v>16</v>
      </c>
      <c r="F1064" t="s">
        <v>17</v>
      </c>
      <c r="G1064" t="s">
        <v>124</v>
      </c>
      <c r="H1064">
        <v>0</v>
      </c>
      <c r="I1064">
        <v>5913</v>
      </c>
      <c r="J1064">
        <v>-5913</v>
      </c>
      <c r="L1064">
        <v>33</v>
      </c>
      <c r="M1064">
        <v>665420</v>
      </c>
      <c r="N1064" t="s">
        <v>49</v>
      </c>
      <c r="O1064" t="s">
        <v>50</v>
      </c>
    </row>
    <row r="1065" spans="2:15" x14ac:dyDescent="0.25">
      <c r="B1065" t="s">
        <v>36</v>
      </c>
      <c r="C1065" s="4">
        <v>44648</v>
      </c>
      <c r="D1065">
        <v>3</v>
      </c>
      <c r="E1065" t="s">
        <v>21</v>
      </c>
      <c r="F1065" t="s">
        <v>44</v>
      </c>
      <c r="G1065" t="s">
        <v>124</v>
      </c>
      <c r="H1065">
        <v>133197</v>
      </c>
      <c r="I1065">
        <v>0</v>
      </c>
      <c r="J1065">
        <v>133197</v>
      </c>
      <c r="L1065">
        <v>33</v>
      </c>
      <c r="M1065">
        <v>370973</v>
      </c>
      <c r="N1065" t="s">
        <v>51</v>
      </c>
      <c r="O1065" t="s">
        <v>52</v>
      </c>
    </row>
    <row r="1066" spans="2:15" x14ac:dyDescent="0.25">
      <c r="B1066" t="s">
        <v>36</v>
      </c>
      <c r="C1066" s="4">
        <v>44648</v>
      </c>
      <c r="D1066">
        <v>3</v>
      </c>
      <c r="E1066" t="s">
        <v>16</v>
      </c>
      <c r="F1066" t="s">
        <v>17</v>
      </c>
      <c r="G1066" t="s">
        <v>124</v>
      </c>
      <c r="H1066">
        <v>0</v>
      </c>
      <c r="I1066">
        <v>133197</v>
      </c>
      <c r="J1066">
        <v>-133197</v>
      </c>
      <c r="L1066">
        <v>33</v>
      </c>
      <c r="M1066">
        <v>370973</v>
      </c>
      <c r="N1066" t="s">
        <v>51</v>
      </c>
      <c r="O1066" t="s">
        <v>52</v>
      </c>
    </row>
    <row r="1067" spans="2:15" x14ac:dyDescent="0.25">
      <c r="B1067" t="s">
        <v>36</v>
      </c>
      <c r="C1067" s="4">
        <v>44648</v>
      </c>
      <c r="D1067">
        <v>3</v>
      </c>
      <c r="E1067" t="s">
        <v>21</v>
      </c>
      <c r="F1067" t="s">
        <v>44</v>
      </c>
      <c r="G1067" t="s">
        <v>124</v>
      </c>
      <c r="H1067">
        <v>254089</v>
      </c>
      <c r="I1067">
        <v>0</v>
      </c>
      <c r="J1067">
        <v>254089</v>
      </c>
      <c r="L1067">
        <v>33</v>
      </c>
      <c r="M1067">
        <v>370974</v>
      </c>
      <c r="N1067" t="s">
        <v>51</v>
      </c>
      <c r="O1067" t="s">
        <v>52</v>
      </c>
    </row>
    <row r="1068" spans="2:15" x14ac:dyDescent="0.25">
      <c r="B1068" t="s">
        <v>36</v>
      </c>
      <c r="C1068" s="4">
        <v>44648</v>
      </c>
      <c r="D1068">
        <v>3</v>
      </c>
      <c r="E1068" t="s">
        <v>16</v>
      </c>
      <c r="F1068" t="s">
        <v>17</v>
      </c>
      <c r="G1068" t="s">
        <v>124</v>
      </c>
      <c r="H1068">
        <v>0</v>
      </c>
      <c r="I1068">
        <v>254089</v>
      </c>
      <c r="J1068">
        <v>-254089</v>
      </c>
      <c r="L1068">
        <v>33</v>
      </c>
      <c r="M1068">
        <v>370974</v>
      </c>
      <c r="N1068" t="s">
        <v>51</v>
      </c>
      <c r="O1068" t="s">
        <v>52</v>
      </c>
    </row>
    <row r="1069" spans="2:15" x14ac:dyDescent="0.25">
      <c r="B1069" t="s">
        <v>36</v>
      </c>
      <c r="C1069" s="4">
        <v>44649</v>
      </c>
      <c r="D1069">
        <v>3</v>
      </c>
      <c r="E1069" t="s">
        <v>21</v>
      </c>
      <c r="F1069" t="s">
        <v>44</v>
      </c>
      <c r="G1069" t="s">
        <v>124</v>
      </c>
      <c r="H1069">
        <v>8669</v>
      </c>
      <c r="I1069">
        <v>0</v>
      </c>
      <c r="J1069">
        <v>8669</v>
      </c>
      <c r="L1069">
        <v>33</v>
      </c>
      <c r="M1069">
        <v>666164</v>
      </c>
      <c r="N1069" t="s">
        <v>49</v>
      </c>
      <c r="O1069" t="s">
        <v>50</v>
      </c>
    </row>
    <row r="1070" spans="2:15" x14ac:dyDescent="0.25">
      <c r="B1070" t="s">
        <v>36</v>
      </c>
      <c r="C1070" s="4">
        <v>44649</v>
      </c>
      <c r="D1070">
        <v>3</v>
      </c>
      <c r="E1070" t="s">
        <v>16</v>
      </c>
      <c r="F1070" t="s">
        <v>17</v>
      </c>
      <c r="G1070" t="s">
        <v>124</v>
      </c>
      <c r="H1070">
        <v>0</v>
      </c>
      <c r="I1070">
        <v>8669</v>
      </c>
      <c r="J1070">
        <v>-8669</v>
      </c>
      <c r="L1070">
        <v>33</v>
      </c>
      <c r="M1070">
        <v>666164</v>
      </c>
      <c r="N1070" t="s">
        <v>49</v>
      </c>
      <c r="O1070" t="s">
        <v>50</v>
      </c>
    </row>
    <row r="1071" spans="2:15" x14ac:dyDescent="0.25">
      <c r="B1071" t="s">
        <v>36</v>
      </c>
      <c r="C1071" s="4">
        <v>44635</v>
      </c>
      <c r="D1071">
        <v>3</v>
      </c>
      <c r="E1071" t="s">
        <v>21</v>
      </c>
      <c r="F1071" t="s">
        <v>44</v>
      </c>
      <c r="G1071" t="s">
        <v>124</v>
      </c>
      <c r="H1071">
        <v>110387</v>
      </c>
      <c r="I1071">
        <v>0</v>
      </c>
      <c r="J1071">
        <v>110387</v>
      </c>
      <c r="L1071">
        <v>34</v>
      </c>
      <c r="M1071">
        <v>84</v>
      </c>
      <c r="N1071" t="s">
        <v>71</v>
      </c>
      <c r="O1071" t="s">
        <v>72</v>
      </c>
    </row>
    <row r="1072" spans="2:15" x14ac:dyDescent="0.25">
      <c r="B1072" t="s">
        <v>36</v>
      </c>
      <c r="C1072" s="4">
        <v>44635</v>
      </c>
      <c r="D1072">
        <v>3</v>
      </c>
      <c r="E1072" t="s">
        <v>16</v>
      </c>
      <c r="F1072" t="s">
        <v>17</v>
      </c>
      <c r="G1072" t="s">
        <v>124</v>
      </c>
      <c r="H1072">
        <v>0</v>
      </c>
      <c r="I1072">
        <v>110387</v>
      </c>
      <c r="J1072">
        <v>-110387</v>
      </c>
      <c r="L1072">
        <v>34</v>
      </c>
      <c r="M1072">
        <v>84</v>
      </c>
      <c r="N1072" t="s">
        <v>71</v>
      </c>
      <c r="O1072" t="s">
        <v>72</v>
      </c>
    </row>
    <row r="1073" spans="2:15" x14ac:dyDescent="0.25">
      <c r="B1073" t="s">
        <v>36</v>
      </c>
      <c r="C1073" s="4">
        <v>44644</v>
      </c>
      <c r="D1073">
        <v>4</v>
      </c>
      <c r="E1073" t="s">
        <v>21</v>
      </c>
      <c r="F1073" t="s">
        <v>44</v>
      </c>
      <c r="G1073" t="s">
        <v>124</v>
      </c>
      <c r="H1073">
        <v>67961</v>
      </c>
      <c r="I1073">
        <v>0</v>
      </c>
      <c r="J1073">
        <v>67961</v>
      </c>
      <c r="L1073">
        <v>33</v>
      </c>
      <c r="M1073">
        <v>292136</v>
      </c>
      <c r="N1073" t="s">
        <v>63</v>
      </c>
      <c r="O1073" t="s">
        <v>64</v>
      </c>
    </row>
    <row r="1074" spans="2:15" x14ac:dyDescent="0.25">
      <c r="B1074" t="s">
        <v>36</v>
      </c>
      <c r="C1074" s="4">
        <v>44644</v>
      </c>
      <c r="D1074">
        <v>4</v>
      </c>
      <c r="E1074" t="s">
        <v>16</v>
      </c>
      <c r="F1074" t="s">
        <v>17</v>
      </c>
      <c r="G1074" t="s">
        <v>124</v>
      </c>
      <c r="H1074">
        <v>0</v>
      </c>
      <c r="I1074">
        <v>67961</v>
      </c>
      <c r="J1074">
        <v>-67961</v>
      </c>
      <c r="L1074">
        <v>33</v>
      </c>
      <c r="M1074">
        <v>292136</v>
      </c>
      <c r="N1074" t="s">
        <v>63</v>
      </c>
      <c r="O1074" t="s">
        <v>64</v>
      </c>
    </row>
    <row r="1075" spans="2:15" x14ac:dyDescent="0.25">
      <c r="B1075" t="s">
        <v>36</v>
      </c>
      <c r="C1075" s="4">
        <v>44648</v>
      </c>
      <c r="D1075">
        <v>4</v>
      </c>
      <c r="E1075" t="s">
        <v>21</v>
      </c>
      <c r="F1075" t="s">
        <v>44</v>
      </c>
      <c r="G1075" t="s">
        <v>124</v>
      </c>
      <c r="H1075">
        <v>217681</v>
      </c>
      <c r="I1075">
        <v>0</v>
      </c>
      <c r="J1075">
        <v>217681</v>
      </c>
      <c r="L1075">
        <v>33</v>
      </c>
      <c r="M1075">
        <v>170389</v>
      </c>
      <c r="N1075" t="s">
        <v>53</v>
      </c>
      <c r="O1075" t="s">
        <v>54</v>
      </c>
    </row>
    <row r="1076" spans="2:15" x14ac:dyDescent="0.25">
      <c r="B1076" t="s">
        <v>36</v>
      </c>
      <c r="C1076" s="4">
        <v>44648</v>
      </c>
      <c r="D1076">
        <v>4</v>
      </c>
      <c r="E1076" t="s">
        <v>16</v>
      </c>
      <c r="F1076" t="s">
        <v>17</v>
      </c>
      <c r="G1076" t="s">
        <v>124</v>
      </c>
      <c r="H1076">
        <v>0</v>
      </c>
      <c r="I1076">
        <v>217681</v>
      </c>
      <c r="J1076">
        <v>-217681</v>
      </c>
      <c r="L1076">
        <v>33</v>
      </c>
      <c r="M1076">
        <v>170389</v>
      </c>
      <c r="N1076" t="s">
        <v>53</v>
      </c>
      <c r="O1076" t="s">
        <v>54</v>
      </c>
    </row>
    <row r="1077" spans="2:15" x14ac:dyDescent="0.25">
      <c r="B1077" t="s">
        <v>36</v>
      </c>
      <c r="C1077" s="4">
        <v>44649</v>
      </c>
      <c r="D1077">
        <v>4</v>
      </c>
      <c r="E1077" t="s">
        <v>21</v>
      </c>
      <c r="F1077" t="s">
        <v>44</v>
      </c>
      <c r="G1077" t="s">
        <v>124</v>
      </c>
      <c r="H1077">
        <v>6168</v>
      </c>
      <c r="I1077">
        <v>0</v>
      </c>
      <c r="J1077">
        <v>6168</v>
      </c>
      <c r="L1077">
        <v>33</v>
      </c>
      <c r="M1077">
        <v>292701</v>
      </c>
      <c r="N1077" t="s">
        <v>63</v>
      </c>
      <c r="O1077" t="s">
        <v>64</v>
      </c>
    </row>
    <row r="1078" spans="2:15" x14ac:dyDescent="0.25">
      <c r="B1078" t="s">
        <v>36</v>
      </c>
      <c r="C1078" s="4">
        <v>44649</v>
      </c>
      <c r="D1078">
        <v>4</v>
      </c>
      <c r="E1078" t="s">
        <v>16</v>
      </c>
      <c r="F1078" t="s">
        <v>17</v>
      </c>
      <c r="G1078" t="s">
        <v>124</v>
      </c>
      <c r="H1078">
        <v>0</v>
      </c>
      <c r="I1078">
        <v>6168</v>
      </c>
      <c r="J1078">
        <v>-6168</v>
      </c>
      <c r="L1078">
        <v>33</v>
      </c>
      <c r="M1078">
        <v>292701</v>
      </c>
      <c r="N1078" t="s">
        <v>63</v>
      </c>
      <c r="O1078" t="s">
        <v>64</v>
      </c>
    </row>
    <row r="1079" spans="2:15" x14ac:dyDescent="0.25">
      <c r="B1079" t="s">
        <v>36</v>
      </c>
      <c r="C1079" s="4">
        <v>44649</v>
      </c>
      <c r="D1079">
        <v>4</v>
      </c>
      <c r="E1079" t="s">
        <v>21</v>
      </c>
      <c r="F1079" t="s">
        <v>44</v>
      </c>
      <c r="G1079" t="s">
        <v>124</v>
      </c>
      <c r="H1079">
        <v>52479</v>
      </c>
      <c r="I1079">
        <v>0</v>
      </c>
      <c r="J1079">
        <v>52479</v>
      </c>
      <c r="L1079">
        <v>33</v>
      </c>
      <c r="M1079">
        <v>1725</v>
      </c>
      <c r="N1079" t="s">
        <v>77</v>
      </c>
      <c r="O1079" t="s">
        <v>78</v>
      </c>
    </row>
    <row r="1080" spans="2:15" x14ac:dyDescent="0.25">
      <c r="B1080" t="s">
        <v>36</v>
      </c>
      <c r="C1080" s="4">
        <v>44649</v>
      </c>
      <c r="D1080">
        <v>4</v>
      </c>
      <c r="E1080" t="s">
        <v>16</v>
      </c>
      <c r="F1080" t="s">
        <v>17</v>
      </c>
      <c r="G1080" t="s">
        <v>124</v>
      </c>
      <c r="H1080">
        <v>0</v>
      </c>
      <c r="I1080">
        <v>52479</v>
      </c>
      <c r="J1080">
        <v>-52479</v>
      </c>
      <c r="L1080">
        <v>33</v>
      </c>
      <c r="M1080">
        <v>1725</v>
      </c>
      <c r="N1080" t="s">
        <v>77</v>
      </c>
      <c r="O1080" t="s">
        <v>78</v>
      </c>
    </row>
    <row r="1081" spans="2:15" x14ac:dyDescent="0.25">
      <c r="B1081" t="s">
        <v>36</v>
      </c>
      <c r="C1081" s="4">
        <v>44655</v>
      </c>
      <c r="D1081">
        <v>4</v>
      </c>
      <c r="E1081" t="s">
        <v>21</v>
      </c>
      <c r="F1081" t="s">
        <v>44</v>
      </c>
      <c r="G1081" t="s">
        <v>124</v>
      </c>
      <c r="H1081">
        <v>77500</v>
      </c>
      <c r="I1081">
        <v>0</v>
      </c>
      <c r="J1081">
        <v>77500</v>
      </c>
      <c r="L1081">
        <v>33</v>
      </c>
      <c r="M1081">
        <v>152687</v>
      </c>
      <c r="N1081" t="s">
        <v>45</v>
      </c>
      <c r="O1081" t="s">
        <v>46</v>
      </c>
    </row>
    <row r="1082" spans="2:15" x14ac:dyDescent="0.25">
      <c r="B1082" t="s">
        <v>36</v>
      </c>
      <c r="C1082" s="4">
        <v>44655</v>
      </c>
      <c r="D1082">
        <v>4</v>
      </c>
      <c r="E1082" t="s">
        <v>16</v>
      </c>
      <c r="F1082" t="s">
        <v>17</v>
      </c>
      <c r="G1082" t="s">
        <v>124</v>
      </c>
      <c r="H1082">
        <v>0</v>
      </c>
      <c r="I1082">
        <v>77500</v>
      </c>
      <c r="J1082">
        <v>-77500</v>
      </c>
      <c r="L1082">
        <v>33</v>
      </c>
      <c r="M1082">
        <v>152687</v>
      </c>
      <c r="N1082" t="s">
        <v>45</v>
      </c>
      <c r="O1082" t="s">
        <v>46</v>
      </c>
    </row>
    <row r="1083" spans="2:15" x14ac:dyDescent="0.25">
      <c r="B1083" t="s">
        <v>36</v>
      </c>
      <c r="C1083" s="4">
        <v>44655</v>
      </c>
      <c r="D1083">
        <v>4</v>
      </c>
      <c r="E1083" t="s">
        <v>21</v>
      </c>
      <c r="F1083" t="s">
        <v>44</v>
      </c>
      <c r="G1083" t="s">
        <v>124</v>
      </c>
      <c r="H1083">
        <v>318682</v>
      </c>
      <c r="I1083">
        <v>0</v>
      </c>
      <c r="J1083">
        <v>318682</v>
      </c>
      <c r="L1083">
        <v>33</v>
      </c>
      <c r="M1083">
        <v>372197</v>
      </c>
      <c r="N1083" t="s">
        <v>51</v>
      </c>
      <c r="O1083" t="s">
        <v>52</v>
      </c>
    </row>
    <row r="1084" spans="2:15" x14ac:dyDescent="0.25">
      <c r="B1084" t="s">
        <v>36</v>
      </c>
      <c r="C1084" s="4">
        <v>44655</v>
      </c>
      <c r="D1084">
        <v>4</v>
      </c>
      <c r="E1084" t="s">
        <v>16</v>
      </c>
      <c r="F1084" t="s">
        <v>17</v>
      </c>
      <c r="G1084" t="s">
        <v>124</v>
      </c>
      <c r="H1084">
        <v>0</v>
      </c>
      <c r="I1084">
        <v>318682</v>
      </c>
      <c r="J1084">
        <v>-318682</v>
      </c>
      <c r="L1084">
        <v>33</v>
      </c>
      <c r="M1084">
        <v>372197</v>
      </c>
      <c r="N1084" t="s">
        <v>51</v>
      </c>
      <c r="O1084" t="s">
        <v>52</v>
      </c>
    </row>
    <row r="1085" spans="2:15" x14ac:dyDescent="0.25">
      <c r="B1085" t="s">
        <v>36</v>
      </c>
      <c r="C1085" s="4">
        <v>44655</v>
      </c>
      <c r="D1085">
        <v>4</v>
      </c>
      <c r="E1085" t="s">
        <v>21</v>
      </c>
      <c r="F1085" t="s">
        <v>44</v>
      </c>
      <c r="G1085" t="s">
        <v>124</v>
      </c>
      <c r="H1085">
        <v>93451</v>
      </c>
      <c r="I1085">
        <v>0</v>
      </c>
      <c r="J1085">
        <v>93451</v>
      </c>
      <c r="L1085">
        <v>33</v>
      </c>
      <c r="M1085">
        <v>372214</v>
      </c>
      <c r="N1085" t="s">
        <v>51</v>
      </c>
      <c r="O1085" t="s">
        <v>52</v>
      </c>
    </row>
    <row r="1086" spans="2:15" x14ac:dyDescent="0.25">
      <c r="B1086" t="s">
        <v>36</v>
      </c>
      <c r="C1086" s="4">
        <v>44655</v>
      </c>
      <c r="D1086">
        <v>4</v>
      </c>
      <c r="E1086" t="s">
        <v>16</v>
      </c>
      <c r="F1086" t="s">
        <v>17</v>
      </c>
      <c r="G1086" t="s">
        <v>124</v>
      </c>
      <c r="H1086">
        <v>0</v>
      </c>
      <c r="I1086">
        <v>93451</v>
      </c>
      <c r="J1086">
        <v>-93451</v>
      </c>
      <c r="L1086">
        <v>33</v>
      </c>
      <c r="M1086">
        <v>372214</v>
      </c>
      <c r="N1086" t="s">
        <v>51</v>
      </c>
      <c r="O1086" t="s">
        <v>52</v>
      </c>
    </row>
    <row r="1087" spans="2:15" x14ac:dyDescent="0.25">
      <c r="B1087" t="s">
        <v>36</v>
      </c>
      <c r="C1087" s="4">
        <v>44656</v>
      </c>
      <c r="D1087">
        <v>4</v>
      </c>
      <c r="E1087" t="s">
        <v>21</v>
      </c>
      <c r="F1087" t="s">
        <v>44</v>
      </c>
      <c r="G1087" t="s">
        <v>124</v>
      </c>
      <c r="H1087">
        <v>200722</v>
      </c>
      <c r="I1087">
        <v>0</v>
      </c>
      <c r="J1087">
        <v>200722</v>
      </c>
      <c r="L1087">
        <v>33</v>
      </c>
      <c r="M1087">
        <v>293831</v>
      </c>
      <c r="N1087" t="s">
        <v>63</v>
      </c>
      <c r="O1087" t="s">
        <v>64</v>
      </c>
    </row>
    <row r="1088" spans="2:15" x14ac:dyDescent="0.25">
      <c r="B1088" t="s">
        <v>36</v>
      </c>
      <c r="C1088" s="4">
        <v>44656</v>
      </c>
      <c r="D1088">
        <v>4</v>
      </c>
      <c r="E1088" t="s">
        <v>16</v>
      </c>
      <c r="F1088" t="s">
        <v>17</v>
      </c>
      <c r="G1088" t="s">
        <v>124</v>
      </c>
      <c r="H1088">
        <v>0</v>
      </c>
      <c r="I1088">
        <v>200722</v>
      </c>
      <c r="J1088">
        <v>-200722</v>
      </c>
      <c r="L1088">
        <v>33</v>
      </c>
      <c r="M1088">
        <v>293831</v>
      </c>
      <c r="N1088" t="s">
        <v>63</v>
      </c>
      <c r="O1088" t="s">
        <v>64</v>
      </c>
    </row>
    <row r="1089" spans="2:15" x14ac:dyDescent="0.25">
      <c r="B1089" t="s">
        <v>36</v>
      </c>
      <c r="C1089" s="4">
        <v>44658</v>
      </c>
      <c r="D1089">
        <v>4</v>
      </c>
      <c r="E1089" t="s">
        <v>21</v>
      </c>
      <c r="F1089" t="s">
        <v>44</v>
      </c>
      <c r="G1089" t="s">
        <v>124</v>
      </c>
      <c r="H1089">
        <v>83300</v>
      </c>
      <c r="I1089">
        <v>0</v>
      </c>
      <c r="J1089">
        <v>83300</v>
      </c>
      <c r="L1089">
        <v>33</v>
      </c>
      <c r="M1089">
        <v>1430</v>
      </c>
      <c r="N1089" t="s">
        <v>79</v>
      </c>
      <c r="O1089" t="s">
        <v>80</v>
      </c>
    </row>
    <row r="1090" spans="2:15" x14ac:dyDescent="0.25">
      <c r="B1090" t="s">
        <v>36</v>
      </c>
      <c r="C1090" s="4">
        <v>44658</v>
      </c>
      <c r="D1090">
        <v>4</v>
      </c>
      <c r="E1090" t="s">
        <v>16</v>
      </c>
      <c r="F1090" t="s">
        <v>17</v>
      </c>
      <c r="G1090" t="s">
        <v>124</v>
      </c>
      <c r="H1090">
        <v>0</v>
      </c>
      <c r="I1090">
        <v>83300</v>
      </c>
      <c r="J1090">
        <v>-83300</v>
      </c>
      <c r="L1090">
        <v>33</v>
      </c>
      <c r="M1090">
        <v>1430</v>
      </c>
      <c r="N1090" t="s">
        <v>79</v>
      </c>
      <c r="O1090" t="s">
        <v>80</v>
      </c>
    </row>
    <row r="1091" spans="2:15" x14ac:dyDescent="0.25">
      <c r="B1091" t="s">
        <v>36</v>
      </c>
      <c r="C1091" s="4">
        <v>44659</v>
      </c>
      <c r="D1091">
        <v>4</v>
      </c>
      <c r="E1091" t="s">
        <v>21</v>
      </c>
      <c r="F1091" t="s">
        <v>44</v>
      </c>
      <c r="G1091" t="s">
        <v>124</v>
      </c>
      <c r="H1091">
        <v>356119</v>
      </c>
      <c r="I1091">
        <v>0</v>
      </c>
      <c r="J1091">
        <v>356119</v>
      </c>
      <c r="L1091">
        <v>33</v>
      </c>
      <c r="M1091">
        <v>373171</v>
      </c>
      <c r="N1091" t="s">
        <v>51</v>
      </c>
      <c r="O1091" t="s">
        <v>52</v>
      </c>
    </row>
    <row r="1092" spans="2:15" x14ac:dyDescent="0.25">
      <c r="B1092" t="s">
        <v>36</v>
      </c>
      <c r="C1092" s="4">
        <v>44659</v>
      </c>
      <c r="D1092">
        <v>4</v>
      </c>
      <c r="E1092" t="s">
        <v>16</v>
      </c>
      <c r="F1092" t="s">
        <v>17</v>
      </c>
      <c r="G1092" t="s">
        <v>124</v>
      </c>
      <c r="H1092">
        <v>0</v>
      </c>
      <c r="I1092">
        <v>356119</v>
      </c>
      <c r="J1092">
        <v>-356119</v>
      </c>
      <c r="L1092">
        <v>33</v>
      </c>
      <c r="M1092">
        <v>373171</v>
      </c>
      <c r="N1092" t="s">
        <v>51</v>
      </c>
      <c r="O1092" t="s">
        <v>52</v>
      </c>
    </row>
    <row r="1093" spans="2:15" x14ac:dyDescent="0.25">
      <c r="B1093" t="s">
        <v>36</v>
      </c>
      <c r="C1093" s="4">
        <v>44659</v>
      </c>
      <c r="D1093">
        <v>4</v>
      </c>
      <c r="E1093" t="s">
        <v>21</v>
      </c>
      <c r="F1093" t="s">
        <v>44</v>
      </c>
      <c r="G1093" t="s">
        <v>124</v>
      </c>
      <c r="H1093">
        <v>434552</v>
      </c>
      <c r="I1093">
        <v>0</v>
      </c>
      <c r="J1093">
        <v>434552</v>
      </c>
      <c r="L1093">
        <v>33</v>
      </c>
      <c r="M1093">
        <v>373218</v>
      </c>
      <c r="N1093" t="s">
        <v>51</v>
      </c>
      <c r="O1093" t="s">
        <v>52</v>
      </c>
    </row>
    <row r="1094" spans="2:15" x14ac:dyDescent="0.25">
      <c r="B1094" t="s">
        <v>36</v>
      </c>
      <c r="C1094" s="4">
        <v>44659</v>
      </c>
      <c r="D1094">
        <v>4</v>
      </c>
      <c r="E1094" t="s">
        <v>16</v>
      </c>
      <c r="F1094" t="s">
        <v>17</v>
      </c>
      <c r="G1094" t="s">
        <v>124</v>
      </c>
      <c r="H1094">
        <v>0</v>
      </c>
      <c r="I1094">
        <v>434552</v>
      </c>
      <c r="J1094">
        <v>-434552</v>
      </c>
      <c r="L1094">
        <v>33</v>
      </c>
      <c r="M1094">
        <v>373218</v>
      </c>
      <c r="N1094" t="s">
        <v>51</v>
      </c>
      <c r="O1094" t="s">
        <v>52</v>
      </c>
    </row>
    <row r="1095" spans="2:15" x14ac:dyDescent="0.25">
      <c r="B1095" t="s">
        <v>36</v>
      </c>
      <c r="C1095" s="4">
        <v>44663</v>
      </c>
      <c r="D1095">
        <v>4</v>
      </c>
      <c r="E1095" t="s">
        <v>21</v>
      </c>
      <c r="F1095" t="s">
        <v>44</v>
      </c>
      <c r="G1095" t="s">
        <v>124</v>
      </c>
      <c r="H1095">
        <v>5200</v>
      </c>
      <c r="I1095">
        <v>0</v>
      </c>
      <c r="J1095">
        <v>5200</v>
      </c>
      <c r="L1095">
        <v>33</v>
      </c>
      <c r="M1095">
        <v>42459</v>
      </c>
      <c r="N1095" t="s">
        <v>65</v>
      </c>
      <c r="O1095" t="s">
        <v>66</v>
      </c>
    </row>
    <row r="1096" spans="2:15" x14ac:dyDescent="0.25">
      <c r="B1096" t="s">
        <v>36</v>
      </c>
      <c r="C1096" s="4">
        <v>44663</v>
      </c>
      <c r="D1096">
        <v>4</v>
      </c>
      <c r="E1096" t="s">
        <v>16</v>
      </c>
      <c r="F1096" t="s">
        <v>17</v>
      </c>
      <c r="G1096" t="s">
        <v>124</v>
      </c>
      <c r="H1096">
        <v>0</v>
      </c>
      <c r="I1096">
        <v>5200</v>
      </c>
      <c r="J1096">
        <v>-5200</v>
      </c>
      <c r="L1096">
        <v>33</v>
      </c>
      <c r="M1096">
        <v>42459</v>
      </c>
      <c r="N1096" t="s">
        <v>65</v>
      </c>
      <c r="O1096" t="s">
        <v>66</v>
      </c>
    </row>
    <row r="1097" spans="2:15" x14ac:dyDescent="0.25">
      <c r="B1097" t="s">
        <v>36</v>
      </c>
      <c r="C1097" s="4">
        <v>44663</v>
      </c>
      <c r="D1097">
        <v>4</v>
      </c>
      <c r="E1097" t="s">
        <v>21</v>
      </c>
      <c r="F1097" t="s">
        <v>44</v>
      </c>
      <c r="G1097" t="s">
        <v>124</v>
      </c>
      <c r="H1097">
        <v>82904</v>
      </c>
      <c r="I1097">
        <v>0</v>
      </c>
      <c r="J1097">
        <v>82904</v>
      </c>
      <c r="L1097">
        <v>33</v>
      </c>
      <c r="M1097">
        <v>294966</v>
      </c>
      <c r="N1097" t="s">
        <v>63</v>
      </c>
      <c r="O1097" t="s">
        <v>64</v>
      </c>
    </row>
    <row r="1098" spans="2:15" x14ac:dyDescent="0.25">
      <c r="B1098" t="s">
        <v>36</v>
      </c>
      <c r="C1098" s="4">
        <v>44663</v>
      </c>
      <c r="D1098">
        <v>4</v>
      </c>
      <c r="E1098" t="s">
        <v>16</v>
      </c>
      <c r="F1098" t="s">
        <v>17</v>
      </c>
      <c r="G1098" t="s">
        <v>124</v>
      </c>
      <c r="H1098">
        <v>0</v>
      </c>
      <c r="I1098">
        <v>82904</v>
      </c>
      <c r="J1098">
        <v>-82904</v>
      </c>
      <c r="L1098">
        <v>33</v>
      </c>
      <c r="M1098">
        <v>294966</v>
      </c>
      <c r="N1098" t="s">
        <v>63</v>
      </c>
      <c r="O1098" t="s">
        <v>64</v>
      </c>
    </row>
    <row r="1099" spans="2:15" x14ac:dyDescent="0.25">
      <c r="B1099" t="s">
        <v>36</v>
      </c>
      <c r="C1099" s="4">
        <v>44663</v>
      </c>
      <c r="D1099">
        <v>4</v>
      </c>
      <c r="E1099" t="s">
        <v>21</v>
      </c>
      <c r="F1099" t="s">
        <v>44</v>
      </c>
      <c r="G1099" t="s">
        <v>124</v>
      </c>
      <c r="H1099">
        <v>19190</v>
      </c>
      <c r="I1099">
        <v>0</v>
      </c>
      <c r="J1099">
        <v>19190</v>
      </c>
      <c r="L1099">
        <v>33</v>
      </c>
      <c r="M1099">
        <v>28784</v>
      </c>
      <c r="N1099" t="s">
        <v>81</v>
      </c>
      <c r="O1099" t="s">
        <v>82</v>
      </c>
    </row>
    <row r="1100" spans="2:15" x14ac:dyDescent="0.25">
      <c r="B1100" t="s">
        <v>36</v>
      </c>
      <c r="C1100" s="4">
        <v>44663</v>
      </c>
      <c r="D1100">
        <v>4</v>
      </c>
      <c r="E1100" t="s">
        <v>16</v>
      </c>
      <c r="F1100" t="s">
        <v>17</v>
      </c>
      <c r="G1100" t="s">
        <v>124</v>
      </c>
      <c r="H1100">
        <v>0</v>
      </c>
      <c r="I1100">
        <v>19190</v>
      </c>
      <c r="J1100">
        <v>-19190</v>
      </c>
      <c r="L1100">
        <v>33</v>
      </c>
      <c r="M1100">
        <v>28784</v>
      </c>
      <c r="N1100" t="s">
        <v>81</v>
      </c>
      <c r="O1100" t="s">
        <v>82</v>
      </c>
    </row>
    <row r="1101" spans="2:15" x14ac:dyDescent="0.25">
      <c r="B1101" t="s">
        <v>36</v>
      </c>
      <c r="C1101" s="4">
        <v>44663</v>
      </c>
      <c r="D1101">
        <v>4</v>
      </c>
      <c r="E1101" t="s">
        <v>21</v>
      </c>
      <c r="F1101" t="s">
        <v>44</v>
      </c>
      <c r="G1101" t="s">
        <v>124</v>
      </c>
      <c r="H1101">
        <v>119000</v>
      </c>
      <c r="I1101">
        <v>0</v>
      </c>
      <c r="J1101">
        <v>119000</v>
      </c>
      <c r="L1101">
        <v>33</v>
      </c>
      <c r="M1101">
        <v>625</v>
      </c>
      <c r="N1101" t="s">
        <v>83</v>
      </c>
      <c r="O1101" t="s">
        <v>84</v>
      </c>
    </row>
    <row r="1102" spans="2:15" x14ac:dyDescent="0.25">
      <c r="B1102" t="s">
        <v>36</v>
      </c>
      <c r="C1102" s="4">
        <v>44663</v>
      </c>
      <c r="D1102">
        <v>4</v>
      </c>
      <c r="E1102" t="s">
        <v>16</v>
      </c>
      <c r="F1102" t="s">
        <v>17</v>
      </c>
      <c r="G1102" t="s">
        <v>124</v>
      </c>
      <c r="H1102">
        <v>0</v>
      </c>
      <c r="I1102">
        <v>119000</v>
      </c>
      <c r="J1102">
        <v>-119000</v>
      </c>
      <c r="L1102">
        <v>33</v>
      </c>
      <c r="M1102">
        <v>625</v>
      </c>
      <c r="N1102" t="s">
        <v>83</v>
      </c>
      <c r="O1102" t="s">
        <v>84</v>
      </c>
    </row>
    <row r="1103" spans="2:15" x14ac:dyDescent="0.25">
      <c r="B1103" t="s">
        <v>36</v>
      </c>
      <c r="C1103" s="4">
        <v>44664</v>
      </c>
      <c r="D1103">
        <v>4</v>
      </c>
      <c r="E1103" t="s">
        <v>21</v>
      </c>
      <c r="F1103" t="s">
        <v>44</v>
      </c>
      <c r="G1103" t="s">
        <v>124</v>
      </c>
      <c r="H1103">
        <v>134470</v>
      </c>
      <c r="I1103">
        <v>0</v>
      </c>
      <c r="J1103">
        <v>134470</v>
      </c>
      <c r="L1103">
        <v>33</v>
      </c>
      <c r="M1103">
        <v>373775</v>
      </c>
      <c r="N1103" t="s">
        <v>51</v>
      </c>
      <c r="O1103" t="s">
        <v>52</v>
      </c>
    </row>
    <row r="1104" spans="2:15" x14ac:dyDescent="0.25">
      <c r="B1104" t="s">
        <v>36</v>
      </c>
      <c r="C1104" s="4">
        <v>44664</v>
      </c>
      <c r="D1104">
        <v>4</v>
      </c>
      <c r="E1104" t="s">
        <v>16</v>
      </c>
      <c r="F1104" t="s">
        <v>17</v>
      </c>
      <c r="G1104" t="s">
        <v>124</v>
      </c>
      <c r="H1104">
        <v>0</v>
      </c>
      <c r="I1104">
        <v>134470</v>
      </c>
      <c r="J1104">
        <v>-134470</v>
      </c>
      <c r="L1104">
        <v>33</v>
      </c>
      <c r="M1104">
        <v>373775</v>
      </c>
      <c r="N1104" t="s">
        <v>51</v>
      </c>
      <c r="O1104" t="s">
        <v>52</v>
      </c>
    </row>
    <row r="1105" spans="2:15" x14ac:dyDescent="0.25">
      <c r="B1105" t="s">
        <v>36</v>
      </c>
      <c r="C1105" s="4">
        <v>44665</v>
      </c>
      <c r="D1105">
        <v>4</v>
      </c>
      <c r="E1105" t="s">
        <v>21</v>
      </c>
      <c r="F1105" t="s">
        <v>44</v>
      </c>
      <c r="G1105" t="s">
        <v>124</v>
      </c>
      <c r="H1105">
        <v>226514</v>
      </c>
      <c r="I1105">
        <v>0</v>
      </c>
      <c r="J1105">
        <v>226514</v>
      </c>
      <c r="L1105">
        <v>33</v>
      </c>
      <c r="M1105">
        <v>171415</v>
      </c>
      <c r="N1105" t="s">
        <v>53</v>
      </c>
      <c r="O1105" t="s">
        <v>54</v>
      </c>
    </row>
    <row r="1106" spans="2:15" x14ac:dyDescent="0.25">
      <c r="B1106" t="s">
        <v>36</v>
      </c>
      <c r="C1106" s="4">
        <v>44665</v>
      </c>
      <c r="D1106">
        <v>4</v>
      </c>
      <c r="E1106" t="s">
        <v>16</v>
      </c>
      <c r="F1106" t="s">
        <v>17</v>
      </c>
      <c r="G1106" t="s">
        <v>124</v>
      </c>
      <c r="H1106">
        <v>0</v>
      </c>
      <c r="I1106">
        <v>226514</v>
      </c>
      <c r="J1106">
        <v>-226514</v>
      </c>
      <c r="L1106">
        <v>33</v>
      </c>
      <c r="M1106">
        <v>171415</v>
      </c>
      <c r="N1106" t="s">
        <v>53</v>
      </c>
      <c r="O1106" t="s">
        <v>54</v>
      </c>
    </row>
    <row r="1107" spans="2:15" x14ac:dyDescent="0.25">
      <c r="B1107" t="s">
        <v>36</v>
      </c>
      <c r="C1107" s="4">
        <v>44669</v>
      </c>
      <c r="D1107">
        <v>4</v>
      </c>
      <c r="E1107" t="s">
        <v>21</v>
      </c>
      <c r="F1107" t="s">
        <v>44</v>
      </c>
      <c r="G1107" t="s">
        <v>124</v>
      </c>
      <c r="H1107">
        <v>862203</v>
      </c>
      <c r="I1107">
        <v>0</v>
      </c>
      <c r="J1107">
        <v>862203</v>
      </c>
      <c r="L1107">
        <v>33</v>
      </c>
      <c r="M1107">
        <v>374426</v>
      </c>
      <c r="N1107" t="s">
        <v>51</v>
      </c>
      <c r="O1107" t="s">
        <v>52</v>
      </c>
    </row>
    <row r="1108" spans="2:15" x14ac:dyDescent="0.25">
      <c r="B1108" t="s">
        <v>36</v>
      </c>
      <c r="C1108" s="4">
        <v>44669</v>
      </c>
      <c r="D1108">
        <v>4</v>
      </c>
      <c r="E1108" t="s">
        <v>16</v>
      </c>
      <c r="F1108" t="s">
        <v>17</v>
      </c>
      <c r="G1108" t="s">
        <v>124</v>
      </c>
      <c r="H1108">
        <v>0</v>
      </c>
      <c r="I1108">
        <v>862203</v>
      </c>
      <c r="J1108">
        <v>-862203</v>
      </c>
      <c r="L1108">
        <v>33</v>
      </c>
      <c r="M1108">
        <v>374426</v>
      </c>
      <c r="N1108" t="s">
        <v>51</v>
      </c>
      <c r="O1108" t="s">
        <v>52</v>
      </c>
    </row>
    <row r="1109" spans="2:15" x14ac:dyDescent="0.25">
      <c r="B1109" t="s">
        <v>36</v>
      </c>
      <c r="C1109" s="4">
        <v>44669</v>
      </c>
      <c r="D1109">
        <v>4</v>
      </c>
      <c r="E1109" t="s">
        <v>21</v>
      </c>
      <c r="F1109" t="s">
        <v>44</v>
      </c>
      <c r="G1109" t="s">
        <v>124</v>
      </c>
      <c r="H1109">
        <v>287790</v>
      </c>
      <c r="I1109">
        <v>0</v>
      </c>
      <c r="J1109">
        <v>287790</v>
      </c>
      <c r="L1109">
        <v>33</v>
      </c>
      <c r="M1109">
        <v>374427</v>
      </c>
      <c r="N1109" t="s">
        <v>51</v>
      </c>
      <c r="O1109" t="s">
        <v>52</v>
      </c>
    </row>
    <row r="1110" spans="2:15" x14ac:dyDescent="0.25">
      <c r="B1110" t="s">
        <v>36</v>
      </c>
      <c r="C1110" s="4">
        <v>44669</v>
      </c>
      <c r="D1110">
        <v>4</v>
      </c>
      <c r="E1110" t="s">
        <v>16</v>
      </c>
      <c r="F1110" t="s">
        <v>17</v>
      </c>
      <c r="G1110" t="s">
        <v>124</v>
      </c>
      <c r="H1110">
        <v>0</v>
      </c>
      <c r="I1110">
        <v>287790</v>
      </c>
      <c r="J1110">
        <v>-287790</v>
      </c>
      <c r="L1110">
        <v>33</v>
      </c>
      <c r="M1110">
        <v>374427</v>
      </c>
      <c r="N1110" t="s">
        <v>51</v>
      </c>
      <c r="O1110" t="s">
        <v>52</v>
      </c>
    </row>
    <row r="1111" spans="2:15" x14ac:dyDescent="0.25">
      <c r="B1111" t="s">
        <v>36</v>
      </c>
      <c r="C1111" s="4">
        <v>44671</v>
      </c>
      <c r="D1111">
        <v>4</v>
      </c>
      <c r="E1111" t="s">
        <v>21</v>
      </c>
      <c r="F1111" t="s">
        <v>44</v>
      </c>
      <c r="G1111" t="s">
        <v>124</v>
      </c>
      <c r="H1111">
        <v>238406</v>
      </c>
      <c r="I1111">
        <v>0</v>
      </c>
      <c r="J1111">
        <v>238406</v>
      </c>
      <c r="L1111">
        <v>33</v>
      </c>
      <c r="M1111">
        <v>670124</v>
      </c>
      <c r="N1111" t="s">
        <v>49</v>
      </c>
      <c r="O1111" t="s">
        <v>50</v>
      </c>
    </row>
    <row r="1112" spans="2:15" x14ac:dyDescent="0.25">
      <c r="B1112" t="s">
        <v>36</v>
      </c>
      <c r="C1112" s="4">
        <v>44671</v>
      </c>
      <c r="D1112">
        <v>4</v>
      </c>
      <c r="E1112" t="s">
        <v>16</v>
      </c>
      <c r="F1112" t="s">
        <v>17</v>
      </c>
      <c r="G1112" t="s">
        <v>124</v>
      </c>
      <c r="H1112">
        <v>0</v>
      </c>
      <c r="I1112">
        <v>238406</v>
      </c>
      <c r="J1112">
        <v>-238406</v>
      </c>
      <c r="L1112">
        <v>33</v>
      </c>
      <c r="M1112">
        <v>670124</v>
      </c>
      <c r="N1112" t="s">
        <v>49</v>
      </c>
      <c r="O1112" t="s">
        <v>50</v>
      </c>
    </row>
    <row r="1113" spans="2:15" x14ac:dyDescent="0.25">
      <c r="B1113" t="s">
        <v>36</v>
      </c>
      <c r="C1113" s="4">
        <v>44671</v>
      </c>
      <c r="D1113">
        <v>4</v>
      </c>
      <c r="E1113" t="s">
        <v>21</v>
      </c>
      <c r="F1113" t="s">
        <v>44</v>
      </c>
      <c r="G1113" t="s">
        <v>124</v>
      </c>
      <c r="H1113">
        <v>67295</v>
      </c>
      <c r="I1113">
        <v>0</v>
      </c>
      <c r="J1113">
        <v>67295</v>
      </c>
      <c r="L1113">
        <v>33</v>
      </c>
      <c r="M1113">
        <v>345161</v>
      </c>
      <c r="N1113" t="s">
        <v>85</v>
      </c>
      <c r="O1113" t="s">
        <v>86</v>
      </c>
    </row>
    <row r="1114" spans="2:15" x14ac:dyDescent="0.25">
      <c r="B1114" t="s">
        <v>36</v>
      </c>
      <c r="C1114" s="4">
        <v>44671</v>
      </c>
      <c r="D1114">
        <v>4</v>
      </c>
      <c r="E1114" t="s">
        <v>16</v>
      </c>
      <c r="F1114" t="s">
        <v>17</v>
      </c>
      <c r="G1114" t="s">
        <v>124</v>
      </c>
      <c r="H1114">
        <v>0</v>
      </c>
      <c r="I1114">
        <v>67295</v>
      </c>
      <c r="J1114">
        <v>-67295</v>
      </c>
      <c r="L1114">
        <v>33</v>
      </c>
      <c r="M1114">
        <v>345161</v>
      </c>
      <c r="N1114" t="s">
        <v>85</v>
      </c>
      <c r="O1114" t="s">
        <v>86</v>
      </c>
    </row>
    <row r="1115" spans="2:15" x14ac:dyDescent="0.25">
      <c r="B1115" t="s">
        <v>36</v>
      </c>
      <c r="C1115" s="4">
        <v>44671</v>
      </c>
      <c r="D1115">
        <v>4</v>
      </c>
      <c r="E1115" t="s">
        <v>21</v>
      </c>
      <c r="F1115" t="s">
        <v>44</v>
      </c>
      <c r="G1115" t="s">
        <v>124</v>
      </c>
      <c r="H1115">
        <v>125305</v>
      </c>
      <c r="I1115">
        <v>0</v>
      </c>
      <c r="J1115">
        <v>125305</v>
      </c>
      <c r="L1115">
        <v>33</v>
      </c>
      <c r="M1115">
        <v>295993</v>
      </c>
      <c r="N1115" t="s">
        <v>63</v>
      </c>
      <c r="O1115" t="s">
        <v>64</v>
      </c>
    </row>
    <row r="1116" spans="2:15" x14ac:dyDescent="0.25">
      <c r="B1116" t="s">
        <v>36</v>
      </c>
      <c r="C1116" s="4">
        <v>44671</v>
      </c>
      <c r="D1116">
        <v>4</v>
      </c>
      <c r="E1116" t="s">
        <v>16</v>
      </c>
      <c r="F1116" t="s">
        <v>17</v>
      </c>
      <c r="G1116" t="s">
        <v>124</v>
      </c>
      <c r="H1116">
        <v>0</v>
      </c>
      <c r="I1116">
        <v>125305</v>
      </c>
      <c r="J1116">
        <v>-125305</v>
      </c>
      <c r="L1116">
        <v>33</v>
      </c>
      <c r="M1116">
        <v>295993</v>
      </c>
      <c r="N1116" t="s">
        <v>63</v>
      </c>
      <c r="O1116" t="s">
        <v>64</v>
      </c>
    </row>
    <row r="1117" spans="2:15" x14ac:dyDescent="0.25">
      <c r="B1117" t="s">
        <v>36</v>
      </c>
      <c r="C1117" s="4">
        <v>44672</v>
      </c>
      <c r="D1117">
        <v>4</v>
      </c>
      <c r="E1117" t="s">
        <v>21</v>
      </c>
      <c r="F1117" t="s">
        <v>44</v>
      </c>
      <c r="G1117" t="s">
        <v>124</v>
      </c>
      <c r="H1117">
        <v>9150</v>
      </c>
      <c r="I1117">
        <v>0</v>
      </c>
      <c r="J1117">
        <v>9150</v>
      </c>
      <c r="L1117">
        <v>33</v>
      </c>
      <c r="M1117">
        <v>42761</v>
      </c>
      <c r="N1117" t="s">
        <v>65</v>
      </c>
      <c r="O1117" t="s">
        <v>66</v>
      </c>
    </row>
    <row r="1118" spans="2:15" x14ac:dyDescent="0.25">
      <c r="B1118" t="s">
        <v>36</v>
      </c>
      <c r="C1118" s="4">
        <v>44672</v>
      </c>
      <c r="D1118">
        <v>4</v>
      </c>
      <c r="E1118" t="s">
        <v>16</v>
      </c>
      <c r="F1118" t="s">
        <v>17</v>
      </c>
      <c r="G1118" t="s">
        <v>124</v>
      </c>
      <c r="H1118">
        <v>0</v>
      </c>
      <c r="I1118">
        <v>9150</v>
      </c>
      <c r="J1118">
        <v>-9150</v>
      </c>
      <c r="L1118">
        <v>33</v>
      </c>
      <c r="M1118">
        <v>42761</v>
      </c>
      <c r="N1118" t="s">
        <v>65</v>
      </c>
      <c r="O1118" t="s">
        <v>66</v>
      </c>
    </row>
    <row r="1119" spans="2:15" x14ac:dyDescent="0.25">
      <c r="B1119" t="s">
        <v>36</v>
      </c>
      <c r="C1119" s="4">
        <v>44667</v>
      </c>
      <c r="D1119">
        <v>4</v>
      </c>
      <c r="E1119" t="s">
        <v>21</v>
      </c>
      <c r="F1119" t="s">
        <v>44</v>
      </c>
      <c r="G1119" t="s">
        <v>124</v>
      </c>
      <c r="H1119">
        <v>42960</v>
      </c>
      <c r="I1119">
        <v>0</v>
      </c>
      <c r="J1119">
        <v>42960</v>
      </c>
      <c r="L1119">
        <v>33</v>
      </c>
      <c r="M1119">
        <v>9909278</v>
      </c>
      <c r="N1119" t="s">
        <v>57</v>
      </c>
      <c r="O1119" t="s">
        <v>58</v>
      </c>
    </row>
    <row r="1120" spans="2:15" x14ac:dyDescent="0.25">
      <c r="B1120" t="s">
        <v>36</v>
      </c>
      <c r="C1120" s="4">
        <v>44667</v>
      </c>
      <c r="D1120">
        <v>4</v>
      </c>
      <c r="E1120" t="s">
        <v>16</v>
      </c>
      <c r="F1120" t="s">
        <v>17</v>
      </c>
      <c r="G1120" t="s">
        <v>124</v>
      </c>
      <c r="H1120">
        <v>0</v>
      </c>
      <c r="I1120">
        <v>42960</v>
      </c>
      <c r="J1120">
        <v>-42960</v>
      </c>
      <c r="L1120">
        <v>33</v>
      </c>
      <c r="M1120">
        <v>9909278</v>
      </c>
      <c r="N1120" t="s">
        <v>57</v>
      </c>
      <c r="O1120" t="s">
        <v>58</v>
      </c>
    </row>
    <row r="1121" spans="2:15" x14ac:dyDescent="0.25">
      <c r="B1121" t="s">
        <v>36</v>
      </c>
      <c r="C1121" s="4">
        <v>44673</v>
      </c>
      <c r="D1121">
        <v>4</v>
      </c>
      <c r="E1121" t="s">
        <v>21</v>
      </c>
      <c r="F1121" t="s">
        <v>44</v>
      </c>
      <c r="G1121" t="s">
        <v>124</v>
      </c>
      <c r="H1121">
        <v>2564241</v>
      </c>
      <c r="I1121">
        <v>0</v>
      </c>
      <c r="J1121">
        <v>2564241</v>
      </c>
      <c r="L1121">
        <v>33</v>
      </c>
      <c r="M1121">
        <v>375436</v>
      </c>
      <c r="N1121" t="s">
        <v>51</v>
      </c>
      <c r="O1121" t="s">
        <v>52</v>
      </c>
    </row>
    <row r="1122" spans="2:15" x14ac:dyDescent="0.25">
      <c r="B1122" t="s">
        <v>36</v>
      </c>
      <c r="C1122" s="4">
        <v>44673</v>
      </c>
      <c r="D1122">
        <v>4</v>
      </c>
      <c r="E1122" t="s">
        <v>16</v>
      </c>
      <c r="F1122" t="s">
        <v>17</v>
      </c>
      <c r="G1122" t="s">
        <v>124</v>
      </c>
      <c r="H1122">
        <v>0</v>
      </c>
      <c r="I1122">
        <v>2564241</v>
      </c>
      <c r="J1122">
        <v>-2564241</v>
      </c>
      <c r="L1122">
        <v>33</v>
      </c>
      <c r="M1122">
        <v>375436</v>
      </c>
      <c r="N1122" t="s">
        <v>51</v>
      </c>
      <c r="O1122" t="s">
        <v>52</v>
      </c>
    </row>
    <row r="1123" spans="2:15" x14ac:dyDescent="0.25">
      <c r="B1123" t="s">
        <v>36</v>
      </c>
      <c r="C1123" s="4">
        <v>44673</v>
      </c>
      <c r="D1123">
        <v>4</v>
      </c>
      <c r="E1123" t="s">
        <v>21</v>
      </c>
      <c r="F1123" t="s">
        <v>44</v>
      </c>
      <c r="G1123" t="s">
        <v>124</v>
      </c>
      <c r="H1123">
        <v>180380</v>
      </c>
      <c r="I1123">
        <v>0</v>
      </c>
      <c r="J1123">
        <v>180380</v>
      </c>
      <c r="L1123">
        <v>33</v>
      </c>
      <c r="M1123">
        <v>375437</v>
      </c>
      <c r="N1123" t="s">
        <v>51</v>
      </c>
      <c r="O1123" t="s">
        <v>52</v>
      </c>
    </row>
    <row r="1124" spans="2:15" x14ac:dyDescent="0.25">
      <c r="B1124" t="s">
        <v>36</v>
      </c>
      <c r="C1124" s="4">
        <v>44673</v>
      </c>
      <c r="D1124">
        <v>4</v>
      </c>
      <c r="E1124" t="s">
        <v>16</v>
      </c>
      <c r="F1124" t="s">
        <v>17</v>
      </c>
      <c r="G1124" t="s">
        <v>124</v>
      </c>
      <c r="H1124">
        <v>0</v>
      </c>
      <c r="I1124">
        <v>180380</v>
      </c>
      <c r="J1124">
        <v>-180380</v>
      </c>
      <c r="L1124">
        <v>33</v>
      </c>
      <c r="M1124">
        <v>375437</v>
      </c>
      <c r="N1124" t="s">
        <v>51</v>
      </c>
      <c r="O1124" t="s">
        <v>52</v>
      </c>
    </row>
    <row r="1125" spans="2:15" x14ac:dyDescent="0.25">
      <c r="B1125" t="s">
        <v>36</v>
      </c>
      <c r="C1125" s="4">
        <v>44677</v>
      </c>
      <c r="D1125">
        <v>4</v>
      </c>
      <c r="E1125" t="s">
        <v>21</v>
      </c>
      <c r="F1125" t="s">
        <v>44</v>
      </c>
      <c r="G1125" t="s">
        <v>124</v>
      </c>
      <c r="H1125">
        <v>107576</v>
      </c>
      <c r="I1125">
        <v>0</v>
      </c>
      <c r="J1125">
        <v>107576</v>
      </c>
      <c r="L1125">
        <v>33</v>
      </c>
      <c r="M1125">
        <v>375980</v>
      </c>
      <c r="N1125" t="s">
        <v>51</v>
      </c>
      <c r="O1125" t="s">
        <v>52</v>
      </c>
    </row>
    <row r="1126" spans="2:15" x14ac:dyDescent="0.25">
      <c r="B1126" t="s">
        <v>36</v>
      </c>
      <c r="C1126" s="4">
        <v>44677</v>
      </c>
      <c r="D1126">
        <v>4</v>
      </c>
      <c r="E1126" t="s">
        <v>16</v>
      </c>
      <c r="F1126" t="s">
        <v>17</v>
      </c>
      <c r="G1126" t="s">
        <v>124</v>
      </c>
      <c r="H1126">
        <v>0</v>
      </c>
      <c r="I1126">
        <v>107576</v>
      </c>
      <c r="J1126">
        <v>-107576</v>
      </c>
      <c r="L1126">
        <v>33</v>
      </c>
      <c r="M1126">
        <v>375980</v>
      </c>
      <c r="N1126" t="s">
        <v>51</v>
      </c>
      <c r="O1126" t="s">
        <v>52</v>
      </c>
    </row>
    <row r="1127" spans="2:15" x14ac:dyDescent="0.25">
      <c r="B1127" t="s">
        <v>36</v>
      </c>
      <c r="C1127" s="4">
        <v>44678</v>
      </c>
      <c r="D1127">
        <v>4</v>
      </c>
      <c r="E1127" t="s">
        <v>21</v>
      </c>
      <c r="F1127" t="s">
        <v>44</v>
      </c>
      <c r="G1127" t="s">
        <v>124</v>
      </c>
      <c r="H1127">
        <v>406099</v>
      </c>
      <c r="I1127">
        <v>0</v>
      </c>
      <c r="J1127">
        <v>406099</v>
      </c>
      <c r="L1127">
        <v>33</v>
      </c>
      <c r="M1127">
        <v>376174</v>
      </c>
      <c r="N1127" t="s">
        <v>51</v>
      </c>
      <c r="O1127" t="s">
        <v>52</v>
      </c>
    </row>
    <row r="1128" spans="2:15" x14ac:dyDescent="0.25">
      <c r="B1128" t="s">
        <v>36</v>
      </c>
      <c r="C1128" s="4">
        <v>44678</v>
      </c>
      <c r="D1128">
        <v>4</v>
      </c>
      <c r="E1128" t="s">
        <v>16</v>
      </c>
      <c r="F1128" t="s">
        <v>17</v>
      </c>
      <c r="G1128" t="s">
        <v>124</v>
      </c>
      <c r="H1128">
        <v>0</v>
      </c>
      <c r="I1128">
        <v>406099</v>
      </c>
      <c r="J1128">
        <v>-406099</v>
      </c>
      <c r="L1128">
        <v>33</v>
      </c>
      <c r="M1128">
        <v>376174</v>
      </c>
      <c r="N1128" t="s">
        <v>51</v>
      </c>
      <c r="O1128" t="s">
        <v>52</v>
      </c>
    </row>
    <row r="1129" spans="2:15" x14ac:dyDescent="0.25">
      <c r="B1129" t="s">
        <v>36</v>
      </c>
      <c r="C1129" s="4">
        <v>44678</v>
      </c>
      <c r="D1129">
        <v>4</v>
      </c>
      <c r="E1129" t="s">
        <v>21</v>
      </c>
      <c r="F1129" t="s">
        <v>44</v>
      </c>
      <c r="G1129" t="s">
        <v>124</v>
      </c>
      <c r="H1129">
        <v>58322</v>
      </c>
      <c r="I1129">
        <v>0</v>
      </c>
      <c r="J1129">
        <v>58322</v>
      </c>
      <c r="L1129">
        <v>33</v>
      </c>
      <c r="M1129">
        <v>29603</v>
      </c>
      <c r="N1129" t="s">
        <v>81</v>
      </c>
      <c r="O1129" t="s">
        <v>82</v>
      </c>
    </row>
    <row r="1130" spans="2:15" x14ac:dyDescent="0.25">
      <c r="B1130" t="s">
        <v>36</v>
      </c>
      <c r="C1130" s="4">
        <v>44678</v>
      </c>
      <c r="D1130">
        <v>4</v>
      </c>
      <c r="E1130" t="s">
        <v>16</v>
      </c>
      <c r="F1130" t="s">
        <v>17</v>
      </c>
      <c r="G1130" t="s">
        <v>124</v>
      </c>
      <c r="H1130">
        <v>0</v>
      </c>
      <c r="I1130">
        <v>58322</v>
      </c>
      <c r="J1130">
        <v>-58322</v>
      </c>
      <c r="L1130">
        <v>33</v>
      </c>
      <c r="M1130">
        <v>29603</v>
      </c>
      <c r="N1130" t="s">
        <v>81</v>
      </c>
      <c r="O1130" t="s">
        <v>82</v>
      </c>
    </row>
    <row r="1131" spans="2:15" x14ac:dyDescent="0.25">
      <c r="B1131" t="s">
        <v>36</v>
      </c>
      <c r="C1131" s="4">
        <v>44679</v>
      </c>
      <c r="D1131">
        <v>4</v>
      </c>
      <c r="E1131" t="s">
        <v>21</v>
      </c>
      <c r="F1131" t="s">
        <v>44</v>
      </c>
      <c r="G1131" t="s">
        <v>124</v>
      </c>
      <c r="H1131">
        <v>95081</v>
      </c>
      <c r="I1131">
        <v>0</v>
      </c>
      <c r="J1131">
        <v>95081</v>
      </c>
      <c r="L1131">
        <v>33</v>
      </c>
      <c r="M1131">
        <v>2407</v>
      </c>
      <c r="N1131" t="s">
        <v>87</v>
      </c>
      <c r="O1131" t="s">
        <v>88</v>
      </c>
    </row>
    <row r="1132" spans="2:15" x14ac:dyDescent="0.25">
      <c r="B1132" t="s">
        <v>36</v>
      </c>
      <c r="C1132" s="4">
        <v>44679</v>
      </c>
      <c r="D1132">
        <v>4</v>
      </c>
      <c r="E1132" t="s">
        <v>16</v>
      </c>
      <c r="F1132" t="s">
        <v>17</v>
      </c>
      <c r="G1132" t="s">
        <v>124</v>
      </c>
      <c r="H1132">
        <v>0</v>
      </c>
      <c r="I1132">
        <v>95081</v>
      </c>
      <c r="J1132">
        <v>-95081</v>
      </c>
      <c r="L1132">
        <v>33</v>
      </c>
      <c r="M1132">
        <v>2407</v>
      </c>
      <c r="N1132" t="s">
        <v>87</v>
      </c>
      <c r="O1132" t="s">
        <v>88</v>
      </c>
    </row>
    <row r="1133" spans="2:15" x14ac:dyDescent="0.25">
      <c r="B1133" t="s">
        <v>36</v>
      </c>
      <c r="C1133" s="4">
        <v>44679</v>
      </c>
      <c r="D1133">
        <v>4</v>
      </c>
      <c r="E1133" t="s">
        <v>21</v>
      </c>
      <c r="F1133" t="s">
        <v>44</v>
      </c>
      <c r="G1133" t="s">
        <v>124</v>
      </c>
      <c r="H1133">
        <v>24395</v>
      </c>
      <c r="I1133">
        <v>0</v>
      </c>
      <c r="J1133">
        <v>24395</v>
      </c>
      <c r="L1133">
        <v>33</v>
      </c>
      <c r="M1133">
        <v>21465</v>
      </c>
      <c r="N1133" t="s">
        <v>69</v>
      </c>
      <c r="O1133" t="s">
        <v>70</v>
      </c>
    </row>
    <row r="1134" spans="2:15" x14ac:dyDescent="0.25">
      <c r="B1134" t="s">
        <v>36</v>
      </c>
      <c r="C1134" s="4">
        <v>44679</v>
      </c>
      <c r="D1134">
        <v>4</v>
      </c>
      <c r="E1134" t="s">
        <v>16</v>
      </c>
      <c r="F1134" t="s">
        <v>17</v>
      </c>
      <c r="G1134" t="s">
        <v>124</v>
      </c>
      <c r="H1134">
        <v>0</v>
      </c>
      <c r="I1134">
        <v>24395</v>
      </c>
      <c r="J1134">
        <v>-24395</v>
      </c>
      <c r="L1134">
        <v>33</v>
      </c>
      <c r="M1134">
        <v>21465</v>
      </c>
      <c r="N1134" t="s">
        <v>69</v>
      </c>
      <c r="O1134" t="s">
        <v>70</v>
      </c>
    </row>
    <row r="1135" spans="2:15" x14ac:dyDescent="0.25">
      <c r="B1135" t="s">
        <v>36</v>
      </c>
      <c r="C1135" s="4">
        <v>44679</v>
      </c>
      <c r="D1135">
        <v>4</v>
      </c>
      <c r="E1135" t="s">
        <v>21</v>
      </c>
      <c r="F1135" t="s">
        <v>44</v>
      </c>
      <c r="G1135" t="s">
        <v>124</v>
      </c>
      <c r="H1135">
        <v>64195</v>
      </c>
      <c r="I1135">
        <v>0</v>
      </c>
      <c r="J1135">
        <v>64195</v>
      </c>
      <c r="L1135">
        <v>33</v>
      </c>
      <c r="M1135">
        <v>671752</v>
      </c>
      <c r="N1135" t="s">
        <v>49</v>
      </c>
      <c r="O1135" t="s">
        <v>50</v>
      </c>
    </row>
    <row r="1136" spans="2:15" x14ac:dyDescent="0.25">
      <c r="B1136" t="s">
        <v>36</v>
      </c>
      <c r="C1136" s="4">
        <v>44679</v>
      </c>
      <c r="D1136">
        <v>4</v>
      </c>
      <c r="E1136" t="s">
        <v>16</v>
      </c>
      <c r="F1136" t="s">
        <v>17</v>
      </c>
      <c r="G1136" t="s">
        <v>124</v>
      </c>
      <c r="H1136">
        <v>0</v>
      </c>
      <c r="I1136">
        <v>64195</v>
      </c>
      <c r="J1136">
        <v>-64195</v>
      </c>
      <c r="L1136">
        <v>33</v>
      </c>
      <c r="M1136">
        <v>671752</v>
      </c>
      <c r="N1136" t="s">
        <v>49</v>
      </c>
      <c r="O1136" t="s">
        <v>50</v>
      </c>
    </row>
    <row r="1137" spans="2:15" x14ac:dyDescent="0.25">
      <c r="B1137" t="s">
        <v>36</v>
      </c>
      <c r="C1137" s="4">
        <v>44679</v>
      </c>
      <c r="D1137">
        <v>4</v>
      </c>
      <c r="E1137" t="s">
        <v>21</v>
      </c>
      <c r="F1137" t="s">
        <v>44</v>
      </c>
      <c r="G1137" t="s">
        <v>124</v>
      </c>
      <c r="H1137">
        <v>176084</v>
      </c>
      <c r="I1137">
        <v>0</v>
      </c>
      <c r="J1137">
        <v>176084</v>
      </c>
      <c r="L1137">
        <v>33</v>
      </c>
      <c r="M1137">
        <v>376569</v>
      </c>
      <c r="N1137" t="s">
        <v>51</v>
      </c>
      <c r="O1137" t="s">
        <v>52</v>
      </c>
    </row>
    <row r="1138" spans="2:15" x14ac:dyDescent="0.25">
      <c r="B1138" t="s">
        <v>36</v>
      </c>
      <c r="C1138" s="4">
        <v>44679</v>
      </c>
      <c r="D1138">
        <v>4</v>
      </c>
      <c r="E1138" t="s">
        <v>16</v>
      </c>
      <c r="F1138" t="s">
        <v>17</v>
      </c>
      <c r="G1138" t="s">
        <v>124</v>
      </c>
      <c r="H1138">
        <v>0</v>
      </c>
      <c r="I1138">
        <v>176084</v>
      </c>
      <c r="J1138">
        <v>-176084</v>
      </c>
      <c r="L1138">
        <v>33</v>
      </c>
      <c r="M1138">
        <v>376569</v>
      </c>
      <c r="N1138" t="s">
        <v>51</v>
      </c>
      <c r="O1138" t="s">
        <v>52</v>
      </c>
    </row>
    <row r="1139" spans="2:15" x14ac:dyDescent="0.25">
      <c r="B1139" t="s">
        <v>36</v>
      </c>
      <c r="C1139" s="4">
        <v>44680</v>
      </c>
      <c r="D1139">
        <v>4</v>
      </c>
      <c r="E1139" t="s">
        <v>21</v>
      </c>
      <c r="F1139" t="s">
        <v>44</v>
      </c>
      <c r="G1139" t="s">
        <v>124</v>
      </c>
      <c r="H1139">
        <v>506535</v>
      </c>
      <c r="I1139">
        <v>0</v>
      </c>
      <c r="J1139">
        <v>506535</v>
      </c>
      <c r="L1139">
        <v>33</v>
      </c>
      <c r="M1139">
        <v>377108</v>
      </c>
      <c r="N1139" t="s">
        <v>51</v>
      </c>
      <c r="O1139" t="s">
        <v>52</v>
      </c>
    </row>
    <row r="1140" spans="2:15" x14ac:dyDescent="0.25">
      <c r="B1140" t="s">
        <v>36</v>
      </c>
      <c r="C1140" s="4">
        <v>44680</v>
      </c>
      <c r="D1140">
        <v>4</v>
      </c>
      <c r="E1140" t="s">
        <v>16</v>
      </c>
      <c r="F1140" t="s">
        <v>17</v>
      </c>
      <c r="G1140" t="s">
        <v>124</v>
      </c>
      <c r="H1140">
        <v>0</v>
      </c>
      <c r="I1140">
        <v>506535</v>
      </c>
      <c r="J1140">
        <v>-506535</v>
      </c>
      <c r="L1140">
        <v>33</v>
      </c>
      <c r="M1140">
        <v>377108</v>
      </c>
      <c r="N1140" t="s">
        <v>51</v>
      </c>
      <c r="O1140" t="s">
        <v>52</v>
      </c>
    </row>
    <row r="1141" spans="2:15" x14ac:dyDescent="0.25">
      <c r="B1141" t="s">
        <v>36</v>
      </c>
      <c r="C1141" s="4">
        <v>44665</v>
      </c>
      <c r="D1141">
        <v>4</v>
      </c>
      <c r="E1141" t="s">
        <v>21</v>
      </c>
      <c r="F1141" t="s">
        <v>44</v>
      </c>
      <c r="G1141" t="s">
        <v>124</v>
      </c>
      <c r="H1141">
        <v>111493</v>
      </c>
      <c r="I1141">
        <v>0</v>
      </c>
      <c r="J1141">
        <v>111493</v>
      </c>
      <c r="L1141">
        <v>34</v>
      </c>
      <c r="M1141">
        <v>85</v>
      </c>
      <c r="N1141" t="s">
        <v>71</v>
      </c>
      <c r="O1141" t="s">
        <v>72</v>
      </c>
    </row>
    <row r="1142" spans="2:15" x14ac:dyDescent="0.25">
      <c r="B1142" t="s">
        <v>36</v>
      </c>
      <c r="C1142" s="4">
        <v>44665</v>
      </c>
      <c r="D1142">
        <v>4</v>
      </c>
      <c r="E1142" t="s">
        <v>16</v>
      </c>
      <c r="F1142" t="s">
        <v>17</v>
      </c>
      <c r="G1142" t="s">
        <v>124</v>
      </c>
      <c r="H1142">
        <v>0</v>
      </c>
      <c r="I1142">
        <v>111493</v>
      </c>
      <c r="J1142">
        <v>-111493</v>
      </c>
      <c r="L1142">
        <v>34</v>
      </c>
      <c r="M1142">
        <v>85</v>
      </c>
      <c r="N1142" t="s">
        <v>71</v>
      </c>
      <c r="O1142" t="s">
        <v>72</v>
      </c>
    </row>
    <row r="1143" spans="2:15" x14ac:dyDescent="0.25">
      <c r="B1143" t="s">
        <v>36</v>
      </c>
      <c r="C1143" s="4">
        <v>44684</v>
      </c>
      <c r="D1143">
        <v>5</v>
      </c>
      <c r="E1143" t="s">
        <v>21</v>
      </c>
      <c r="F1143" t="s">
        <v>44</v>
      </c>
      <c r="G1143" t="s">
        <v>124</v>
      </c>
      <c r="H1143">
        <v>22850</v>
      </c>
      <c r="I1143">
        <v>0</v>
      </c>
      <c r="J1143">
        <v>22850</v>
      </c>
      <c r="L1143">
        <v>33</v>
      </c>
      <c r="M1143">
        <v>43169</v>
      </c>
      <c r="N1143" t="s">
        <v>65</v>
      </c>
      <c r="O1143" t="s">
        <v>66</v>
      </c>
    </row>
    <row r="1144" spans="2:15" x14ac:dyDescent="0.25">
      <c r="B1144" t="s">
        <v>36</v>
      </c>
      <c r="C1144" s="4">
        <v>44684</v>
      </c>
      <c r="D1144">
        <v>5</v>
      </c>
      <c r="E1144" t="s">
        <v>16</v>
      </c>
      <c r="F1144" t="s">
        <v>17</v>
      </c>
      <c r="G1144" t="s">
        <v>124</v>
      </c>
      <c r="H1144">
        <v>0</v>
      </c>
      <c r="I1144">
        <v>22850</v>
      </c>
      <c r="J1144">
        <v>-22850</v>
      </c>
      <c r="L1144">
        <v>33</v>
      </c>
      <c r="M1144">
        <v>43169</v>
      </c>
      <c r="N1144" t="s">
        <v>65</v>
      </c>
      <c r="O1144" t="s">
        <v>66</v>
      </c>
    </row>
    <row r="1145" spans="2:15" x14ac:dyDescent="0.25">
      <c r="B1145" t="s">
        <v>36</v>
      </c>
      <c r="C1145" s="4">
        <v>44686</v>
      </c>
      <c r="D1145">
        <v>5</v>
      </c>
      <c r="E1145" t="s">
        <v>21</v>
      </c>
      <c r="F1145" t="s">
        <v>44</v>
      </c>
      <c r="G1145" t="s">
        <v>124</v>
      </c>
      <c r="H1145">
        <v>85466</v>
      </c>
      <c r="I1145">
        <v>0</v>
      </c>
      <c r="J1145">
        <v>85466</v>
      </c>
      <c r="L1145">
        <v>33</v>
      </c>
      <c r="M1145">
        <v>1783</v>
      </c>
      <c r="N1145" t="s">
        <v>77</v>
      </c>
      <c r="O1145" t="s">
        <v>78</v>
      </c>
    </row>
    <row r="1146" spans="2:15" x14ac:dyDescent="0.25">
      <c r="B1146" t="s">
        <v>36</v>
      </c>
      <c r="C1146" s="4">
        <v>44686</v>
      </c>
      <c r="D1146">
        <v>5</v>
      </c>
      <c r="E1146" t="s">
        <v>16</v>
      </c>
      <c r="F1146" t="s">
        <v>17</v>
      </c>
      <c r="G1146" t="s">
        <v>124</v>
      </c>
      <c r="H1146">
        <v>0</v>
      </c>
      <c r="I1146">
        <v>85466</v>
      </c>
      <c r="J1146">
        <v>-85466</v>
      </c>
      <c r="L1146">
        <v>33</v>
      </c>
      <c r="M1146">
        <v>1783</v>
      </c>
      <c r="N1146" t="s">
        <v>77</v>
      </c>
      <c r="O1146" t="s">
        <v>78</v>
      </c>
    </row>
    <row r="1147" spans="2:15" x14ac:dyDescent="0.25">
      <c r="B1147" t="s">
        <v>36</v>
      </c>
      <c r="C1147" s="4">
        <v>44691</v>
      </c>
      <c r="D1147">
        <v>5</v>
      </c>
      <c r="E1147" t="s">
        <v>21</v>
      </c>
      <c r="F1147" t="s">
        <v>44</v>
      </c>
      <c r="G1147" t="s">
        <v>124</v>
      </c>
      <c r="H1147">
        <v>24900</v>
      </c>
      <c r="I1147">
        <v>0</v>
      </c>
      <c r="J1147">
        <v>24900</v>
      </c>
      <c r="L1147">
        <v>33</v>
      </c>
      <c r="M1147">
        <v>9903</v>
      </c>
      <c r="N1147" t="s">
        <v>61</v>
      </c>
      <c r="O1147" t="s">
        <v>62</v>
      </c>
    </row>
    <row r="1148" spans="2:15" x14ac:dyDescent="0.25">
      <c r="B1148" t="s">
        <v>36</v>
      </c>
      <c r="C1148" s="4">
        <v>44691</v>
      </c>
      <c r="D1148">
        <v>5</v>
      </c>
      <c r="E1148" t="s">
        <v>16</v>
      </c>
      <c r="F1148" t="s">
        <v>17</v>
      </c>
      <c r="G1148" t="s">
        <v>124</v>
      </c>
      <c r="H1148">
        <v>0</v>
      </c>
      <c r="I1148">
        <v>24900</v>
      </c>
      <c r="J1148">
        <v>-24900</v>
      </c>
      <c r="L1148">
        <v>33</v>
      </c>
      <c r="M1148">
        <v>9903</v>
      </c>
      <c r="N1148" t="s">
        <v>61</v>
      </c>
      <c r="O1148" t="s">
        <v>62</v>
      </c>
    </row>
    <row r="1149" spans="2:15" x14ac:dyDescent="0.25">
      <c r="B1149" t="s">
        <v>36</v>
      </c>
      <c r="C1149" s="4">
        <v>44691</v>
      </c>
      <c r="D1149">
        <v>5</v>
      </c>
      <c r="E1149" t="s">
        <v>21</v>
      </c>
      <c r="F1149" t="s">
        <v>44</v>
      </c>
      <c r="G1149" t="s">
        <v>124</v>
      </c>
      <c r="H1149">
        <v>14500</v>
      </c>
      <c r="I1149">
        <v>0</v>
      </c>
      <c r="J1149">
        <v>14500</v>
      </c>
      <c r="L1149">
        <v>33</v>
      </c>
      <c r="M1149">
        <v>43403</v>
      </c>
      <c r="N1149" t="s">
        <v>65</v>
      </c>
      <c r="O1149" t="s">
        <v>66</v>
      </c>
    </row>
    <row r="1150" spans="2:15" x14ac:dyDescent="0.25">
      <c r="B1150" t="s">
        <v>36</v>
      </c>
      <c r="C1150" s="4">
        <v>44691</v>
      </c>
      <c r="D1150">
        <v>5</v>
      </c>
      <c r="E1150" t="s">
        <v>16</v>
      </c>
      <c r="F1150" t="s">
        <v>17</v>
      </c>
      <c r="G1150" t="s">
        <v>124</v>
      </c>
      <c r="H1150">
        <v>0</v>
      </c>
      <c r="I1150">
        <v>14500</v>
      </c>
      <c r="J1150">
        <v>-14500</v>
      </c>
      <c r="L1150">
        <v>33</v>
      </c>
      <c r="M1150">
        <v>43403</v>
      </c>
      <c r="N1150" t="s">
        <v>65</v>
      </c>
      <c r="O1150" t="s">
        <v>66</v>
      </c>
    </row>
    <row r="1151" spans="2:15" x14ac:dyDescent="0.25">
      <c r="B1151" t="s">
        <v>36</v>
      </c>
      <c r="C1151" s="4">
        <v>44691</v>
      </c>
      <c r="D1151">
        <v>5</v>
      </c>
      <c r="E1151" t="s">
        <v>21</v>
      </c>
      <c r="F1151" t="s">
        <v>44</v>
      </c>
      <c r="G1151" t="s">
        <v>124</v>
      </c>
      <c r="H1151">
        <v>348021</v>
      </c>
      <c r="I1151">
        <v>0</v>
      </c>
      <c r="J1151">
        <v>348021</v>
      </c>
      <c r="L1151">
        <v>33</v>
      </c>
      <c r="M1151">
        <v>172737</v>
      </c>
      <c r="N1151" t="s">
        <v>53</v>
      </c>
      <c r="O1151" t="s">
        <v>54</v>
      </c>
    </row>
    <row r="1152" spans="2:15" x14ac:dyDescent="0.25">
      <c r="B1152" t="s">
        <v>36</v>
      </c>
      <c r="C1152" s="4">
        <v>44691</v>
      </c>
      <c r="D1152">
        <v>5</v>
      </c>
      <c r="E1152" t="s">
        <v>16</v>
      </c>
      <c r="F1152" t="s">
        <v>17</v>
      </c>
      <c r="G1152" t="s">
        <v>124</v>
      </c>
      <c r="H1152">
        <v>0</v>
      </c>
      <c r="I1152">
        <v>348021</v>
      </c>
      <c r="J1152">
        <v>-348021</v>
      </c>
      <c r="L1152">
        <v>33</v>
      </c>
      <c r="M1152">
        <v>172737</v>
      </c>
      <c r="N1152" t="s">
        <v>53</v>
      </c>
      <c r="O1152" t="s">
        <v>54</v>
      </c>
    </row>
    <row r="1153" spans="2:15" x14ac:dyDescent="0.25">
      <c r="B1153" t="s">
        <v>36</v>
      </c>
      <c r="C1153" s="4">
        <v>44691</v>
      </c>
      <c r="D1153">
        <v>5</v>
      </c>
      <c r="E1153" t="s">
        <v>21</v>
      </c>
      <c r="F1153" t="s">
        <v>44</v>
      </c>
      <c r="G1153" t="s">
        <v>124</v>
      </c>
      <c r="H1153">
        <v>4900</v>
      </c>
      <c r="I1153">
        <v>0</v>
      </c>
      <c r="J1153">
        <v>4900</v>
      </c>
      <c r="L1153">
        <v>33</v>
      </c>
      <c r="M1153">
        <v>1928628</v>
      </c>
      <c r="N1153" t="s">
        <v>89</v>
      </c>
      <c r="O1153" t="s">
        <v>90</v>
      </c>
    </row>
    <row r="1154" spans="2:15" x14ac:dyDescent="0.25">
      <c r="B1154" t="s">
        <v>36</v>
      </c>
      <c r="C1154" s="4">
        <v>44691</v>
      </c>
      <c r="D1154">
        <v>5</v>
      </c>
      <c r="E1154" t="s">
        <v>16</v>
      </c>
      <c r="F1154" t="s">
        <v>17</v>
      </c>
      <c r="G1154" t="s">
        <v>124</v>
      </c>
      <c r="H1154">
        <v>0</v>
      </c>
      <c r="I1154">
        <v>4900</v>
      </c>
      <c r="J1154">
        <v>-4900</v>
      </c>
      <c r="L1154">
        <v>33</v>
      </c>
      <c r="M1154">
        <v>1928628</v>
      </c>
      <c r="N1154" t="s">
        <v>89</v>
      </c>
      <c r="O1154" t="s">
        <v>90</v>
      </c>
    </row>
    <row r="1155" spans="2:15" x14ac:dyDescent="0.25">
      <c r="B1155" t="s">
        <v>36</v>
      </c>
      <c r="C1155" s="4">
        <v>44691</v>
      </c>
      <c r="D1155">
        <v>5</v>
      </c>
      <c r="E1155" t="s">
        <v>21</v>
      </c>
      <c r="F1155" t="s">
        <v>44</v>
      </c>
      <c r="G1155" t="s">
        <v>124</v>
      </c>
      <c r="H1155">
        <v>717106</v>
      </c>
      <c r="I1155">
        <v>0</v>
      </c>
      <c r="J1155">
        <v>717106</v>
      </c>
      <c r="L1155">
        <v>33</v>
      </c>
      <c r="M1155">
        <v>378905</v>
      </c>
      <c r="N1155" t="s">
        <v>51</v>
      </c>
      <c r="O1155" t="s">
        <v>52</v>
      </c>
    </row>
    <row r="1156" spans="2:15" x14ac:dyDescent="0.25">
      <c r="B1156" t="s">
        <v>36</v>
      </c>
      <c r="C1156" s="4">
        <v>44691</v>
      </c>
      <c r="D1156">
        <v>5</v>
      </c>
      <c r="E1156" t="s">
        <v>16</v>
      </c>
      <c r="F1156" t="s">
        <v>17</v>
      </c>
      <c r="G1156" t="s">
        <v>124</v>
      </c>
      <c r="H1156">
        <v>0</v>
      </c>
      <c r="I1156">
        <v>717106</v>
      </c>
      <c r="J1156">
        <v>-717106</v>
      </c>
      <c r="L1156">
        <v>33</v>
      </c>
      <c r="M1156">
        <v>378905</v>
      </c>
      <c r="N1156" t="s">
        <v>51</v>
      </c>
      <c r="O1156" t="s">
        <v>52</v>
      </c>
    </row>
    <row r="1157" spans="2:15" x14ac:dyDescent="0.25">
      <c r="B1157" t="s">
        <v>36</v>
      </c>
      <c r="C1157" s="4">
        <v>44698</v>
      </c>
      <c r="D1157">
        <v>5</v>
      </c>
      <c r="E1157" t="s">
        <v>21</v>
      </c>
      <c r="F1157" t="s">
        <v>44</v>
      </c>
      <c r="G1157" t="s">
        <v>124</v>
      </c>
      <c r="H1157">
        <v>14591</v>
      </c>
      <c r="I1157">
        <v>0</v>
      </c>
      <c r="J1157">
        <v>14591</v>
      </c>
      <c r="L1157">
        <v>33</v>
      </c>
      <c r="M1157">
        <v>30653</v>
      </c>
      <c r="N1157" t="s">
        <v>81</v>
      </c>
      <c r="O1157" t="s">
        <v>82</v>
      </c>
    </row>
    <row r="1158" spans="2:15" x14ac:dyDescent="0.25">
      <c r="B1158" t="s">
        <v>36</v>
      </c>
      <c r="C1158" s="4">
        <v>44698</v>
      </c>
      <c r="D1158">
        <v>5</v>
      </c>
      <c r="E1158" t="s">
        <v>16</v>
      </c>
      <c r="F1158" t="s">
        <v>17</v>
      </c>
      <c r="G1158" t="s">
        <v>124</v>
      </c>
      <c r="H1158">
        <v>0</v>
      </c>
      <c r="I1158">
        <v>14591</v>
      </c>
      <c r="J1158">
        <v>-14591</v>
      </c>
      <c r="L1158">
        <v>33</v>
      </c>
      <c r="M1158">
        <v>30653</v>
      </c>
      <c r="N1158" t="s">
        <v>81</v>
      </c>
      <c r="O1158" t="s">
        <v>82</v>
      </c>
    </row>
    <row r="1159" spans="2:15" x14ac:dyDescent="0.25">
      <c r="B1159" t="s">
        <v>36</v>
      </c>
      <c r="C1159" s="4">
        <v>44700</v>
      </c>
      <c r="D1159">
        <v>5</v>
      </c>
      <c r="E1159" t="s">
        <v>21</v>
      </c>
      <c r="F1159" t="s">
        <v>44</v>
      </c>
      <c r="G1159" t="s">
        <v>124</v>
      </c>
      <c r="H1159">
        <v>278340</v>
      </c>
      <c r="I1159">
        <v>0</v>
      </c>
      <c r="J1159">
        <v>278340</v>
      </c>
      <c r="L1159">
        <v>33</v>
      </c>
      <c r="M1159">
        <v>349296</v>
      </c>
      <c r="N1159" t="s">
        <v>85</v>
      </c>
      <c r="O1159" t="s">
        <v>86</v>
      </c>
    </row>
    <row r="1160" spans="2:15" x14ac:dyDescent="0.25">
      <c r="B1160" t="s">
        <v>36</v>
      </c>
      <c r="C1160" s="4">
        <v>44700</v>
      </c>
      <c r="D1160">
        <v>5</v>
      </c>
      <c r="E1160" t="s">
        <v>16</v>
      </c>
      <c r="F1160" t="s">
        <v>17</v>
      </c>
      <c r="G1160" t="s">
        <v>124</v>
      </c>
      <c r="H1160">
        <v>0</v>
      </c>
      <c r="I1160">
        <v>278340</v>
      </c>
      <c r="J1160">
        <v>-278340</v>
      </c>
      <c r="L1160">
        <v>33</v>
      </c>
      <c r="M1160">
        <v>349296</v>
      </c>
      <c r="N1160" t="s">
        <v>85</v>
      </c>
      <c r="O1160" t="s">
        <v>86</v>
      </c>
    </row>
    <row r="1161" spans="2:15" x14ac:dyDescent="0.25">
      <c r="B1161" t="s">
        <v>36</v>
      </c>
      <c r="C1161" s="4">
        <v>44697</v>
      </c>
      <c r="D1161">
        <v>5</v>
      </c>
      <c r="E1161" t="s">
        <v>21</v>
      </c>
      <c r="F1161" t="s">
        <v>44</v>
      </c>
      <c r="G1161" t="s">
        <v>124</v>
      </c>
      <c r="H1161">
        <v>42960</v>
      </c>
      <c r="I1161">
        <v>0</v>
      </c>
      <c r="J1161">
        <v>42960</v>
      </c>
      <c r="L1161">
        <v>33</v>
      </c>
      <c r="M1161">
        <v>10045091</v>
      </c>
      <c r="N1161" t="s">
        <v>57</v>
      </c>
      <c r="O1161" t="s">
        <v>58</v>
      </c>
    </row>
    <row r="1162" spans="2:15" x14ac:dyDescent="0.25">
      <c r="B1162" t="s">
        <v>36</v>
      </c>
      <c r="C1162" s="4">
        <v>44697</v>
      </c>
      <c r="D1162">
        <v>5</v>
      </c>
      <c r="E1162" t="s">
        <v>16</v>
      </c>
      <c r="F1162" t="s">
        <v>17</v>
      </c>
      <c r="G1162" t="s">
        <v>124</v>
      </c>
      <c r="H1162">
        <v>0</v>
      </c>
      <c r="I1162">
        <v>42960</v>
      </c>
      <c r="J1162">
        <v>-42960</v>
      </c>
      <c r="L1162">
        <v>33</v>
      </c>
      <c r="M1162">
        <v>10045091</v>
      </c>
      <c r="N1162" t="s">
        <v>57</v>
      </c>
      <c r="O1162" t="s">
        <v>58</v>
      </c>
    </row>
    <row r="1163" spans="2:15" x14ac:dyDescent="0.25">
      <c r="B1163" t="s">
        <v>36</v>
      </c>
      <c r="C1163" s="4">
        <v>44701</v>
      </c>
      <c r="D1163">
        <v>5</v>
      </c>
      <c r="E1163" t="s">
        <v>21</v>
      </c>
      <c r="F1163" t="s">
        <v>44</v>
      </c>
      <c r="G1163" t="s">
        <v>124</v>
      </c>
      <c r="H1163">
        <v>115799</v>
      </c>
      <c r="I1163">
        <v>0</v>
      </c>
      <c r="J1163">
        <v>115799</v>
      </c>
      <c r="L1163">
        <v>33</v>
      </c>
      <c r="M1163">
        <v>676306</v>
      </c>
      <c r="N1163" t="s">
        <v>49</v>
      </c>
      <c r="O1163" t="s">
        <v>50</v>
      </c>
    </row>
    <row r="1164" spans="2:15" x14ac:dyDescent="0.25">
      <c r="B1164" t="s">
        <v>36</v>
      </c>
      <c r="C1164" s="4">
        <v>44701</v>
      </c>
      <c r="D1164">
        <v>5</v>
      </c>
      <c r="E1164" t="s">
        <v>16</v>
      </c>
      <c r="F1164" t="s">
        <v>17</v>
      </c>
      <c r="G1164" t="s">
        <v>124</v>
      </c>
      <c r="H1164">
        <v>0</v>
      </c>
      <c r="I1164">
        <v>115799</v>
      </c>
      <c r="J1164">
        <v>-115799</v>
      </c>
      <c r="L1164">
        <v>33</v>
      </c>
      <c r="M1164">
        <v>676306</v>
      </c>
      <c r="N1164" t="s">
        <v>49</v>
      </c>
      <c r="O1164" t="s">
        <v>50</v>
      </c>
    </row>
    <row r="1165" spans="2:15" x14ac:dyDescent="0.25">
      <c r="B1165" t="s">
        <v>36</v>
      </c>
      <c r="C1165" s="4">
        <v>44701</v>
      </c>
      <c r="D1165">
        <v>5</v>
      </c>
      <c r="E1165" t="s">
        <v>21</v>
      </c>
      <c r="F1165" t="s">
        <v>44</v>
      </c>
      <c r="G1165" t="s">
        <v>124</v>
      </c>
      <c r="H1165">
        <v>332503</v>
      </c>
      <c r="I1165">
        <v>0</v>
      </c>
      <c r="J1165">
        <v>332503</v>
      </c>
      <c r="L1165">
        <v>33</v>
      </c>
      <c r="M1165">
        <v>349537</v>
      </c>
      <c r="N1165" t="s">
        <v>85</v>
      </c>
      <c r="O1165" t="s">
        <v>86</v>
      </c>
    </row>
    <row r="1166" spans="2:15" x14ac:dyDescent="0.25">
      <c r="B1166" t="s">
        <v>36</v>
      </c>
      <c r="C1166" s="4">
        <v>44701</v>
      </c>
      <c r="D1166">
        <v>5</v>
      </c>
      <c r="E1166" t="s">
        <v>16</v>
      </c>
      <c r="F1166" t="s">
        <v>17</v>
      </c>
      <c r="G1166" t="s">
        <v>124</v>
      </c>
      <c r="H1166">
        <v>0</v>
      </c>
      <c r="I1166">
        <v>332503</v>
      </c>
      <c r="J1166">
        <v>-332503</v>
      </c>
      <c r="L1166">
        <v>33</v>
      </c>
      <c r="M1166">
        <v>349537</v>
      </c>
      <c r="N1166" t="s">
        <v>85</v>
      </c>
      <c r="O1166" t="s">
        <v>86</v>
      </c>
    </row>
    <row r="1167" spans="2:15" x14ac:dyDescent="0.25">
      <c r="B1167" t="s">
        <v>36</v>
      </c>
      <c r="C1167" s="4">
        <v>44704</v>
      </c>
      <c r="D1167">
        <v>5</v>
      </c>
      <c r="E1167" t="s">
        <v>21</v>
      </c>
      <c r="F1167" t="s">
        <v>44</v>
      </c>
      <c r="G1167" t="s">
        <v>124</v>
      </c>
      <c r="H1167">
        <v>543604</v>
      </c>
      <c r="I1167">
        <v>0</v>
      </c>
      <c r="J1167">
        <v>543604</v>
      </c>
      <c r="L1167">
        <v>33</v>
      </c>
      <c r="M1167">
        <v>381092</v>
      </c>
      <c r="N1167" t="s">
        <v>51</v>
      </c>
      <c r="O1167" t="s">
        <v>52</v>
      </c>
    </row>
    <row r="1168" spans="2:15" x14ac:dyDescent="0.25">
      <c r="B1168" t="s">
        <v>36</v>
      </c>
      <c r="C1168" s="4">
        <v>44704</v>
      </c>
      <c r="D1168">
        <v>5</v>
      </c>
      <c r="E1168" t="s">
        <v>16</v>
      </c>
      <c r="F1168" t="s">
        <v>17</v>
      </c>
      <c r="G1168" t="s">
        <v>124</v>
      </c>
      <c r="H1168">
        <v>0</v>
      </c>
      <c r="I1168">
        <v>543604</v>
      </c>
      <c r="J1168">
        <v>-543604</v>
      </c>
      <c r="L1168">
        <v>33</v>
      </c>
      <c r="M1168">
        <v>381092</v>
      </c>
      <c r="N1168" t="s">
        <v>51</v>
      </c>
      <c r="O1168" t="s">
        <v>52</v>
      </c>
    </row>
    <row r="1169" spans="2:15" x14ac:dyDescent="0.25">
      <c r="B1169" t="s">
        <v>36</v>
      </c>
      <c r="C1169" s="4">
        <v>44711</v>
      </c>
      <c r="D1169">
        <v>5</v>
      </c>
      <c r="E1169" t="s">
        <v>21</v>
      </c>
      <c r="F1169" t="s">
        <v>44</v>
      </c>
      <c r="G1169" t="s">
        <v>124</v>
      </c>
      <c r="H1169">
        <v>1070643</v>
      </c>
      <c r="I1169">
        <v>0</v>
      </c>
      <c r="J1169">
        <v>1070643</v>
      </c>
      <c r="L1169">
        <v>33</v>
      </c>
      <c r="M1169">
        <v>382560</v>
      </c>
      <c r="N1169" t="s">
        <v>51</v>
      </c>
      <c r="O1169" t="s">
        <v>52</v>
      </c>
    </row>
    <row r="1170" spans="2:15" x14ac:dyDescent="0.25">
      <c r="B1170" t="s">
        <v>36</v>
      </c>
      <c r="C1170" s="4">
        <v>44711</v>
      </c>
      <c r="D1170">
        <v>5</v>
      </c>
      <c r="E1170" t="s">
        <v>16</v>
      </c>
      <c r="F1170" t="s">
        <v>17</v>
      </c>
      <c r="G1170" t="s">
        <v>124</v>
      </c>
      <c r="H1170">
        <v>0</v>
      </c>
      <c r="I1170">
        <v>1070643</v>
      </c>
      <c r="J1170">
        <v>-1070643</v>
      </c>
      <c r="L1170">
        <v>33</v>
      </c>
      <c r="M1170">
        <v>382560</v>
      </c>
      <c r="N1170" t="s">
        <v>51</v>
      </c>
      <c r="O1170" t="s">
        <v>52</v>
      </c>
    </row>
    <row r="1171" spans="2:15" x14ac:dyDescent="0.25">
      <c r="B1171" t="s">
        <v>36</v>
      </c>
      <c r="C1171" s="4">
        <v>44712</v>
      </c>
      <c r="D1171">
        <v>5</v>
      </c>
      <c r="E1171" t="s">
        <v>21</v>
      </c>
      <c r="F1171" t="s">
        <v>44</v>
      </c>
      <c r="G1171" t="s">
        <v>124</v>
      </c>
      <c r="H1171">
        <v>59976</v>
      </c>
      <c r="I1171">
        <v>0</v>
      </c>
      <c r="J1171">
        <v>59976</v>
      </c>
      <c r="L1171">
        <v>33</v>
      </c>
      <c r="M1171">
        <v>1834</v>
      </c>
      <c r="N1171" t="s">
        <v>77</v>
      </c>
      <c r="O1171" t="s">
        <v>78</v>
      </c>
    </row>
    <row r="1172" spans="2:15" x14ac:dyDescent="0.25">
      <c r="B1172" t="s">
        <v>36</v>
      </c>
      <c r="C1172" s="4">
        <v>44712</v>
      </c>
      <c r="D1172">
        <v>5</v>
      </c>
      <c r="E1172" t="s">
        <v>16</v>
      </c>
      <c r="F1172" t="s">
        <v>17</v>
      </c>
      <c r="G1172" t="s">
        <v>124</v>
      </c>
      <c r="H1172">
        <v>0</v>
      </c>
      <c r="I1172">
        <v>59976</v>
      </c>
      <c r="J1172">
        <v>-59976</v>
      </c>
      <c r="L1172">
        <v>33</v>
      </c>
      <c r="M1172">
        <v>1834</v>
      </c>
      <c r="N1172" t="s">
        <v>77</v>
      </c>
      <c r="O1172" t="s">
        <v>78</v>
      </c>
    </row>
    <row r="1173" spans="2:15" x14ac:dyDescent="0.25">
      <c r="B1173" t="s">
        <v>36</v>
      </c>
      <c r="C1173" s="4">
        <v>44712</v>
      </c>
      <c r="D1173">
        <v>5</v>
      </c>
      <c r="E1173" t="s">
        <v>21</v>
      </c>
      <c r="F1173" t="s">
        <v>44</v>
      </c>
      <c r="G1173" t="s">
        <v>124</v>
      </c>
      <c r="H1173">
        <v>93891</v>
      </c>
      <c r="I1173">
        <v>0</v>
      </c>
      <c r="J1173">
        <v>93891</v>
      </c>
      <c r="L1173">
        <v>33</v>
      </c>
      <c r="M1173">
        <v>382796</v>
      </c>
      <c r="N1173" t="s">
        <v>51</v>
      </c>
      <c r="O1173" t="s">
        <v>52</v>
      </c>
    </row>
    <row r="1174" spans="2:15" x14ac:dyDescent="0.25">
      <c r="B1174" t="s">
        <v>36</v>
      </c>
      <c r="C1174" s="4">
        <v>44712</v>
      </c>
      <c r="D1174">
        <v>5</v>
      </c>
      <c r="E1174" t="s">
        <v>16</v>
      </c>
      <c r="F1174" t="s">
        <v>17</v>
      </c>
      <c r="G1174" t="s">
        <v>124</v>
      </c>
      <c r="H1174">
        <v>0</v>
      </c>
      <c r="I1174">
        <v>93891</v>
      </c>
      <c r="J1174">
        <v>-93891</v>
      </c>
      <c r="L1174">
        <v>33</v>
      </c>
      <c r="M1174">
        <v>382796</v>
      </c>
      <c r="N1174" t="s">
        <v>51</v>
      </c>
      <c r="O1174" t="s">
        <v>52</v>
      </c>
    </row>
    <row r="1175" spans="2:15" x14ac:dyDescent="0.25">
      <c r="B1175" t="s">
        <v>36</v>
      </c>
      <c r="C1175" s="4">
        <v>44712</v>
      </c>
      <c r="D1175">
        <v>5</v>
      </c>
      <c r="E1175" t="s">
        <v>21</v>
      </c>
      <c r="F1175" t="s">
        <v>44</v>
      </c>
      <c r="G1175" t="s">
        <v>124</v>
      </c>
      <c r="H1175">
        <v>18701</v>
      </c>
      <c r="I1175">
        <v>0</v>
      </c>
      <c r="J1175">
        <v>18701</v>
      </c>
      <c r="L1175">
        <v>33</v>
      </c>
      <c r="M1175">
        <v>18</v>
      </c>
      <c r="N1175" t="s">
        <v>91</v>
      </c>
      <c r="O1175" t="s">
        <v>92</v>
      </c>
    </row>
    <row r="1176" spans="2:15" x14ac:dyDescent="0.25">
      <c r="B1176" t="s">
        <v>36</v>
      </c>
      <c r="C1176" s="4">
        <v>44712</v>
      </c>
      <c r="D1176">
        <v>5</v>
      </c>
      <c r="E1176" t="s">
        <v>16</v>
      </c>
      <c r="F1176" t="s">
        <v>17</v>
      </c>
      <c r="G1176" t="s">
        <v>124</v>
      </c>
      <c r="H1176">
        <v>0</v>
      </c>
      <c r="I1176">
        <v>18701</v>
      </c>
      <c r="J1176">
        <v>-18701</v>
      </c>
      <c r="L1176">
        <v>33</v>
      </c>
      <c r="M1176">
        <v>18</v>
      </c>
      <c r="N1176" t="s">
        <v>91</v>
      </c>
      <c r="O1176" t="s">
        <v>92</v>
      </c>
    </row>
    <row r="1177" spans="2:15" x14ac:dyDescent="0.25">
      <c r="B1177" t="s">
        <v>36</v>
      </c>
      <c r="C1177" s="4">
        <v>44698</v>
      </c>
      <c r="D1177">
        <v>5</v>
      </c>
      <c r="E1177" t="s">
        <v>21</v>
      </c>
      <c r="F1177" t="s">
        <v>44</v>
      </c>
      <c r="G1177" t="s">
        <v>124</v>
      </c>
      <c r="H1177">
        <v>112618</v>
      </c>
      <c r="I1177">
        <v>0</v>
      </c>
      <c r="J1177">
        <v>112618</v>
      </c>
      <c r="L1177">
        <v>34</v>
      </c>
      <c r="M1177">
        <v>92</v>
      </c>
      <c r="N1177" t="s">
        <v>71</v>
      </c>
      <c r="O1177" t="s">
        <v>72</v>
      </c>
    </row>
    <row r="1178" spans="2:15" x14ac:dyDescent="0.25">
      <c r="B1178" t="s">
        <v>36</v>
      </c>
      <c r="C1178" s="4">
        <v>44698</v>
      </c>
      <c r="D1178">
        <v>5</v>
      </c>
      <c r="E1178" t="s">
        <v>16</v>
      </c>
      <c r="F1178" t="s">
        <v>17</v>
      </c>
      <c r="G1178" t="s">
        <v>124</v>
      </c>
      <c r="H1178">
        <v>0</v>
      </c>
      <c r="I1178">
        <v>112618</v>
      </c>
      <c r="J1178">
        <v>-112618</v>
      </c>
      <c r="L1178">
        <v>34</v>
      </c>
      <c r="M1178">
        <v>92</v>
      </c>
      <c r="N1178" t="s">
        <v>71</v>
      </c>
      <c r="O1178" t="s">
        <v>72</v>
      </c>
    </row>
    <row r="1179" spans="2:15" x14ac:dyDescent="0.25">
      <c r="B1179" t="s">
        <v>36</v>
      </c>
      <c r="C1179" s="4">
        <v>44705</v>
      </c>
      <c r="D1179">
        <v>6</v>
      </c>
      <c r="E1179" t="s">
        <v>21</v>
      </c>
      <c r="F1179" t="s">
        <v>44</v>
      </c>
      <c r="G1179" t="s">
        <v>124</v>
      </c>
      <c r="H1179">
        <v>4000</v>
      </c>
      <c r="I1179">
        <v>0</v>
      </c>
      <c r="J1179">
        <v>4000</v>
      </c>
      <c r="L1179">
        <v>33</v>
      </c>
      <c r="M1179">
        <v>155327</v>
      </c>
      <c r="N1179" t="s">
        <v>45</v>
      </c>
      <c r="O1179" t="s">
        <v>46</v>
      </c>
    </row>
    <row r="1180" spans="2:15" x14ac:dyDescent="0.25">
      <c r="B1180" t="s">
        <v>36</v>
      </c>
      <c r="C1180" s="4">
        <v>44705</v>
      </c>
      <c r="D1180">
        <v>6</v>
      </c>
      <c r="E1180" t="s">
        <v>16</v>
      </c>
      <c r="F1180" t="s">
        <v>17</v>
      </c>
      <c r="G1180" t="s">
        <v>124</v>
      </c>
      <c r="H1180">
        <v>0</v>
      </c>
      <c r="I1180">
        <v>4000</v>
      </c>
      <c r="J1180">
        <v>-4000</v>
      </c>
      <c r="L1180">
        <v>33</v>
      </c>
      <c r="M1180">
        <v>155327</v>
      </c>
      <c r="N1180" t="s">
        <v>45</v>
      </c>
      <c r="O1180" t="s">
        <v>46</v>
      </c>
    </row>
    <row r="1181" spans="2:15" x14ac:dyDescent="0.25">
      <c r="B1181" t="s">
        <v>36</v>
      </c>
      <c r="C1181" s="4">
        <v>44706</v>
      </c>
      <c r="D1181">
        <v>6</v>
      </c>
      <c r="E1181" t="s">
        <v>21</v>
      </c>
      <c r="F1181" t="s">
        <v>44</v>
      </c>
      <c r="G1181" t="s">
        <v>124</v>
      </c>
      <c r="H1181">
        <v>64900</v>
      </c>
      <c r="I1181">
        <v>0</v>
      </c>
      <c r="J1181">
        <v>64900</v>
      </c>
      <c r="L1181">
        <v>33</v>
      </c>
      <c r="M1181">
        <v>155441</v>
      </c>
      <c r="N1181" t="s">
        <v>45</v>
      </c>
      <c r="O1181" t="s">
        <v>46</v>
      </c>
    </row>
    <row r="1182" spans="2:15" x14ac:dyDescent="0.25">
      <c r="B1182" t="s">
        <v>36</v>
      </c>
      <c r="C1182" s="4">
        <v>44706</v>
      </c>
      <c r="D1182">
        <v>6</v>
      </c>
      <c r="E1182" t="s">
        <v>16</v>
      </c>
      <c r="F1182" t="s">
        <v>17</v>
      </c>
      <c r="G1182" t="s">
        <v>124</v>
      </c>
      <c r="H1182">
        <v>0</v>
      </c>
      <c r="I1182">
        <v>64900</v>
      </c>
      <c r="J1182">
        <v>-64900</v>
      </c>
      <c r="L1182">
        <v>33</v>
      </c>
      <c r="M1182">
        <v>155441</v>
      </c>
      <c r="N1182" t="s">
        <v>45</v>
      </c>
      <c r="O1182" t="s">
        <v>46</v>
      </c>
    </row>
    <row r="1183" spans="2:15" x14ac:dyDescent="0.25">
      <c r="B1183" t="s">
        <v>36</v>
      </c>
      <c r="C1183" s="4">
        <v>44707</v>
      </c>
      <c r="D1183">
        <v>6</v>
      </c>
      <c r="E1183" t="s">
        <v>21</v>
      </c>
      <c r="F1183" t="s">
        <v>44</v>
      </c>
      <c r="G1183" t="s">
        <v>124</v>
      </c>
      <c r="H1183">
        <v>266014</v>
      </c>
      <c r="I1183">
        <v>0</v>
      </c>
      <c r="J1183">
        <v>266014</v>
      </c>
      <c r="L1183">
        <v>33</v>
      </c>
      <c r="M1183">
        <v>301273</v>
      </c>
      <c r="N1183" t="s">
        <v>63</v>
      </c>
      <c r="O1183" t="s">
        <v>64</v>
      </c>
    </row>
    <row r="1184" spans="2:15" x14ac:dyDescent="0.25">
      <c r="B1184" t="s">
        <v>36</v>
      </c>
      <c r="C1184" s="4">
        <v>44707</v>
      </c>
      <c r="D1184">
        <v>6</v>
      </c>
      <c r="E1184" t="s">
        <v>16</v>
      </c>
      <c r="F1184" t="s">
        <v>17</v>
      </c>
      <c r="G1184" t="s">
        <v>124</v>
      </c>
      <c r="H1184">
        <v>0</v>
      </c>
      <c r="I1184">
        <v>266014</v>
      </c>
      <c r="J1184">
        <v>-266014</v>
      </c>
      <c r="L1184">
        <v>33</v>
      </c>
      <c r="M1184">
        <v>301273</v>
      </c>
      <c r="N1184" t="s">
        <v>63</v>
      </c>
      <c r="O1184" t="s">
        <v>64</v>
      </c>
    </row>
    <row r="1185" spans="2:15" x14ac:dyDescent="0.25">
      <c r="B1185" t="s">
        <v>36</v>
      </c>
      <c r="C1185" s="4">
        <v>44712</v>
      </c>
      <c r="D1185">
        <v>6</v>
      </c>
      <c r="E1185" t="s">
        <v>21</v>
      </c>
      <c r="F1185" t="s">
        <v>44</v>
      </c>
      <c r="G1185" t="s">
        <v>124</v>
      </c>
      <c r="H1185">
        <v>29500</v>
      </c>
      <c r="I1185">
        <v>0</v>
      </c>
      <c r="J1185">
        <v>29500</v>
      </c>
      <c r="L1185">
        <v>33</v>
      </c>
      <c r="M1185">
        <v>155656</v>
      </c>
      <c r="N1185" t="s">
        <v>45</v>
      </c>
      <c r="O1185" t="s">
        <v>46</v>
      </c>
    </row>
    <row r="1186" spans="2:15" x14ac:dyDescent="0.25">
      <c r="B1186" t="s">
        <v>36</v>
      </c>
      <c r="C1186" s="4">
        <v>44712</v>
      </c>
      <c r="D1186">
        <v>6</v>
      </c>
      <c r="E1186" t="s">
        <v>16</v>
      </c>
      <c r="F1186" t="s">
        <v>17</v>
      </c>
      <c r="G1186" t="s">
        <v>124</v>
      </c>
      <c r="H1186">
        <v>0</v>
      </c>
      <c r="I1186">
        <v>29500</v>
      </c>
      <c r="J1186">
        <v>-29500</v>
      </c>
      <c r="L1186">
        <v>33</v>
      </c>
      <c r="M1186">
        <v>155656</v>
      </c>
      <c r="N1186" t="s">
        <v>45</v>
      </c>
      <c r="O1186" t="s">
        <v>46</v>
      </c>
    </row>
    <row r="1187" spans="2:15" x14ac:dyDescent="0.25">
      <c r="B1187" t="s">
        <v>36</v>
      </c>
      <c r="C1187" s="4">
        <v>44718</v>
      </c>
      <c r="D1187">
        <v>6</v>
      </c>
      <c r="E1187" t="s">
        <v>21</v>
      </c>
      <c r="F1187" t="s">
        <v>44</v>
      </c>
      <c r="G1187" t="s">
        <v>124</v>
      </c>
      <c r="H1187">
        <v>35664</v>
      </c>
      <c r="I1187">
        <v>0</v>
      </c>
      <c r="J1187">
        <v>35664</v>
      </c>
      <c r="L1187">
        <v>33</v>
      </c>
      <c r="M1187">
        <v>8048</v>
      </c>
      <c r="N1187" t="s">
        <v>93</v>
      </c>
      <c r="O1187" t="s">
        <v>94</v>
      </c>
    </row>
    <row r="1188" spans="2:15" x14ac:dyDescent="0.25">
      <c r="B1188" t="s">
        <v>36</v>
      </c>
      <c r="C1188" s="4">
        <v>44718</v>
      </c>
      <c r="D1188">
        <v>6</v>
      </c>
      <c r="E1188" t="s">
        <v>16</v>
      </c>
      <c r="F1188" t="s">
        <v>17</v>
      </c>
      <c r="G1188" t="s">
        <v>124</v>
      </c>
      <c r="H1188">
        <v>0</v>
      </c>
      <c r="I1188">
        <v>35664</v>
      </c>
      <c r="J1188">
        <v>-35664</v>
      </c>
      <c r="L1188">
        <v>33</v>
      </c>
      <c r="M1188">
        <v>8048</v>
      </c>
      <c r="N1188" t="s">
        <v>93</v>
      </c>
      <c r="O1188" t="s">
        <v>94</v>
      </c>
    </row>
    <row r="1189" spans="2:15" x14ac:dyDescent="0.25">
      <c r="B1189" t="s">
        <v>36</v>
      </c>
      <c r="C1189" s="4">
        <v>44720</v>
      </c>
      <c r="D1189">
        <v>6</v>
      </c>
      <c r="E1189" t="s">
        <v>21</v>
      </c>
      <c r="F1189" t="s">
        <v>44</v>
      </c>
      <c r="G1189" t="s">
        <v>124</v>
      </c>
      <c r="H1189">
        <v>245973</v>
      </c>
      <c r="I1189">
        <v>0</v>
      </c>
      <c r="J1189">
        <v>245973</v>
      </c>
      <c r="L1189">
        <v>33</v>
      </c>
      <c r="M1189">
        <v>384375</v>
      </c>
      <c r="N1189" t="s">
        <v>51</v>
      </c>
      <c r="O1189" t="s">
        <v>52</v>
      </c>
    </row>
    <row r="1190" spans="2:15" x14ac:dyDescent="0.25">
      <c r="B1190" t="s">
        <v>36</v>
      </c>
      <c r="C1190" s="4">
        <v>44720</v>
      </c>
      <c r="D1190">
        <v>6</v>
      </c>
      <c r="E1190" t="s">
        <v>16</v>
      </c>
      <c r="F1190" t="s">
        <v>17</v>
      </c>
      <c r="G1190" t="s">
        <v>124</v>
      </c>
      <c r="H1190">
        <v>0</v>
      </c>
      <c r="I1190">
        <v>245973</v>
      </c>
      <c r="J1190">
        <v>-245973</v>
      </c>
      <c r="L1190">
        <v>33</v>
      </c>
      <c r="M1190">
        <v>384375</v>
      </c>
      <c r="N1190" t="s">
        <v>51</v>
      </c>
      <c r="O1190" t="s">
        <v>52</v>
      </c>
    </row>
    <row r="1191" spans="2:15" x14ac:dyDescent="0.25">
      <c r="B1191" t="s">
        <v>36</v>
      </c>
      <c r="C1191" s="4">
        <v>44720</v>
      </c>
      <c r="D1191">
        <v>6</v>
      </c>
      <c r="E1191" t="s">
        <v>21</v>
      </c>
      <c r="F1191" t="s">
        <v>44</v>
      </c>
      <c r="G1191" t="s">
        <v>124</v>
      </c>
      <c r="H1191">
        <v>298119</v>
      </c>
      <c r="I1191">
        <v>0</v>
      </c>
      <c r="J1191">
        <v>298119</v>
      </c>
      <c r="L1191">
        <v>33</v>
      </c>
      <c r="M1191">
        <v>384380</v>
      </c>
      <c r="N1191" t="s">
        <v>51</v>
      </c>
      <c r="O1191" t="s">
        <v>52</v>
      </c>
    </row>
    <row r="1192" spans="2:15" x14ac:dyDescent="0.25">
      <c r="B1192" t="s">
        <v>36</v>
      </c>
      <c r="C1192" s="4">
        <v>44720</v>
      </c>
      <c r="D1192">
        <v>6</v>
      </c>
      <c r="E1192" t="s">
        <v>16</v>
      </c>
      <c r="F1192" t="s">
        <v>17</v>
      </c>
      <c r="G1192" t="s">
        <v>124</v>
      </c>
      <c r="H1192">
        <v>0</v>
      </c>
      <c r="I1192">
        <v>298119</v>
      </c>
      <c r="J1192">
        <v>-298119</v>
      </c>
      <c r="L1192">
        <v>33</v>
      </c>
      <c r="M1192">
        <v>384380</v>
      </c>
      <c r="N1192" t="s">
        <v>51</v>
      </c>
      <c r="O1192" t="s">
        <v>52</v>
      </c>
    </row>
    <row r="1193" spans="2:15" x14ac:dyDescent="0.25">
      <c r="B1193" t="s">
        <v>36</v>
      </c>
      <c r="C1193" s="4">
        <v>44721</v>
      </c>
      <c r="D1193">
        <v>6</v>
      </c>
      <c r="E1193" t="s">
        <v>21</v>
      </c>
      <c r="F1193" t="s">
        <v>44</v>
      </c>
      <c r="G1193" t="s">
        <v>124</v>
      </c>
      <c r="H1193">
        <v>245973</v>
      </c>
      <c r="I1193">
        <v>0</v>
      </c>
      <c r="J1193">
        <v>245973</v>
      </c>
      <c r="L1193">
        <v>33</v>
      </c>
      <c r="M1193">
        <v>384597</v>
      </c>
      <c r="N1193" t="s">
        <v>51</v>
      </c>
      <c r="O1193" t="s">
        <v>52</v>
      </c>
    </row>
    <row r="1194" spans="2:15" x14ac:dyDescent="0.25">
      <c r="B1194" t="s">
        <v>36</v>
      </c>
      <c r="C1194" s="4">
        <v>44721</v>
      </c>
      <c r="D1194">
        <v>6</v>
      </c>
      <c r="E1194" t="s">
        <v>16</v>
      </c>
      <c r="F1194" t="s">
        <v>17</v>
      </c>
      <c r="G1194" t="s">
        <v>124</v>
      </c>
      <c r="H1194">
        <v>0</v>
      </c>
      <c r="I1194">
        <v>245973</v>
      </c>
      <c r="J1194">
        <v>-245973</v>
      </c>
      <c r="L1194">
        <v>33</v>
      </c>
      <c r="M1194">
        <v>384597</v>
      </c>
      <c r="N1194" t="s">
        <v>51</v>
      </c>
      <c r="O1194" t="s">
        <v>52</v>
      </c>
    </row>
    <row r="1195" spans="2:15" x14ac:dyDescent="0.25">
      <c r="B1195" t="s">
        <v>36</v>
      </c>
      <c r="C1195" s="4">
        <v>44725</v>
      </c>
      <c r="D1195">
        <v>6</v>
      </c>
      <c r="E1195" t="s">
        <v>21</v>
      </c>
      <c r="F1195" t="s">
        <v>44</v>
      </c>
      <c r="G1195" t="s">
        <v>124</v>
      </c>
      <c r="H1195">
        <v>471490</v>
      </c>
      <c r="I1195">
        <v>0</v>
      </c>
      <c r="J1195">
        <v>471490</v>
      </c>
      <c r="L1195">
        <v>33</v>
      </c>
      <c r="M1195">
        <v>385254</v>
      </c>
      <c r="N1195" t="s">
        <v>51</v>
      </c>
      <c r="O1195" t="s">
        <v>52</v>
      </c>
    </row>
    <row r="1196" spans="2:15" x14ac:dyDescent="0.25">
      <c r="B1196" t="s">
        <v>36</v>
      </c>
      <c r="C1196" s="4">
        <v>44725</v>
      </c>
      <c r="D1196">
        <v>6</v>
      </c>
      <c r="E1196" t="s">
        <v>16</v>
      </c>
      <c r="F1196" t="s">
        <v>17</v>
      </c>
      <c r="G1196" t="s">
        <v>124</v>
      </c>
      <c r="H1196">
        <v>0</v>
      </c>
      <c r="I1196">
        <v>471490</v>
      </c>
      <c r="J1196">
        <v>-471490</v>
      </c>
      <c r="L1196">
        <v>33</v>
      </c>
      <c r="M1196">
        <v>385254</v>
      </c>
      <c r="N1196" t="s">
        <v>51</v>
      </c>
      <c r="O1196" t="s">
        <v>52</v>
      </c>
    </row>
    <row r="1197" spans="2:15" x14ac:dyDescent="0.25">
      <c r="B1197" t="s">
        <v>36</v>
      </c>
      <c r="C1197" s="4">
        <v>44726</v>
      </c>
      <c r="D1197">
        <v>6</v>
      </c>
      <c r="E1197" t="s">
        <v>21</v>
      </c>
      <c r="F1197" t="s">
        <v>44</v>
      </c>
      <c r="G1197" t="s">
        <v>124</v>
      </c>
      <c r="H1197">
        <v>36405</v>
      </c>
      <c r="I1197">
        <v>0</v>
      </c>
      <c r="J1197">
        <v>36405</v>
      </c>
      <c r="L1197">
        <v>33</v>
      </c>
      <c r="M1197">
        <v>2916332</v>
      </c>
      <c r="N1197" t="s">
        <v>95</v>
      </c>
      <c r="O1197" t="s">
        <v>96</v>
      </c>
    </row>
    <row r="1198" spans="2:15" x14ac:dyDescent="0.25">
      <c r="B1198" t="s">
        <v>36</v>
      </c>
      <c r="C1198" s="4">
        <v>44726</v>
      </c>
      <c r="D1198">
        <v>6</v>
      </c>
      <c r="E1198" t="s">
        <v>16</v>
      </c>
      <c r="F1198" t="s">
        <v>17</v>
      </c>
      <c r="G1198" t="s">
        <v>124</v>
      </c>
      <c r="H1198">
        <v>0</v>
      </c>
      <c r="I1198">
        <v>36405</v>
      </c>
      <c r="J1198">
        <v>-36405</v>
      </c>
      <c r="L1198">
        <v>33</v>
      </c>
      <c r="M1198">
        <v>2916332</v>
      </c>
      <c r="N1198" t="s">
        <v>95</v>
      </c>
      <c r="O1198" t="s">
        <v>96</v>
      </c>
    </row>
    <row r="1199" spans="2:15" x14ac:dyDescent="0.25">
      <c r="B1199" t="s">
        <v>36</v>
      </c>
      <c r="C1199" s="4">
        <v>44727</v>
      </c>
      <c r="D1199">
        <v>6</v>
      </c>
      <c r="E1199" t="s">
        <v>21</v>
      </c>
      <c r="F1199" t="s">
        <v>44</v>
      </c>
      <c r="G1199" t="s">
        <v>124</v>
      </c>
      <c r="H1199">
        <v>20171</v>
      </c>
      <c r="I1199">
        <v>0</v>
      </c>
      <c r="J1199">
        <v>20171</v>
      </c>
      <c r="L1199">
        <v>33</v>
      </c>
      <c r="M1199">
        <v>385678</v>
      </c>
      <c r="N1199" t="s">
        <v>51</v>
      </c>
      <c r="O1199" t="s">
        <v>52</v>
      </c>
    </row>
    <row r="1200" spans="2:15" x14ac:dyDescent="0.25">
      <c r="B1200" t="s">
        <v>36</v>
      </c>
      <c r="C1200" s="4">
        <v>44727</v>
      </c>
      <c r="D1200">
        <v>6</v>
      </c>
      <c r="E1200" t="s">
        <v>16</v>
      </c>
      <c r="F1200" t="s">
        <v>17</v>
      </c>
      <c r="G1200" t="s">
        <v>124</v>
      </c>
      <c r="H1200">
        <v>0</v>
      </c>
      <c r="I1200">
        <v>20171</v>
      </c>
      <c r="J1200">
        <v>-20171</v>
      </c>
      <c r="L1200">
        <v>33</v>
      </c>
      <c r="M1200">
        <v>385678</v>
      </c>
      <c r="N1200" t="s">
        <v>51</v>
      </c>
      <c r="O1200" t="s">
        <v>52</v>
      </c>
    </row>
    <row r="1201" spans="2:15" x14ac:dyDescent="0.25">
      <c r="B1201" t="s">
        <v>36</v>
      </c>
      <c r="C1201" s="4">
        <v>44728</v>
      </c>
      <c r="D1201">
        <v>6</v>
      </c>
      <c r="E1201" t="s">
        <v>21</v>
      </c>
      <c r="F1201" t="s">
        <v>44</v>
      </c>
      <c r="G1201" t="s">
        <v>124</v>
      </c>
      <c r="H1201">
        <v>78469</v>
      </c>
      <c r="I1201">
        <v>0</v>
      </c>
      <c r="J1201">
        <v>78469</v>
      </c>
      <c r="L1201">
        <v>33</v>
      </c>
      <c r="M1201">
        <v>33279</v>
      </c>
      <c r="N1201" t="s">
        <v>97</v>
      </c>
      <c r="O1201" t="s">
        <v>98</v>
      </c>
    </row>
    <row r="1202" spans="2:15" x14ac:dyDescent="0.25">
      <c r="B1202" t="s">
        <v>36</v>
      </c>
      <c r="C1202" s="4">
        <v>44728</v>
      </c>
      <c r="D1202">
        <v>6</v>
      </c>
      <c r="E1202" t="s">
        <v>16</v>
      </c>
      <c r="F1202" t="s">
        <v>17</v>
      </c>
      <c r="G1202" t="s">
        <v>124</v>
      </c>
      <c r="H1202">
        <v>0</v>
      </c>
      <c r="I1202">
        <v>78469</v>
      </c>
      <c r="J1202">
        <v>-78469</v>
      </c>
      <c r="L1202">
        <v>33</v>
      </c>
      <c r="M1202">
        <v>33279</v>
      </c>
      <c r="N1202" t="s">
        <v>97</v>
      </c>
      <c r="O1202" t="s">
        <v>98</v>
      </c>
    </row>
    <row r="1203" spans="2:15" x14ac:dyDescent="0.25">
      <c r="B1203" t="s">
        <v>36</v>
      </c>
      <c r="C1203" s="4">
        <v>44728</v>
      </c>
      <c r="D1203">
        <v>6</v>
      </c>
      <c r="E1203" t="s">
        <v>21</v>
      </c>
      <c r="F1203" t="s">
        <v>44</v>
      </c>
      <c r="G1203" t="s">
        <v>124</v>
      </c>
      <c r="H1203">
        <v>406504</v>
      </c>
      <c r="I1203">
        <v>0</v>
      </c>
      <c r="J1203">
        <v>406504</v>
      </c>
      <c r="L1203">
        <v>33</v>
      </c>
      <c r="M1203">
        <v>386158</v>
      </c>
      <c r="N1203" t="s">
        <v>51</v>
      </c>
      <c r="O1203" t="s">
        <v>52</v>
      </c>
    </row>
    <row r="1204" spans="2:15" x14ac:dyDescent="0.25">
      <c r="B1204" t="s">
        <v>36</v>
      </c>
      <c r="C1204" s="4">
        <v>44728</v>
      </c>
      <c r="D1204">
        <v>6</v>
      </c>
      <c r="E1204" t="s">
        <v>16</v>
      </c>
      <c r="F1204" t="s">
        <v>17</v>
      </c>
      <c r="G1204" t="s">
        <v>124</v>
      </c>
      <c r="H1204">
        <v>0</v>
      </c>
      <c r="I1204">
        <v>406504</v>
      </c>
      <c r="J1204">
        <v>-406504</v>
      </c>
      <c r="L1204">
        <v>33</v>
      </c>
      <c r="M1204">
        <v>386158</v>
      </c>
      <c r="N1204" t="s">
        <v>51</v>
      </c>
      <c r="O1204" t="s">
        <v>52</v>
      </c>
    </row>
    <row r="1205" spans="2:15" x14ac:dyDescent="0.25">
      <c r="B1205" t="s">
        <v>36</v>
      </c>
      <c r="C1205" s="4">
        <v>44734</v>
      </c>
      <c r="D1205">
        <v>6</v>
      </c>
      <c r="E1205" t="s">
        <v>21</v>
      </c>
      <c r="F1205" t="s">
        <v>44</v>
      </c>
      <c r="G1205" t="s">
        <v>124</v>
      </c>
      <c r="H1205">
        <v>289575</v>
      </c>
      <c r="I1205">
        <v>0</v>
      </c>
      <c r="J1205">
        <v>289575</v>
      </c>
      <c r="L1205">
        <v>33</v>
      </c>
      <c r="M1205">
        <v>386988</v>
      </c>
      <c r="N1205" t="s">
        <v>51</v>
      </c>
      <c r="O1205" t="s">
        <v>52</v>
      </c>
    </row>
    <row r="1206" spans="2:15" x14ac:dyDescent="0.25">
      <c r="B1206" t="s">
        <v>36</v>
      </c>
      <c r="C1206" s="4">
        <v>44734</v>
      </c>
      <c r="D1206">
        <v>6</v>
      </c>
      <c r="E1206" t="s">
        <v>16</v>
      </c>
      <c r="F1206" t="s">
        <v>17</v>
      </c>
      <c r="G1206" t="s">
        <v>124</v>
      </c>
      <c r="H1206">
        <v>0</v>
      </c>
      <c r="I1206">
        <v>289575</v>
      </c>
      <c r="J1206">
        <v>-289575</v>
      </c>
      <c r="L1206">
        <v>33</v>
      </c>
      <c r="M1206">
        <v>386988</v>
      </c>
      <c r="N1206" t="s">
        <v>51</v>
      </c>
      <c r="O1206" t="s">
        <v>52</v>
      </c>
    </row>
    <row r="1207" spans="2:15" x14ac:dyDescent="0.25">
      <c r="B1207" t="s">
        <v>36</v>
      </c>
      <c r="C1207" s="4">
        <v>44728</v>
      </c>
      <c r="D1207">
        <v>6</v>
      </c>
      <c r="E1207" t="s">
        <v>21</v>
      </c>
      <c r="F1207" t="s">
        <v>44</v>
      </c>
      <c r="G1207" t="s">
        <v>124</v>
      </c>
      <c r="H1207">
        <v>42960</v>
      </c>
      <c r="I1207">
        <v>0</v>
      </c>
      <c r="J1207">
        <v>42960</v>
      </c>
      <c r="L1207">
        <v>33</v>
      </c>
      <c r="M1207">
        <v>10199231</v>
      </c>
      <c r="N1207" t="s">
        <v>57</v>
      </c>
      <c r="O1207" t="s">
        <v>58</v>
      </c>
    </row>
    <row r="1208" spans="2:15" x14ac:dyDescent="0.25">
      <c r="B1208" t="s">
        <v>36</v>
      </c>
      <c r="C1208" s="4">
        <v>44728</v>
      </c>
      <c r="D1208">
        <v>6</v>
      </c>
      <c r="E1208" t="s">
        <v>16</v>
      </c>
      <c r="F1208" t="s">
        <v>17</v>
      </c>
      <c r="G1208" t="s">
        <v>124</v>
      </c>
      <c r="H1208">
        <v>0</v>
      </c>
      <c r="I1208">
        <v>42960</v>
      </c>
      <c r="J1208">
        <v>-42960</v>
      </c>
      <c r="L1208">
        <v>33</v>
      </c>
      <c r="M1208">
        <v>10199231</v>
      </c>
      <c r="N1208" t="s">
        <v>57</v>
      </c>
      <c r="O1208" t="s">
        <v>58</v>
      </c>
    </row>
    <row r="1209" spans="2:15" x14ac:dyDescent="0.25">
      <c r="B1209" t="s">
        <v>36</v>
      </c>
      <c r="C1209" s="4">
        <v>44735</v>
      </c>
      <c r="D1209">
        <v>6</v>
      </c>
      <c r="E1209" t="s">
        <v>21</v>
      </c>
      <c r="F1209" t="s">
        <v>44</v>
      </c>
      <c r="G1209" t="s">
        <v>124</v>
      </c>
      <c r="H1209">
        <v>136434</v>
      </c>
      <c r="I1209">
        <v>0</v>
      </c>
      <c r="J1209">
        <v>136434</v>
      </c>
      <c r="L1209">
        <v>33</v>
      </c>
      <c r="M1209">
        <v>387267</v>
      </c>
      <c r="N1209" t="s">
        <v>51</v>
      </c>
      <c r="O1209" t="s">
        <v>52</v>
      </c>
    </row>
    <row r="1210" spans="2:15" x14ac:dyDescent="0.25">
      <c r="B1210" t="s">
        <v>36</v>
      </c>
      <c r="C1210" s="4">
        <v>44735</v>
      </c>
      <c r="D1210">
        <v>6</v>
      </c>
      <c r="E1210" t="s">
        <v>16</v>
      </c>
      <c r="F1210" t="s">
        <v>17</v>
      </c>
      <c r="G1210" t="s">
        <v>124</v>
      </c>
      <c r="H1210">
        <v>0</v>
      </c>
      <c r="I1210">
        <v>136434</v>
      </c>
      <c r="J1210">
        <v>-136434</v>
      </c>
      <c r="L1210">
        <v>33</v>
      </c>
      <c r="M1210">
        <v>387267</v>
      </c>
      <c r="N1210" t="s">
        <v>51</v>
      </c>
      <c r="O1210" t="s">
        <v>52</v>
      </c>
    </row>
    <row r="1211" spans="2:15" x14ac:dyDescent="0.25">
      <c r="B1211" t="s">
        <v>36</v>
      </c>
      <c r="C1211" s="4">
        <v>44735</v>
      </c>
      <c r="D1211">
        <v>6</v>
      </c>
      <c r="E1211" t="s">
        <v>21</v>
      </c>
      <c r="F1211" t="s">
        <v>44</v>
      </c>
      <c r="G1211" t="s">
        <v>124</v>
      </c>
      <c r="H1211">
        <v>74927</v>
      </c>
      <c r="I1211">
        <v>0</v>
      </c>
      <c r="J1211">
        <v>74927</v>
      </c>
      <c r="L1211">
        <v>33</v>
      </c>
      <c r="M1211">
        <v>32885</v>
      </c>
      <c r="N1211" t="s">
        <v>81</v>
      </c>
      <c r="O1211" t="s">
        <v>82</v>
      </c>
    </row>
    <row r="1212" spans="2:15" x14ac:dyDescent="0.25">
      <c r="B1212" t="s">
        <v>36</v>
      </c>
      <c r="C1212" s="4">
        <v>44735</v>
      </c>
      <c r="D1212">
        <v>6</v>
      </c>
      <c r="E1212" t="s">
        <v>16</v>
      </c>
      <c r="F1212" t="s">
        <v>17</v>
      </c>
      <c r="G1212" t="s">
        <v>124</v>
      </c>
      <c r="H1212">
        <v>0</v>
      </c>
      <c r="I1212">
        <v>74927</v>
      </c>
      <c r="J1212">
        <v>-74927</v>
      </c>
      <c r="L1212">
        <v>33</v>
      </c>
      <c r="M1212">
        <v>32885</v>
      </c>
      <c r="N1212" t="s">
        <v>81</v>
      </c>
      <c r="O1212" t="s">
        <v>82</v>
      </c>
    </row>
    <row r="1213" spans="2:15" x14ac:dyDescent="0.25">
      <c r="B1213" t="s">
        <v>36</v>
      </c>
      <c r="C1213" s="4">
        <v>44740</v>
      </c>
      <c r="D1213">
        <v>6</v>
      </c>
      <c r="E1213" t="s">
        <v>21</v>
      </c>
      <c r="F1213" t="s">
        <v>44</v>
      </c>
      <c r="G1213" t="s">
        <v>124</v>
      </c>
      <c r="H1213">
        <v>32796</v>
      </c>
      <c r="I1213">
        <v>0</v>
      </c>
      <c r="J1213">
        <v>32796</v>
      </c>
      <c r="L1213">
        <v>33</v>
      </c>
      <c r="M1213">
        <v>388255</v>
      </c>
      <c r="N1213" t="s">
        <v>51</v>
      </c>
      <c r="O1213" t="s">
        <v>52</v>
      </c>
    </row>
    <row r="1214" spans="2:15" x14ac:dyDescent="0.25">
      <c r="B1214" t="s">
        <v>36</v>
      </c>
      <c r="C1214" s="4">
        <v>44740</v>
      </c>
      <c r="D1214">
        <v>6</v>
      </c>
      <c r="E1214" t="s">
        <v>16</v>
      </c>
      <c r="F1214" t="s">
        <v>17</v>
      </c>
      <c r="G1214" t="s">
        <v>124</v>
      </c>
      <c r="H1214">
        <v>0</v>
      </c>
      <c r="I1214">
        <v>32796</v>
      </c>
      <c r="J1214">
        <v>-32796</v>
      </c>
      <c r="L1214">
        <v>33</v>
      </c>
      <c r="M1214">
        <v>388255</v>
      </c>
      <c r="N1214" t="s">
        <v>51</v>
      </c>
      <c r="O1214" t="s">
        <v>52</v>
      </c>
    </row>
    <row r="1215" spans="2:15" x14ac:dyDescent="0.25">
      <c r="B1215" t="s">
        <v>36</v>
      </c>
      <c r="C1215" s="4">
        <v>44741</v>
      </c>
      <c r="D1215">
        <v>6</v>
      </c>
      <c r="E1215" t="s">
        <v>21</v>
      </c>
      <c r="F1215" t="s">
        <v>44</v>
      </c>
      <c r="G1215" t="s">
        <v>124</v>
      </c>
      <c r="H1215">
        <v>84490</v>
      </c>
      <c r="I1215">
        <v>0</v>
      </c>
      <c r="J1215">
        <v>84490</v>
      </c>
      <c r="L1215">
        <v>33</v>
      </c>
      <c r="M1215">
        <v>388495</v>
      </c>
      <c r="N1215" t="s">
        <v>51</v>
      </c>
      <c r="O1215" t="s">
        <v>52</v>
      </c>
    </row>
    <row r="1216" spans="2:15" x14ac:dyDescent="0.25">
      <c r="B1216" t="s">
        <v>36</v>
      </c>
      <c r="C1216" s="4">
        <v>44741</v>
      </c>
      <c r="D1216">
        <v>6</v>
      </c>
      <c r="E1216" t="s">
        <v>16</v>
      </c>
      <c r="F1216" t="s">
        <v>17</v>
      </c>
      <c r="G1216" t="s">
        <v>124</v>
      </c>
      <c r="H1216">
        <v>0</v>
      </c>
      <c r="I1216">
        <v>84490</v>
      </c>
      <c r="J1216">
        <v>-84490</v>
      </c>
      <c r="L1216">
        <v>33</v>
      </c>
      <c r="M1216">
        <v>388495</v>
      </c>
      <c r="N1216" t="s">
        <v>51</v>
      </c>
      <c r="O1216" t="s">
        <v>52</v>
      </c>
    </row>
    <row r="1217" spans="2:15" x14ac:dyDescent="0.25">
      <c r="B1217" t="s">
        <v>36</v>
      </c>
      <c r="C1217" s="4">
        <v>44722</v>
      </c>
      <c r="D1217">
        <v>6</v>
      </c>
      <c r="E1217" t="s">
        <v>21</v>
      </c>
      <c r="F1217" t="s">
        <v>44</v>
      </c>
      <c r="G1217" t="s">
        <v>124</v>
      </c>
      <c r="H1217">
        <v>114377</v>
      </c>
      <c r="I1217">
        <v>0</v>
      </c>
      <c r="J1217">
        <v>114377</v>
      </c>
      <c r="L1217">
        <v>34</v>
      </c>
      <c r="M1217">
        <v>98</v>
      </c>
      <c r="N1217" t="s">
        <v>71</v>
      </c>
      <c r="O1217" t="s">
        <v>72</v>
      </c>
    </row>
    <row r="1218" spans="2:15" x14ac:dyDescent="0.25">
      <c r="B1218" t="s">
        <v>36</v>
      </c>
      <c r="C1218" s="4">
        <v>44722</v>
      </c>
      <c r="D1218">
        <v>6</v>
      </c>
      <c r="E1218" t="s">
        <v>16</v>
      </c>
      <c r="F1218" t="s">
        <v>17</v>
      </c>
      <c r="G1218" t="s">
        <v>124</v>
      </c>
      <c r="H1218">
        <v>0</v>
      </c>
      <c r="I1218">
        <v>114377</v>
      </c>
      <c r="J1218">
        <v>-114377</v>
      </c>
      <c r="L1218">
        <v>34</v>
      </c>
      <c r="M1218">
        <v>98</v>
      </c>
      <c r="N1218" t="s">
        <v>71</v>
      </c>
      <c r="O1218" t="s">
        <v>72</v>
      </c>
    </row>
    <row r="1219" spans="2:15" x14ac:dyDescent="0.25">
      <c r="B1219" t="s">
        <v>36</v>
      </c>
      <c r="C1219" s="4">
        <v>44746</v>
      </c>
      <c r="D1219">
        <v>7</v>
      </c>
      <c r="E1219" t="s">
        <v>21</v>
      </c>
      <c r="F1219" t="s">
        <v>44</v>
      </c>
      <c r="G1219" t="s">
        <v>124</v>
      </c>
      <c r="H1219">
        <v>209464</v>
      </c>
      <c r="I1219">
        <v>0</v>
      </c>
      <c r="J1219">
        <v>209464</v>
      </c>
      <c r="L1219">
        <v>33</v>
      </c>
      <c r="M1219">
        <v>389080</v>
      </c>
      <c r="N1219" t="s">
        <v>51</v>
      </c>
      <c r="O1219" t="s">
        <v>52</v>
      </c>
    </row>
    <row r="1220" spans="2:15" x14ac:dyDescent="0.25">
      <c r="B1220" t="s">
        <v>36</v>
      </c>
      <c r="C1220" s="4">
        <v>44746</v>
      </c>
      <c r="D1220">
        <v>7</v>
      </c>
      <c r="E1220" t="s">
        <v>16</v>
      </c>
      <c r="F1220" t="s">
        <v>17</v>
      </c>
      <c r="G1220" t="s">
        <v>124</v>
      </c>
      <c r="H1220">
        <v>0</v>
      </c>
      <c r="I1220">
        <v>209464</v>
      </c>
      <c r="J1220">
        <v>-209464</v>
      </c>
      <c r="L1220">
        <v>33</v>
      </c>
      <c r="M1220">
        <v>389080</v>
      </c>
      <c r="N1220" t="s">
        <v>51</v>
      </c>
      <c r="O1220" t="s">
        <v>52</v>
      </c>
    </row>
    <row r="1221" spans="2:15" x14ac:dyDescent="0.25">
      <c r="B1221" t="s">
        <v>36</v>
      </c>
      <c r="C1221" s="4">
        <v>44750</v>
      </c>
      <c r="D1221">
        <v>7</v>
      </c>
      <c r="E1221" t="s">
        <v>21</v>
      </c>
      <c r="F1221" t="s">
        <v>44</v>
      </c>
      <c r="G1221" t="s">
        <v>124</v>
      </c>
      <c r="H1221">
        <v>12000</v>
      </c>
      <c r="I1221">
        <v>0</v>
      </c>
      <c r="J1221">
        <v>12000</v>
      </c>
      <c r="L1221">
        <v>33</v>
      </c>
      <c r="M1221">
        <v>18005</v>
      </c>
      <c r="N1221" t="s">
        <v>75</v>
      </c>
      <c r="O1221" t="s">
        <v>76</v>
      </c>
    </row>
    <row r="1222" spans="2:15" x14ac:dyDescent="0.25">
      <c r="B1222" t="s">
        <v>36</v>
      </c>
      <c r="C1222" s="4">
        <v>44750</v>
      </c>
      <c r="D1222">
        <v>7</v>
      </c>
      <c r="E1222" t="s">
        <v>16</v>
      </c>
      <c r="F1222" t="s">
        <v>17</v>
      </c>
      <c r="G1222" t="s">
        <v>124</v>
      </c>
      <c r="H1222">
        <v>0</v>
      </c>
      <c r="I1222">
        <v>12000</v>
      </c>
      <c r="J1222">
        <v>-12000</v>
      </c>
      <c r="L1222">
        <v>33</v>
      </c>
      <c r="M1222">
        <v>18005</v>
      </c>
      <c r="N1222" t="s">
        <v>75</v>
      </c>
      <c r="O1222" t="s">
        <v>76</v>
      </c>
    </row>
    <row r="1223" spans="2:15" x14ac:dyDescent="0.25">
      <c r="B1223" t="s">
        <v>36</v>
      </c>
      <c r="C1223" s="4">
        <v>44756</v>
      </c>
      <c r="D1223">
        <v>7</v>
      </c>
      <c r="E1223" t="s">
        <v>21</v>
      </c>
      <c r="F1223" t="s">
        <v>44</v>
      </c>
      <c r="G1223" t="s">
        <v>124</v>
      </c>
      <c r="H1223">
        <v>95152</v>
      </c>
      <c r="I1223">
        <v>0</v>
      </c>
      <c r="J1223">
        <v>95152</v>
      </c>
      <c r="L1223">
        <v>33</v>
      </c>
      <c r="M1223">
        <v>390768</v>
      </c>
      <c r="N1223" t="s">
        <v>51</v>
      </c>
      <c r="O1223" t="s">
        <v>52</v>
      </c>
    </row>
    <row r="1224" spans="2:15" x14ac:dyDescent="0.25">
      <c r="B1224" t="s">
        <v>36</v>
      </c>
      <c r="C1224" s="4">
        <v>44756</v>
      </c>
      <c r="D1224">
        <v>7</v>
      </c>
      <c r="E1224" t="s">
        <v>16</v>
      </c>
      <c r="F1224" t="s">
        <v>17</v>
      </c>
      <c r="G1224" t="s">
        <v>124</v>
      </c>
      <c r="H1224">
        <v>0</v>
      </c>
      <c r="I1224">
        <v>95152</v>
      </c>
      <c r="J1224">
        <v>-95152</v>
      </c>
      <c r="L1224">
        <v>33</v>
      </c>
      <c r="M1224">
        <v>390768</v>
      </c>
      <c r="N1224" t="s">
        <v>51</v>
      </c>
      <c r="O1224" t="s">
        <v>52</v>
      </c>
    </row>
    <row r="1225" spans="2:15" x14ac:dyDescent="0.25">
      <c r="B1225" t="s">
        <v>36</v>
      </c>
      <c r="C1225" s="4">
        <v>44757</v>
      </c>
      <c r="D1225">
        <v>7</v>
      </c>
      <c r="E1225" t="s">
        <v>21</v>
      </c>
      <c r="F1225" t="s">
        <v>44</v>
      </c>
      <c r="G1225" t="s">
        <v>124</v>
      </c>
      <c r="H1225">
        <v>69947</v>
      </c>
      <c r="I1225">
        <v>0</v>
      </c>
      <c r="J1225">
        <v>69947</v>
      </c>
      <c r="L1225">
        <v>33</v>
      </c>
      <c r="M1225">
        <v>176186</v>
      </c>
      <c r="N1225" t="s">
        <v>53</v>
      </c>
      <c r="O1225" t="s">
        <v>54</v>
      </c>
    </row>
    <row r="1226" spans="2:15" x14ac:dyDescent="0.25">
      <c r="B1226" t="s">
        <v>36</v>
      </c>
      <c r="C1226" s="4">
        <v>44757</v>
      </c>
      <c r="D1226">
        <v>7</v>
      </c>
      <c r="E1226" t="s">
        <v>16</v>
      </c>
      <c r="F1226" t="s">
        <v>17</v>
      </c>
      <c r="G1226" t="s">
        <v>124</v>
      </c>
      <c r="H1226">
        <v>0</v>
      </c>
      <c r="I1226">
        <v>69947</v>
      </c>
      <c r="J1226">
        <v>-69947</v>
      </c>
      <c r="L1226">
        <v>33</v>
      </c>
      <c r="M1226">
        <v>176186</v>
      </c>
      <c r="N1226" t="s">
        <v>53</v>
      </c>
      <c r="O1226" t="s">
        <v>54</v>
      </c>
    </row>
    <row r="1227" spans="2:15" x14ac:dyDescent="0.25">
      <c r="B1227" t="s">
        <v>36</v>
      </c>
      <c r="C1227" s="4">
        <v>44762</v>
      </c>
      <c r="D1227">
        <v>7</v>
      </c>
      <c r="E1227" t="s">
        <v>21</v>
      </c>
      <c r="F1227" t="s">
        <v>44</v>
      </c>
      <c r="G1227" t="s">
        <v>124</v>
      </c>
      <c r="H1227">
        <v>124104</v>
      </c>
      <c r="I1227">
        <v>0</v>
      </c>
      <c r="J1227">
        <v>124104</v>
      </c>
      <c r="L1227">
        <v>33</v>
      </c>
      <c r="M1227">
        <v>356113</v>
      </c>
      <c r="N1227" t="s">
        <v>85</v>
      </c>
      <c r="O1227" t="s">
        <v>86</v>
      </c>
    </row>
    <row r="1228" spans="2:15" x14ac:dyDescent="0.25">
      <c r="B1228" t="s">
        <v>36</v>
      </c>
      <c r="C1228" s="4">
        <v>44762</v>
      </c>
      <c r="D1228">
        <v>7</v>
      </c>
      <c r="E1228" t="s">
        <v>16</v>
      </c>
      <c r="F1228" t="s">
        <v>17</v>
      </c>
      <c r="G1228" t="s">
        <v>124</v>
      </c>
      <c r="H1228">
        <v>0</v>
      </c>
      <c r="I1228">
        <v>124104</v>
      </c>
      <c r="J1228">
        <v>-124104</v>
      </c>
      <c r="L1228">
        <v>33</v>
      </c>
      <c r="M1228">
        <v>356113</v>
      </c>
      <c r="N1228" t="s">
        <v>85</v>
      </c>
      <c r="O1228" t="s">
        <v>86</v>
      </c>
    </row>
    <row r="1229" spans="2:15" x14ac:dyDescent="0.25">
      <c r="B1229" t="s">
        <v>36</v>
      </c>
      <c r="C1229" s="4">
        <v>44758</v>
      </c>
      <c r="D1229">
        <v>7</v>
      </c>
      <c r="E1229" t="s">
        <v>21</v>
      </c>
      <c r="F1229" t="s">
        <v>44</v>
      </c>
      <c r="G1229" t="s">
        <v>124</v>
      </c>
      <c r="H1229">
        <v>42960</v>
      </c>
      <c r="I1229">
        <v>0</v>
      </c>
      <c r="J1229">
        <v>42960</v>
      </c>
      <c r="L1229">
        <v>33</v>
      </c>
      <c r="M1229">
        <v>10350611</v>
      </c>
      <c r="N1229" t="s">
        <v>57</v>
      </c>
      <c r="O1229" t="s">
        <v>58</v>
      </c>
    </row>
    <row r="1230" spans="2:15" x14ac:dyDescent="0.25">
      <c r="B1230" t="s">
        <v>36</v>
      </c>
      <c r="C1230" s="4">
        <v>44758</v>
      </c>
      <c r="D1230">
        <v>7</v>
      </c>
      <c r="E1230" t="s">
        <v>16</v>
      </c>
      <c r="F1230" t="s">
        <v>17</v>
      </c>
      <c r="G1230" t="s">
        <v>124</v>
      </c>
      <c r="H1230">
        <v>0</v>
      </c>
      <c r="I1230">
        <v>42960</v>
      </c>
      <c r="J1230">
        <v>-42960</v>
      </c>
      <c r="L1230">
        <v>33</v>
      </c>
      <c r="M1230">
        <v>10350611</v>
      </c>
      <c r="N1230" t="s">
        <v>57</v>
      </c>
      <c r="O1230" t="s">
        <v>58</v>
      </c>
    </row>
    <row r="1231" spans="2:15" x14ac:dyDescent="0.25">
      <c r="B1231" t="s">
        <v>36</v>
      </c>
      <c r="C1231" s="4">
        <v>44767</v>
      </c>
      <c r="D1231">
        <v>7</v>
      </c>
      <c r="E1231" t="s">
        <v>21</v>
      </c>
      <c r="F1231" t="s">
        <v>44</v>
      </c>
      <c r="G1231" t="s">
        <v>124</v>
      </c>
      <c r="H1231">
        <v>2574958</v>
      </c>
      <c r="I1231">
        <v>0</v>
      </c>
      <c r="J1231">
        <v>2574958</v>
      </c>
      <c r="L1231">
        <v>33</v>
      </c>
      <c r="M1231">
        <v>392204</v>
      </c>
      <c r="N1231" t="s">
        <v>51</v>
      </c>
      <c r="O1231" t="s">
        <v>52</v>
      </c>
    </row>
    <row r="1232" spans="2:15" x14ac:dyDescent="0.25">
      <c r="B1232" t="s">
        <v>36</v>
      </c>
      <c r="C1232" s="4">
        <v>44767</v>
      </c>
      <c r="D1232">
        <v>7</v>
      </c>
      <c r="E1232" t="s">
        <v>16</v>
      </c>
      <c r="F1232" t="s">
        <v>17</v>
      </c>
      <c r="G1232" t="s">
        <v>124</v>
      </c>
      <c r="H1232">
        <v>0</v>
      </c>
      <c r="I1232">
        <v>2574958</v>
      </c>
      <c r="J1232">
        <v>-2574958</v>
      </c>
      <c r="L1232">
        <v>33</v>
      </c>
      <c r="M1232">
        <v>392204</v>
      </c>
      <c r="N1232" t="s">
        <v>51</v>
      </c>
      <c r="O1232" t="s">
        <v>52</v>
      </c>
    </row>
    <row r="1233" spans="2:15" x14ac:dyDescent="0.25">
      <c r="B1233" t="s">
        <v>36</v>
      </c>
      <c r="C1233" s="4">
        <v>44768</v>
      </c>
      <c r="D1233">
        <v>7</v>
      </c>
      <c r="E1233" t="s">
        <v>21</v>
      </c>
      <c r="F1233" t="s">
        <v>44</v>
      </c>
      <c r="G1233" t="s">
        <v>124</v>
      </c>
      <c r="H1233">
        <v>87500</v>
      </c>
      <c r="I1233">
        <v>0</v>
      </c>
      <c r="J1233">
        <v>87500</v>
      </c>
      <c r="L1233">
        <v>33</v>
      </c>
      <c r="M1233">
        <v>3237</v>
      </c>
      <c r="N1233" t="s">
        <v>83</v>
      </c>
      <c r="O1233" t="s">
        <v>84</v>
      </c>
    </row>
    <row r="1234" spans="2:15" x14ac:dyDescent="0.25">
      <c r="B1234" t="s">
        <v>36</v>
      </c>
      <c r="C1234" s="4">
        <v>44768</v>
      </c>
      <c r="D1234">
        <v>7</v>
      </c>
      <c r="E1234" t="s">
        <v>16</v>
      </c>
      <c r="F1234" t="s">
        <v>17</v>
      </c>
      <c r="G1234" t="s">
        <v>124</v>
      </c>
      <c r="H1234">
        <v>0</v>
      </c>
      <c r="I1234">
        <v>87500</v>
      </c>
      <c r="J1234">
        <v>-87500</v>
      </c>
      <c r="L1234">
        <v>33</v>
      </c>
      <c r="M1234">
        <v>3237</v>
      </c>
      <c r="N1234" t="s">
        <v>83</v>
      </c>
      <c r="O1234" t="s">
        <v>84</v>
      </c>
    </row>
    <row r="1235" spans="2:15" x14ac:dyDescent="0.25">
      <c r="B1235" t="s">
        <v>36</v>
      </c>
      <c r="C1235" s="4">
        <v>44769</v>
      </c>
      <c r="D1235">
        <v>7</v>
      </c>
      <c r="E1235" t="s">
        <v>21</v>
      </c>
      <c r="F1235" t="s">
        <v>44</v>
      </c>
      <c r="G1235" t="s">
        <v>124</v>
      </c>
      <c r="H1235">
        <v>461399</v>
      </c>
      <c r="I1235">
        <v>0</v>
      </c>
      <c r="J1235">
        <v>461399</v>
      </c>
      <c r="L1235">
        <v>33</v>
      </c>
      <c r="M1235">
        <v>392719</v>
      </c>
      <c r="N1235" t="s">
        <v>51</v>
      </c>
      <c r="O1235" t="s">
        <v>52</v>
      </c>
    </row>
    <row r="1236" spans="2:15" x14ac:dyDescent="0.25">
      <c r="B1236" t="s">
        <v>36</v>
      </c>
      <c r="C1236" s="4">
        <v>44769</v>
      </c>
      <c r="D1236">
        <v>7</v>
      </c>
      <c r="E1236" t="s">
        <v>16</v>
      </c>
      <c r="F1236" t="s">
        <v>17</v>
      </c>
      <c r="G1236" t="s">
        <v>124</v>
      </c>
      <c r="H1236">
        <v>0</v>
      </c>
      <c r="I1236">
        <v>461399</v>
      </c>
      <c r="J1236">
        <v>-461399</v>
      </c>
      <c r="L1236">
        <v>33</v>
      </c>
      <c r="M1236">
        <v>392719</v>
      </c>
      <c r="N1236" t="s">
        <v>51</v>
      </c>
      <c r="O1236" t="s">
        <v>52</v>
      </c>
    </row>
    <row r="1237" spans="2:15" x14ac:dyDescent="0.25">
      <c r="B1237" t="s">
        <v>36</v>
      </c>
      <c r="C1237" s="4">
        <v>44769</v>
      </c>
      <c r="D1237">
        <v>7</v>
      </c>
      <c r="E1237" t="s">
        <v>21</v>
      </c>
      <c r="F1237" t="s">
        <v>44</v>
      </c>
      <c r="G1237" t="s">
        <v>124</v>
      </c>
      <c r="H1237">
        <v>48409</v>
      </c>
      <c r="I1237">
        <v>0</v>
      </c>
      <c r="J1237">
        <v>48409</v>
      </c>
      <c r="L1237">
        <v>33</v>
      </c>
      <c r="M1237">
        <v>392721</v>
      </c>
      <c r="N1237" t="s">
        <v>51</v>
      </c>
      <c r="O1237" t="s">
        <v>52</v>
      </c>
    </row>
    <row r="1238" spans="2:15" x14ac:dyDescent="0.25">
      <c r="B1238" t="s">
        <v>36</v>
      </c>
      <c r="C1238" s="4">
        <v>44769</v>
      </c>
      <c r="D1238">
        <v>7</v>
      </c>
      <c r="E1238" t="s">
        <v>16</v>
      </c>
      <c r="F1238" t="s">
        <v>17</v>
      </c>
      <c r="G1238" t="s">
        <v>124</v>
      </c>
      <c r="H1238">
        <v>0</v>
      </c>
      <c r="I1238">
        <v>48409</v>
      </c>
      <c r="J1238">
        <v>-48409</v>
      </c>
      <c r="L1238">
        <v>33</v>
      </c>
      <c r="M1238">
        <v>392721</v>
      </c>
      <c r="N1238" t="s">
        <v>51</v>
      </c>
      <c r="O1238" t="s">
        <v>52</v>
      </c>
    </row>
    <row r="1239" spans="2:15" x14ac:dyDescent="0.25">
      <c r="B1239" t="s">
        <v>36</v>
      </c>
      <c r="C1239" s="4">
        <v>44770</v>
      </c>
      <c r="D1239">
        <v>7</v>
      </c>
      <c r="E1239" t="s">
        <v>21</v>
      </c>
      <c r="F1239" t="s">
        <v>44</v>
      </c>
      <c r="G1239" t="s">
        <v>124</v>
      </c>
      <c r="H1239">
        <v>58334</v>
      </c>
      <c r="I1239">
        <v>0</v>
      </c>
      <c r="J1239">
        <v>58334</v>
      </c>
      <c r="L1239">
        <v>33</v>
      </c>
      <c r="M1239">
        <v>392837</v>
      </c>
      <c r="N1239" t="s">
        <v>51</v>
      </c>
      <c r="O1239" t="s">
        <v>52</v>
      </c>
    </row>
    <row r="1240" spans="2:15" x14ac:dyDescent="0.25">
      <c r="B1240" t="s">
        <v>36</v>
      </c>
      <c r="C1240" s="4">
        <v>44770</v>
      </c>
      <c r="D1240">
        <v>7</v>
      </c>
      <c r="E1240" t="s">
        <v>16</v>
      </c>
      <c r="F1240" t="s">
        <v>17</v>
      </c>
      <c r="G1240" t="s">
        <v>124</v>
      </c>
      <c r="H1240">
        <v>0</v>
      </c>
      <c r="I1240">
        <v>58334</v>
      </c>
      <c r="J1240">
        <v>-58334</v>
      </c>
      <c r="L1240">
        <v>33</v>
      </c>
      <c r="M1240">
        <v>392837</v>
      </c>
      <c r="N1240" t="s">
        <v>51</v>
      </c>
      <c r="O1240" t="s">
        <v>52</v>
      </c>
    </row>
    <row r="1241" spans="2:15" x14ac:dyDescent="0.25">
      <c r="B1241" t="s">
        <v>36</v>
      </c>
      <c r="C1241" s="4">
        <v>44770</v>
      </c>
      <c r="D1241">
        <v>7</v>
      </c>
      <c r="E1241" t="s">
        <v>21</v>
      </c>
      <c r="F1241" t="s">
        <v>44</v>
      </c>
      <c r="G1241" t="s">
        <v>124</v>
      </c>
      <c r="H1241">
        <v>115801</v>
      </c>
      <c r="I1241">
        <v>0</v>
      </c>
      <c r="J1241">
        <v>115801</v>
      </c>
      <c r="L1241">
        <v>34</v>
      </c>
      <c r="M1241">
        <v>103</v>
      </c>
      <c r="N1241" t="s">
        <v>71</v>
      </c>
      <c r="O1241" t="s">
        <v>72</v>
      </c>
    </row>
    <row r="1242" spans="2:15" x14ac:dyDescent="0.25">
      <c r="B1242" t="s">
        <v>36</v>
      </c>
      <c r="C1242" s="4">
        <v>44770</v>
      </c>
      <c r="D1242">
        <v>7</v>
      </c>
      <c r="E1242" t="s">
        <v>16</v>
      </c>
      <c r="F1242" t="s">
        <v>17</v>
      </c>
      <c r="G1242" t="s">
        <v>124</v>
      </c>
      <c r="H1242">
        <v>0</v>
      </c>
      <c r="I1242">
        <v>115801</v>
      </c>
      <c r="J1242">
        <v>-115801</v>
      </c>
      <c r="L1242">
        <v>34</v>
      </c>
      <c r="M1242">
        <v>103</v>
      </c>
      <c r="N1242" t="s">
        <v>71</v>
      </c>
      <c r="O1242" t="s">
        <v>72</v>
      </c>
    </row>
    <row r="1243" spans="2:15" x14ac:dyDescent="0.25">
      <c r="B1243" t="s">
        <v>36</v>
      </c>
      <c r="C1243" s="4">
        <v>44774</v>
      </c>
      <c r="D1243">
        <v>8</v>
      </c>
      <c r="E1243" t="s">
        <v>21</v>
      </c>
      <c r="F1243" t="s">
        <v>44</v>
      </c>
      <c r="G1243" t="s">
        <v>124</v>
      </c>
      <c r="H1243">
        <v>42495</v>
      </c>
      <c r="I1243">
        <v>0</v>
      </c>
      <c r="J1243">
        <v>42495</v>
      </c>
      <c r="L1243">
        <v>33</v>
      </c>
      <c r="M1243">
        <v>309181</v>
      </c>
      <c r="N1243" t="s">
        <v>63</v>
      </c>
      <c r="O1243" t="s">
        <v>64</v>
      </c>
    </row>
    <row r="1244" spans="2:15" x14ac:dyDescent="0.25">
      <c r="B1244" t="s">
        <v>36</v>
      </c>
      <c r="C1244" s="4">
        <v>44774</v>
      </c>
      <c r="D1244">
        <v>8</v>
      </c>
      <c r="E1244" t="s">
        <v>16</v>
      </c>
      <c r="F1244" t="s">
        <v>17</v>
      </c>
      <c r="G1244" t="s">
        <v>124</v>
      </c>
      <c r="H1244">
        <v>0</v>
      </c>
      <c r="I1244">
        <v>42495</v>
      </c>
      <c r="J1244">
        <v>-42495</v>
      </c>
      <c r="L1244">
        <v>33</v>
      </c>
      <c r="M1244">
        <v>309181</v>
      </c>
      <c r="N1244" t="s">
        <v>63</v>
      </c>
      <c r="O1244" t="s">
        <v>64</v>
      </c>
    </row>
    <row r="1245" spans="2:15" x14ac:dyDescent="0.25">
      <c r="B1245" t="s">
        <v>36</v>
      </c>
      <c r="C1245" s="4">
        <v>44774</v>
      </c>
      <c r="D1245">
        <v>8</v>
      </c>
      <c r="E1245" t="s">
        <v>21</v>
      </c>
      <c r="F1245" t="s">
        <v>44</v>
      </c>
      <c r="G1245" t="s">
        <v>124</v>
      </c>
      <c r="H1245">
        <v>21247</v>
      </c>
      <c r="I1245">
        <v>0</v>
      </c>
      <c r="J1245">
        <v>21247</v>
      </c>
      <c r="L1245">
        <v>33</v>
      </c>
      <c r="M1245">
        <v>309185</v>
      </c>
      <c r="N1245" t="s">
        <v>63</v>
      </c>
      <c r="O1245" t="s">
        <v>64</v>
      </c>
    </row>
    <row r="1246" spans="2:15" x14ac:dyDescent="0.25">
      <c r="B1246" t="s">
        <v>36</v>
      </c>
      <c r="C1246" s="4">
        <v>44774</v>
      </c>
      <c r="D1246">
        <v>8</v>
      </c>
      <c r="E1246" t="s">
        <v>16</v>
      </c>
      <c r="F1246" t="s">
        <v>17</v>
      </c>
      <c r="G1246" t="s">
        <v>124</v>
      </c>
      <c r="H1246">
        <v>0</v>
      </c>
      <c r="I1246">
        <v>21247</v>
      </c>
      <c r="J1246">
        <v>-21247</v>
      </c>
      <c r="L1246">
        <v>33</v>
      </c>
      <c r="M1246">
        <v>309185</v>
      </c>
      <c r="N1246" t="s">
        <v>63</v>
      </c>
      <c r="O1246" t="s">
        <v>64</v>
      </c>
    </row>
    <row r="1247" spans="2:15" x14ac:dyDescent="0.25">
      <c r="B1247" t="s">
        <v>36</v>
      </c>
      <c r="C1247" s="4">
        <v>44774</v>
      </c>
      <c r="D1247">
        <v>8</v>
      </c>
      <c r="E1247" t="s">
        <v>21</v>
      </c>
      <c r="F1247" t="s">
        <v>44</v>
      </c>
      <c r="G1247" t="s">
        <v>124</v>
      </c>
      <c r="H1247">
        <v>11800</v>
      </c>
      <c r="I1247">
        <v>0</v>
      </c>
      <c r="J1247">
        <v>11800</v>
      </c>
      <c r="L1247">
        <v>33</v>
      </c>
      <c r="M1247">
        <v>208</v>
      </c>
      <c r="N1247" t="s">
        <v>99</v>
      </c>
      <c r="O1247" t="s">
        <v>100</v>
      </c>
    </row>
    <row r="1248" spans="2:15" x14ac:dyDescent="0.25">
      <c r="B1248" t="s">
        <v>36</v>
      </c>
      <c r="C1248" s="4">
        <v>44774</v>
      </c>
      <c r="D1248">
        <v>8</v>
      </c>
      <c r="E1248" t="s">
        <v>16</v>
      </c>
      <c r="F1248" t="s">
        <v>17</v>
      </c>
      <c r="G1248" t="s">
        <v>124</v>
      </c>
      <c r="H1248">
        <v>0</v>
      </c>
      <c r="I1248">
        <v>11800</v>
      </c>
      <c r="J1248">
        <v>-11800</v>
      </c>
      <c r="L1248">
        <v>33</v>
      </c>
      <c r="M1248">
        <v>208</v>
      </c>
      <c r="N1248" t="s">
        <v>99</v>
      </c>
      <c r="O1248" t="s">
        <v>100</v>
      </c>
    </row>
    <row r="1249" spans="2:15" x14ac:dyDescent="0.25">
      <c r="B1249" t="s">
        <v>36</v>
      </c>
      <c r="C1249" s="4">
        <v>44775</v>
      </c>
      <c r="D1249">
        <v>8</v>
      </c>
      <c r="E1249" t="s">
        <v>21</v>
      </c>
      <c r="F1249" t="s">
        <v>44</v>
      </c>
      <c r="G1249" t="s">
        <v>124</v>
      </c>
      <c r="H1249">
        <v>83796</v>
      </c>
      <c r="I1249">
        <v>0</v>
      </c>
      <c r="J1249">
        <v>83796</v>
      </c>
      <c r="L1249">
        <v>33</v>
      </c>
      <c r="M1249">
        <v>357215</v>
      </c>
      <c r="N1249" t="s">
        <v>85</v>
      </c>
      <c r="O1249" t="s">
        <v>86</v>
      </c>
    </row>
    <row r="1250" spans="2:15" x14ac:dyDescent="0.25">
      <c r="B1250" t="s">
        <v>36</v>
      </c>
      <c r="C1250" s="4">
        <v>44775</v>
      </c>
      <c r="D1250">
        <v>8</v>
      </c>
      <c r="E1250" t="s">
        <v>16</v>
      </c>
      <c r="F1250" t="s">
        <v>17</v>
      </c>
      <c r="G1250" t="s">
        <v>124</v>
      </c>
      <c r="H1250">
        <v>0</v>
      </c>
      <c r="I1250">
        <v>83796</v>
      </c>
      <c r="J1250">
        <v>-83796</v>
      </c>
      <c r="L1250">
        <v>33</v>
      </c>
      <c r="M1250">
        <v>357215</v>
      </c>
      <c r="N1250" t="s">
        <v>85</v>
      </c>
      <c r="O1250" t="s">
        <v>86</v>
      </c>
    </row>
    <row r="1251" spans="2:15" x14ac:dyDescent="0.25">
      <c r="B1251" t="s">
        <v>36</v>
      </c>
      <c r="C1251" s="4">
        <v>44776</v>
      </c>
      <c r="D1251">
        <v>8</v>
      </c>
      <c r="E1251" t="s">
        <v>21</v>
      </c>
      <c r="F1251" t="s">
        <v>44</v>
      </c>
      <c r="G1251" t="s">
        <v>124</v>
      </c>
      <c r="H1251">
        <v>257464</v>
      </c>
      <c r="I1251">
        <v>0</v>
      </c>
      <c r="J1251">
        <v>257464</v>
      </c>
      <c r="L1251">
        <v>33</v>
      </c>
      <c r="M1251">
        <v>34874</v>
      </c>
      <c r="N1251" t="s">
        <v>81</v>
      </c>
      <c r="O1251" t="s">
        <v>82</v>
      </c>
    </row>
    <row r="1252" spans="2:15" x14ac:dyDescent="0.25">
      <c r="B1252" t="s">
        <v>36</v>
      </c>
      <c r="C1252" s="4">
        <v>44776</v>
      </c>
      <c r="D1252">
        <v>8</v>
      </c>
      <c r="E1252" t="s">
        <v>16</v>
      </c>
      <c r="F1252" t="s">
        <v>17</v>
      </c>
      <c r="G1252" t="s">
        <v>124</v>
      </c>
      <c r="H1252">
        <v>0</v>
      </c>
      <c r="I1252">
        <v>257464</v>
      </c>
      <c r="J1252">
        <v>-257464</v>
      </c>
      <c r="L1252">
        <v>33</v>
      </c>
      <c r="M1252">
        <v>34874</v>
      </c>
      <c r="N1252" t="s">
        <v>81</v>
      </c>
      <c r="O1252" t="s">
        <v>82</v>
      </c>
    </row>
    <row r="1253" spans="2:15" x14ac:dyDescent="0.25">
      <c r="B1253" t="s">
        <v>36</v>
      </c>
      <c r="C1253" s="4">
        <v>44776</v>
      </c>
      <c r="D1253">
        <v>8</v>
      </c>
      <c r="E1253" t="s">
        <v>21</v>
      </c>
      <c r="F1253" t="s">
        <v>44</v>
      </c>
      <c r="G1253" t="s">
        <v>124</v>
      </c>
      <c r="H1253">
        <v>17814</v>
      </c>
      <c r="I1253">
        <v>0</v>
      </c>
      <c r="J1253">
        <v>17814</v>
      </c>
      <c r="L1253">
        <v>33</v>
      </c>
      <c r="M1253">
        <v>393527</v>
      </c>
      <c r="N1253" t="s">
        <v>51</v>
      </c>
      <c r="O1253" t="s">
        <v>52</v>
      </c>
    </row>
    <row r="1254" spans="2:15" x14ac:dyDescent="0.25">
      <c r="B1254" t="s">
        <v>36</v>
      </c>
      <c r="C1254" s="4">
        <v>44776</v>
      </c>
      <c r="D1254">
        <v>8</v>
      </c>
      <c r="E1254" t="s">
        <v>16</v>
      </c>
      <c r="F1254" t="s">
        <v>17</v>
      </c>
      <c r="G1254" t="s">
        <v>124</v>
      </c>
      <c r="H1254">
        <v>0</v>
      </c>
      <c r="I1254">
        <v>17814</v>
      </c>
      <c r="J1254">
        <v>-17814</v>
      </c>
      <c r="L1254">
        <v>33</v>
      </c>
      <c r="M1254">
        <v>393527</v>
      </c>
      <c r="N1254" t="s">
        <v>51</v>
      </c>
      <c r="O1254" t="s">
        <v>52</v>
      </c>
    </row>
    <row r="1255" spans="2:15" x14ac:dyDescent="0.25">
      <c r="B1255" t="s">
        <v>36</v>
      </c>
      <c r="C1255" s="4">
        <v>44778</v>
      </c>
      <c r="D1255">
        <v>8</v>
      </c>
      <c r="E1255" t="s">
        <v>21</v>
      </c>
      <c r="F1255" t="s">
        <v>44</v>
      </c>
      <c r="G1255" t="s">
        <v>124</v>
      </c>
      <c r="H1255">
        <v>27989</v>
      </c>
      <c r="I1255">
        <v>0</v>
      </c>
      <c r="J1255">
        <v>27989</v>
      </c>
      <c r="L1255">
        <v>33</v>
      </c>
      <c r="M1255">
        <v>393868</v>
      </c>
      <c r="N1255" t="s">
        <v>51</v>
      </c>
      <c r="O1255" t="s">
        <v>52</v>
      </c>
    </row>
    <row r="1256" spans="2:15" x14ac:dyDescent="0.25">
      <c r="B1256" t="s">
        <v>36</v>
      </c>
      <c r="C1256" s="4">
        <v>44778</v>
      </c>
      <c r="D1256">
        <v>8</v>
      </c>
      <c r="E1256" t="s">
        <v>16</v>
      </c>
      <c r="F1256" t="s">
        <v>17</v>
      </c>
      <c r="G1256" t="s">
        <v>124</v>
      </c>
      <c r="H1256">
        <v>0</v>
      </c>
      <c r="I1256">
        <v>27989</v>
      </c>
      <c r="J1256">
        <v>-27989</v>
      </c>
      <c r="L1256">
        <v>33</v>
      </c>
      <c r="M1256">
        <v>393868</v>
      </c>
      <c r="N1256" t="s">
        <v>51</v>
      </c>
      <c r="O1256" t="s">
        <v>52</v>
      </c>
    </row>
    <row r="1257" spans="2:15" x14ac:dyDescent="0.25">
      <c r="B1257" t="s">
        <v>36</v>
      </c>
      <c r="C1257" s="4">
        <v>44782</v>
      </c>
      <c r="D1257">
        <v>8</v>
      </c>
      <c r="E1257" t="s">
        <v>21</v>
      </c>
      <c r="F1257" t="s">
        <v>44</v>
      </c>
      <c r="G1257" t="s">
        <v>124</v>
      </c>
      <c r="H1257">
        <v>11800</v>
      </c>
      <c r="I1257">
        <v>0</v>
      </c>
      <c r="J1257">
        <v>11800</v>
      </c>
      <c r="L1257">
        <v>33</v>
      </c>
      <c r="M1257">
        <v>31</v>
      </c>
      <c r="N1257" t="s">
        <v>91</v>
      </c>
      <c r="O1257" t="s">
        <v>92</v>
      </c>
    </row>
    <row r="1258" spans="2:15" x14ac:dyDescent="0.25">
      <c r="B1258" t="s">
        <v>36</v>
      </c>
      <c r="C1258" s="4">
        <v>44782</v>
      </c>
      <c r="D1258">
        <v>8</v>
      </c>
      <c r="E1258" t="s">
        <v>16</v>
      </c>
      <c r="F1258" t="s">
        <v>17</v>
      </c>
      <c r="G1258" t="s">
        <v>124</v>
      </c>
      <c r="H1258">
        <v>0</v>
      </c>
      <c r="I1258">
        <v>11800</v>
      </c>
      <c r="J1258">
        <v>-11800</v>
      </c>
      <c r="L1258">
        <v>33</v>
      </c>
      <c r="M1258">
        <v>31</v>
      </c>
      <c r="N1258" t="s">
        <v>91</v>
      </c>
      <c r="O1258" t="s">
        <v>92</v>
      </c>
    </row>
    <row r="1259" spans="2:15" x14ac:dyDescent="0.25">
      <c r="B1259" t="s">
        <v>36</v>
      </c>
      <c r="C1259" s="4">
        <v>44784</v>
      </c>
      <c r="D1259">
        <v>8</v>
      </c>
      <c r="E1259" t="s">
        <v>21</v>
      </c>
      <c r="F1259" t="s">
        <v>44</v>
      </c>
      <c r="G1259" t="s">
        <v>124</v>
      </c>
      <c r="H1259">
        <v>56049</v>
      </c>
      <c r="I1259">
        <v>0</v>
      </c>
      <c r="J1259">
        <v>56049</v>
      </c>
      <c r="L1259">
        <v>33</v>
      </c>
      <c r="M1259">
        <v>952</v>
      </c>
      <c r="N1259" t="s">
        <v>73</v>
      </c>
      <c r="O1259" t="s">
        <v>74</v>
      </c>
    </row>
    <row r="1260" spans="2:15" x14ac:dyDescent="0.25">
      <c r="B1260" t="s">
        <v>36</v>
      </c>
      <c r="C1260" s="4">
        <v>44784</v>
      </c>
      <c r="D1260">
        <v>8</v>
      </c>
      <c r="E1260" t="s">
        <v>16</v>
      </c>
      <c r="F1260" t="s">
        <v>17</v>
      </c>
      <c r="G1260" t="s">
        <v>124</v>
      </c>
      <c r="H1260">
        <v>0</v>
      </c>
      <c r="I1260">
        <v>56049</v>
      </c>
      <c r="J1260">
        <v>-56049</v>
      </c>
      <c r="L1260">
        <v>33</v>
      </c>
      <c r="M1260">
        <v>952</v>
      </c>
      <c r="N1260" t="s">
        <v>73</v>
      </c>
      <c r="O1260" t="s">
        <v>74</v>
      </c>
    </row>
    <row r="1261" spans="2:15" x14ac:dyDescent="0.25">
      <c r="B1261" t="s">
        <v>36</v>
      </c>
      <c r="C1261" s="4">
        <v>44784</v>
      </c>
      <c r="D1261">
        <v>8</v>
      </c>
      <c r="E1261" t="s">
        <v>21</v>
      </c>
      <c r="F1261" t="s">
        <v>44</v>
      </c>
      <c r="G1261" t="s">
        <v>124</v>
      </c>
      <c r="H1261">
        <v>60726</v>
      </c>
      <c r="I1261">
        <v>0</v>
      </c>
      <c r="J1261">
        <v>60726</v>
      </c>
      <c r="L1261">
        <v>33</v>
      </c>
      <c r="M1261">
        <v>394705</v>
      </c>
      <c r="N1261" t="s">
        <v>51</v>
      </c>
      <c r="O1261" t="s">
        <v>52</v>
      </c>
    </row>
    <row r="1262" spans="2:15" x14ac:dyDescent="0.25">
      <c r="B1262" t="s">
        <v>36</v>
      </c>
      <c r="C1262" s="4">
        <v>44784</v>
      </c>
      <c r="D1262">
        <v>8</v>
      </c>
      <c r="E1262" t="s">
        <v>16</v>
      </c>
      <c r="F1262" t="s">
        <v>17</v>
      </c>
      <c r="G1262" t="s">
        <v>124</v>
      </c>
      <c r="H1262">
        <v>0</v>
      </c>
      <c r="I1262">
        <v>60726</v>
      </c>
      <c r="J1262">
        <v>-60726</v>
      </c>
      <c r="L1262">
        <v>33</v>
      </c>
      <c r="M1262">
        <v>394705</v>
      </c>
      <c r="N1262" t="s">
        <v>51</v>
      </c>
      <c r="O1262" t="s">
        <v>52</v>
      </c>
    </row>
    <row r="1263" spans="2:15" x14ac:dyDescent="0.25">
      <c r="B1263" t="s">
        <v>36</v>
      </c>
      <c r="C1263" s="4">
        <v>44784</v>
      </c>
      <c r="D1263">
        <v>8</v>
      </c>
      <c r="E1263" t="s">
        <v>21</v>
      </c>
      <c r="F1263" t="s">
        <v>44</v>
      </c>
      <c r="G1263" t="s">
        <v>124</v>
      </c>
      <c r="H1263">
        <v>185253</v>
      </c>
      <c r="I1263">
        <v>0</v>
      </c>
      <c r="J1263">
        <v>185253</v>
      </c>
      <c r="L1263">
        <v>33</v>
      </c>
      <c r="M1263">
        <v>690593</v>
      </c>
      <c r="N1263" t="s">
        <v>49</v>
      </c>
      <c r="O1263" t="s">
        <v>50</v>
      </c>
    </row>
    <row r="1264" spans="2:15" x14ac:dyDescent="0.25">
      <c r="B1264" t="s">
        <v>36</v>
      </c>
      <c r="C1264" s="4">
        <v>44784</v>
      </c>
      <c r="D1264">
        <v>8</v>
      </c>
      <c r="E1264" t="s">
        <v>16</v>
      </c>
      <c r="F1264" t="s">
        <v>17</v>
      </c>
      <c r="G1264" t="s">
        <v>124</v>
      </c>
      <c r="H1264">
        <v>0</v>
      </c>
      <c r="I1264">
        <v>185253</v>
      </c>
      <c r="J1264">
        <v>-185253</v>
      </c>
      <c r="L1264">
        <v>33</v>
      </c>
      <c r="M1264">
        <v>690593</v>
      </c>
      <c r="N1264" t="s">
        <v>49</v>
      </c>
      <c r="O1264" t="s">
        <v>50</v>
      </c>
    </row>
    <row r="1265" spans="2:15" x14ac:dyDescent="0.25">
      <c r="B1265" t="s">
        <v>36</v>
      </c>
      <c r="C1265" s="4">
        <v>44785</v>
      </c>
      <c r="D1265">
        <v>8</v>
      </c>
      <c r="E1265" t="s">
        <v>21</v>
      </c>
      <c r="F1265" t="s">
        <v>44</v>
      </c>
      <c r="G1265" t="s">
        <v>124</v>
      </c>
      <c r="H1265">
        <v>150559</v>
      </c>
      <c r="I1265">
        <v>0</v>
      </c>
      <c r="J1265">
        <v>150559</v>
      </c>
      <c r="L1265">
        <v>33</v>
      </c>
      <c r="M1265">
        <v>394870</v>
      </c>
      <c r="N1265" t="s">
        <v>51</v>
      </c>
      <c r="O1265" t="s">
        <v>52</v>
      </c>
    </row>
    <row r="1266" spans="2:15" x14ac:dyDescent="0.25">
      <c r="B1266" t="s">
        <v>36</v>
      </c>
      <c r="C1266" s="4">
        <v>44785</v>
      </c>
      <c r="D1266">
        <v>8</v>
      </c>
      <c r="E1266" t="s">
        <v>16</v>
      </c>
      <c r="F1266" t="s">
        <v>17</v>
      </c>
      <c r="G1266" t="s">
        <v>124</v>
      </c>
      <c r="H1266">
        <v>0</v>
      </c>
      <c r="I1266">
        <v>150559</v>
      </c>
      <c r="J1266">
        <v>-150559</v>
      </c>
      <c r="L1266">
        <v>33</v>
      </c>
      <c r="M1266">
        <v>394870</v>
      </c>
      <c r="N1266" t="s">
        <v>51</v>
      </c>
      <c r="O1266" t="s">
        <v>52</v>
      </c>
    </row>
    <row r="1267" spans="2:15" x14ac:dyDescent="0.25">
      <c r="B1267" t="s">
        <v>36</v>
      </c>
      <c r="C1267" s="4">
        <v>44785</v>
      </c>
      <c r="D1267">
        <v>8</v>
      </c>
      <c r="E1267" t="s">
        <v>21</v>
      </c>
      <c r="F1267" t="s">
        <v>44</v>
      </c>
      <c r="G1267" t="s">
        <v>124</v>
      </c>
      <c r="H1267">
        <v>163601</v>
      </c>
      <c r="I1267">
        <v>0</v>
      </c>
      <c r="J1267">
        <v>163601</v>
      </c>
      <c r="L1267">
        <v>33</v>
      </c>
      <c r="M1267">
        <v>394873</v>
      </c>
      <c r="N1267" t="s">
        <v>51</v>
      </c>
      <c r="O1267" t="s">
        <v>52</v>
      </c>
    </row>
    <row r="1268" spans="2:15" x14ac:dyDescent="0.25">
      <c r="B1268" t="s">
        <v>36</v>
      </c>
      <c r="C1268" s="4">
        <v>44785</v>
      </c>
      <c r="D1268">
        <v>8</v>
      </c>
      <c r="E1268" t="s">
        <v>16</v>
      </c>
      <c r="F1268" t="s">
        <v>17</v>
      </c>
      <c r="G1268" t="s">
        <v>124</v>
      </c>
      <c r="H1268">
        <v>0</v>
      </c>
      <c r="I1268">
        <v>163601</v>
      </c>
      <c r="J1268">
        <v>-163601</v>
      </c>
      <c r="L1268">
        <v>33</v>
      </c>
      <c r="M1268">
        <v>394873</v>
      </c>
      <c r="N1268" t="s">
        <v>51</v>
      </c>
      <c r="O1268" t="s">
        <v>52</v>
      </c>
    </row>
    <row r="1269" spans="2:15" x14ac:dyDescent="0.25">
      <c r="B1269" t="s">
        <v>36</v>
      </c>
      <c r="C1269" s="4">
        <v>44785</v>
      </c>
      <c r="D1269">
        <v>8</v>
      </c>
      <c r="E1269" t="s">
        <v>21</v>
      </c>
      <c r="F1269" t="s">
        <v>44</v>
      </c>
      <c r="G1269" t="s">
        <v>124</v>
      </c>
      <c r="H1269">
        <v>349931</v>
      </c>
      <c r="I1269">
        <v>0</v>
      </c>
      <c r="J1269">
        <v>349931</v>
      </c>
      <c r="L1269">
        <v>33</v>
      </c>
      <c r="M1269">
        <v>394874</v>
      </c>
      <c r="N1269" t="s">
        <v>51</v>
      </c>
      <c r="O1269" t="s">
        <v>52</v>
      </c>
    </row>
    <row r="1270" spans="2:15" x14ac:dyDescent="0.25">
      <c r="B1270" t="s">
        <v>36</v>
      </c>
      <c r="C1270" s="4">
        <v>44785</v>
      </c>
      <c r="D1270">
        <v>8</v>
      </c>
      <c r="E1270" t="s">
        <v>16</v>
      </c>
      <c r="F1270" t="s">
        <v>17</v>
      </c>
      <c r="G1270" t="s">
        <v>124</v>
      </c>
      <c r="H1270">
        <v>0</v>
      </c>
      <c r="I1270">
        <v>349931</v>
      </c>
      <c r="J1270">
        <v>-349931</v>
      </c>
      <c r="L1270">
        <v>33</v>
      </c>
      <c r="M1270">
        <v>394874</v>
      </c>
      <c r="N1270" t="s">
        <v>51</v>
      </c>
      <c r="O1270" t="s">
        <v>52</v>
      </c>
    </row>
    <row r="1271" spans="2:15" x14ac:dyDescent="0.25">
      <c r="B1271" t="s">
        <v>36</v>
      </c>
      <c r="C1271" s="4">
        <v>44785</v>
      </c>
      <c r="D1271">
        <v>8</v>
      </c>
      <c r="E1271" t="s">
        <v>21</v>
      </c>
      <c r="F1271" t="s">
        <v>44</v>
      </c>
      <c r="G1271" t="s">
        <v>124</v>
      </c>
      <c r="H1271">
        <v>94641</v>
      </c>
      <c r="I1271">
        <v>0</v>
      </c>
      <c r="J1271">
        <v>94641</v>
      </c>
      <c r="L1271">
        <v>33</v>
      </c>
      <c r="M1271">
        <v>394872</v>
      </c>
      <c r="N1271" t="s">
        <v>51</v>
      </c>
      <c r="O1271" t="s">
        <v>52</v>
      </c>
    </row>
    <row r="1272" spans="2:15" x14ac:dyDescent="0.25">
      <c r="B1272" t="s">
        <v>36</v>
      </c>
      <c r="C1272" s="4">
        <v>44785</v>
      </c>
      <c r="D1272">
        <v>8</v>
      </c>
      <c r="E1272" t="s">
        <v>16</v>
      </c>
      <c r="F1272" t="s">
        <v>17</v>
      </c>
      <c r="G1272" t="s">
        <v>124</v>
      </c>
      <c r="H1272">
        <v>0</v>
      </c>
      <c r="I1272">
        <v>94641</v>
      </c>
      <c r="J1272">
        <v>-94641</v>
      </c>
      <c r="L1272">
        <v>33</v>
      </c>
      <c r="M1272">
        <v>394872</v>
      </c>
      <c r="N1272" t="s">
        <v>51</v>
      </c>
      <c r="O1272" t="s">
        <v>52</v>
      </c>
    </row>
    <row r="1273" spans="2:15" x14ac:dyDescent="0.25">
      <c r="B1273" t="s">
        <v>36</v>
      </c>
      <c r="C1273" s="4">
        <v>44785</v>
      </c>
      <c r="D1273">
        <v>8</v>
      </c>
      <c r="E1273" t="s">
        <v>21</v>
      </c>
      <c r="F1273" t="s">
        <v>44</v>
      </c>
      <c r="G1273" t="s">
        <v>124</v>
      </c>
      <c r="H1273">
        <v>59748</v>
      </c>
      <c r="I1273">
        <v>0</v>
      </c>
      <c r="J1273">
        <v>59748</v>
      </c>
      <c r="L1273">
        <v>33</v>
      </c>
      <c r="M1273">
        <v>690826</v>
      </c>
      <c r="N1273" t="s">
        <v>49</v>
      </c>
      <c r="O1273" t="s">
        <v>50</v>
      </c>
    </row>
    <row r="1274" spans="2:15" x14ac:dyDescent="0.25">
      <c r="B1274" t="s">
        <v>36</v>
      </c>
      <c r="C1274" s="4">
        <v>44785</v>
      </c>
      <c r="D1274">
        <v>8</v>
      </c>
      <c r="E1274" t="s">
        <v>16</v>
      </c>
      <c r="F1274" t="s">
        <v>17</v>
      </c>
      <c r="G1274" t="s">
        <v>124</v>
      </c>
      <c r="H1274">
        <v>0</v>
      </c>
      <c r="I1274">
        <v>59748</v>
      </c>
      <c r="J1274">
        <v>-59748</v>
      </c>
      <c r="L1274">
        <v>33</v>
      </c>
      <c r="M1274">
        <v>690826</v>
      </c>
      <c r="N1274" t="s">
        <v>49</v>
      </c>
      <c r="O1274" t="s">
        <v>50</v>
      </c>
    </row>
    <row r="1275" spans="2:15" x14ac:dyDescent="0.25">
      <c r="B1275" t="s">
        <v>36</v>
      </c>
      <c r="C1275" s="4">
        <v>44789</v>
      </c>
      <c r="D1275">
        <v>8</v>
      </c>
      <c r="E1275" t="s">
        <v>21</v>
      </c>
      <c r="F1275" t="s">
        <v>44</v>
      </c>
      <c r="G1275" t="s">
        <v>124</v>
      </c>
      <c r="H1275">
        <v>81646</v>
      </c>
      <c r="I1275">
        <v>0</v>
      </c>
      <c r="J1275">
        <v>81646</v>
      </c>
      <c r="L1275">
        <v>33</v>
      </c>
      <c r="M1275">
        <v>395181</v>
      </c>
      <c r="N1275" t="s">
        <v>51</v>
      </c>
      <c r="O1275" t="s">
        <v>52</v>
      </c>
    </row>
    <row r="1276" spans="2:15" x14ac:dyDescent="0.25">
      <c r="B1276" t="s">
        <v>36</v>
      </c>
      <c r="C1276" s="4">
        <v>44789</v>
      </c>
      <c r="D1276">
        <v>8</v>
      </c>
      <c r="E1276" t="s">
        <v>16</v>
      </c>
      <c r="F1276" t="s">
        <v>17</v>
      </c>
      <c r="G1276" t="s">
        <v>124</v>
      </c>
      <c r="H1276">
        <v>0</v>
      </c>
      <c r="I1276">
        <v>81646</v>
      </c>
      <c r="J1276">
        <v>-81646</v>
      </c>
      <c r="L1276">
        <v>33</v>
      </c>
      <c r="M1276">
        <v>395181</v>
      </c>
      <c r="N1276" t="s">
        <v>51</v>
      </c>
      <c r="O1276" t="s">
        <v>52</v>
      </c>
    </row>
    <row r="1277" spans="2:15" x14ac:dyDescent="0.25">
      <c r="B1277" t="s">
        <v>36</v>
      </c>
      <c r="C1277" s="4">
        <v>44790</v>
      </c>
      <c r="D1277">
        <v>8</v>
      </c>
      <c r="E1277" t="s">
        <v>21</v>
      </c>
      <c r="F1277" t="s">
        <v>44</v>
      </c>
      <c r="G1277" t="s">
        <v>124</v>
      </c>
      <c r="H1277">
        <v>139885</v>
      </c>
      <c r="I1277">
        <v>0</v>
      </c>
      <c r="J1277">
        <v>139885</v>
      </c>
      <c r="L1277">
        <v>33</v>
      </c>
      <c r="M1277">
        <v>395280</v>
      </c>
      <c r="N1277" t="s">
        <v>51</v>
      </c>
      <c r="O1277" t="s">
        <v>52</v>
      </c>
    </row>
    <row r="1278" spans="2:15" x14ac:dyDescent="0.25">
      <c r="B1278" t="s">
        <v>36</v>
      </c>
      <c r="C1278" s="4">
        <v>44790</v>
      </c>
      <c r="D1278">
        <v>8</v>
      </c>
      <c r="E1278" t="s">
        <v>16</v>
      </c>
      <c r="F1278" t="s">
        <v>17</v>
      </c>
      <c r="G1278" t="s">
        <v>124</v>
      </c>
      <c r="H1278">
        <v>0</v>
      </c>
      <c r="I1278">
        <v>139885</v>
      </c>
      <c r="J1278">
        <v>-139885</v>
      </c>
      <c r="L1278">
        <v>33</v>
      </c>
      <c r="M1278">
        <v>395280</v>
      </c>
      <c r="N1278" t="s">
        <v>51</v>
      </c>
      <c r="O1278" t="s">
        <v>52</v>
      </c>
    </row>
    <row r="1279" spans="2:15" x14ac:dyDescent="0.25">
      <c r="B1279" t="s">
        <v>36</v>
      </c>
      <c r="C1279" s="4">
        <v>44792</v>
      </c>
      <c r="D1279">
        <v>8</v>
      </c>
      <c r="E1279" t="s">
        <v>21</v>
      </c>
      <c r="F1279" t="s">
        <v>44</v>
      </c>
      <c r="G1279" t="s">
        <v>124</v>
      </c>
      <c r="H1279">
        <v>524909</v>
      </c>
      <c r="I1279">
        <v>0</v>
      </c>
      <c r="J1279">
        <v>524909</v>
      </c>
      <c r="L1279">
        <v>33</v>
      </c>
      <c r="M1279">
        <v>395591</v>
      </c>
      <c r="N1279" t="s">
        <v>51</v>
      </c>
      <c r="O1279" t="s">
        <v>52</v>
      </c>
    </row>
    <row r="1280" spans="2:15" x14ac:dyDescent="0.25">
      <c r="B1280" t="s">
        <v>36</v>
      </c>
      <c r="C1280" s="4">
        <v>44792</v>
      </c>
      <c r="D1280">
        <v>8</v>
      </c>
      <c r="E1280" t="s">
        <v>16</v>
      </c>
      <c r="F1280" t="s">
        <v>17</v>
      </c>
      <c r="G1280" t="s">
        <v>124</v>
      </c>
      <c r="H1280">
        <v>0</v>
      </c>
      <c r="I1280">
        <v>524909</v>
      </c>
      <c r="J1280">
        <v>-524909</v>
      </c>
      <c r="L1280">
        <v>33</v>
      </c>
      <c r="M1280">
        <v>395591</v>
      </c>
      <c r="N1280" t="s">
        <v>51</v>
      </c>
      <c r="O1280" t="s">
        <v>52</v>
      </c>
    </row>
    <row r="1281" spans="2:15" x14ac:dyDescent="0.25">
      <c r="B1281" t="s">
        <v>36</v>
      </c>
      <c r="C1281" s="4">
        <v>44792</v>
      </c>
      <c r="D1281">
        <v>8</v>
      </c>
      <c r="E1281" t="s">
        <v>21</v>
      </c>
      <c r="F1281" t="s">
        <v>44</v>
      </c>
      <c r="G1281" t="s">
        <v>124</v>
      </c>
      <c r="H1281">
        <v>9000</v>
      </c>
      <c r="I1281">
        <v>0</v>
      </c>
      <c r="J1281">
        <v>9000</v>
      </c>
      <c r="L1281">
        <v>33</v>
      </c>
      <c r="M1281">
        <v>12141</v>
      </c>
      <c r="N1281" t="s">
        <v>101</v>
      </c>
      <c r="O1281" t="s">
        <v>102</v>
      </c>
    </row>
    <row r="1282" spans="2:15" x14ac:dyDescent="0.25">
      <c r="B1282" t="s">
        <v>36</v>
      </c>
      <c r="C1282" s="4">
        <v>44792</v>
      </c>
      <c r="D1282">
        <v>8</v>
      </c>
      <c r="E1282" t="s">
        <v>16</v>
      </c>
      <c r="F1282" t="s">
        <v>17</v>
      </c>
      <c r="G1282" t="s">
        <v>124</v>
      </c>
      <c r="H1282">
        <v>0</v>
      </c>
      <c r="I1282">
        <v>9000</v>
      </c>
      <c r="J1282">
        <v>-9000</v>
      </c>
      <c r="L1282">
        <v>33</v>
      </c>
      <c r="M1282">
        <v>12141</v>
      </c>
      <c r="N1282" t="s">
        <v>101</v>
      </c>
      <c r="O1282" t="s">
        <v>102</v>
      </c>
    </row>
    <row r="1283" spans="2:15" x14ac:dyDescent="0.25">
      <c r="B1283" t="s">
        <v>36</v>
      </c>
      <c r="C1283" s="4">
        <v>44792</v>
      </c>
      <c r="D1283">
        <v>8</v>
      </c>
      <c r="E1283" t="s">
        <v>21</v>
      </c>
      <c r="F1283" t="s">
        <v>44</v>
      </c>
      <c r="G1283" t="s">
        <v>124</v>
      </c>
      <c r="H1283">
        <v>19057</v>
      </c>
      <c r="I1283">
        <v>0</v>
      </c>
      <c r="J1283">
        <v>19057</v>
      </c>
      <c r="L1283">
        <v>33</v>
      </c>
      <c r="M1283">
        <v>1004</v>
      </c>
      <c r="N1283" t="s">
        <v>73</v>
      </c>
      <c r="O1283" t="s">
        <v>74</v>
      </c>
    </row>
    <row r="1284" spans="2:15" x14ac:dyDescent="0.25">
      <c r="B1284" t="s">
        <v>36</v>
      </c>
      <c r="C1284" s="4">
        <v>44792</v>
      </c>
      <c r="D1284">
        <v>8</v>
      </c>
      <c r="E1284" t="s">
        <v>16</v>
      </c>
      <c r="F1284" t="s">
        <v>17</v>
      </c>
      <c r="G1284" t="s">
        <v>124</v>
      </c>
      <c r="H1284">
        <v>0</v>
      </c>
      <c r="I1284">
        <v>19057</v>
      </c>
      <c r="J1284">
        <v>-19057</v>
      </c>
      <c r="L1284">
        <v>33</v>
      </c>
      <c r="M1284">
        <v>1004</v>
      </c>
      <c r="N1284" t="s">
        <v>73</v>
      </c>
      <c r="O1284" t="s">
        <v>74</v>
      </c>
    </row>
    <row r="1285" spans="2:15" x14ac:dyDescent="0.25">
      <c r="B1285" t="s">
        <v>36</v>
      </c>
      <c r="C1285" s="4">
        <v>44789</v>
      </c>
      <c r="D1285">
        <v>8</v>
      </c>
      <c r="E1285" t="s">
        <v>21</v>
      </c>
      <c r="F1285" t="s">
        <v>44</v>
      </c>
      <c r="G1285" t="s">
        <v>124</v>
      </c>
      <c r="H1285">
        <v>42960</v>
      </c>
      <c r="I1285">
        <v>0</v>
      </c>
      <c r="J1285">
        <v>42960</v>
      </c>
      <c r="L1285">
        <v>33</v>
      </c>
      <c r="M1285">
        <v>10489159</v>
      </c>
      <c r="N1285" t="s">
        <v>57</v>
      </c>
      <c r="O1285" t="s">
        <v>58</v>
      </c>
    </row>
    <row r="1286" spans="2:15" x14ac:dyDescent="0.25">
      <c r="B1286" t="s">
        <v>36</v>
      </c>
      <c r="C1286" s="4">
        <v>44789</v>
      </c>
      <c r="D1286">
        <v>8</v>
      </c>
      <c r="E1286" t="s">
        <v>16</v>
      </c>
      <c r="F1286" t="s">
        <v>17</v>
      </c>
      <c r="G1286" t="s">
        <v>124</v>
      </c>
      <c r="H1286">
        <v>0</v>
      </c>
      <c r="I1286">
        <v>42960</v>
      </c>
      <c r="J1286">
        <v>-42960</v>
      </c>
      <c r="L1286">
        <v>33</v>
      </c>
      <c r="M1286">
        <v>10489159</v>
      </c>
      <c r="N1286" t="s">
        <v>57</v>
      </c>
      <c r="O1286" t="s">
        <v>58</v>
      </c>
    </row>
    <row r="1287" spans="2:15" x14ac:dyDescent="0.25">
      <c r="B1287" t="s">
        <v>36</v>
      </c>
      <c r="C1287" s="4">
        <v>44795</v>
      </c>
      <c r="D1287">
        <v>8</v>
      </c>
      <c r="E1287" t="s">
        <v>21</v>
      </c>
      <c r="F1287" t="s">
        <v>44</v>
      </c>
      <c r="G1287" t="s">
        <v>124</v>
      </c>
      <c r="H1287">
        <v>11800</v>
      </c>
      <c r="I1287">
        <v>0</v>
      </c>
      <c r="J1287">
        <v>11800</v>
      </c>
      <c r="L1287">
        <v>33</v>
      </c>
      <c r="M1287">
        <v>229</v>
      </c>
      <c r="N1287" t="s">
        <v>99</v>
      </c>
      <c r="O1287" t="s">
        <v>100</v>
      </c>
    </row>
    <row r="1288" spans="2:15" x14ac:dyDescent="0.25">
      <c r="B1288" t="s">
        <v>36</v>
      </c>
      <c r="C1288" s="4">
        <v>44795</v>
      </c>
      <c r="D1288">
        <v>8</v>
      </c>
      <c r="E1288" t="s">
        <v>16</v>
      </c>
      <c r="F1288" t="s">
        <v>17</v>
      </c>
      <c r="G1288" t="s">
        <v>124</v>
      </c>
      <c r="H1288">
        <v>0</v>
      </c>
      <c r="I1288">
        <v>11800</v>
      </c>
      <c r="J1288">
        <v>-11800</v>
      </c>
      <c r="L1288">
        <v>33</v>
      </c>
      <c r="M1288">
        <v>229</v>
      </c>
      <c r="N1288" t="s">
        <v>99</v>
      </c>
      <c r="O1288" t="s">
        <v>100</v>
      </c>
    </row>
    <row r="1289" spans="2:15" x14ac:dyDescent="0.25">
      <c r="B1289" t="s">
        <v>36</v>
      </c>
      <c r="C1289" s="4">
        <v>44802</v>
      </c>
      <c r="D1289">
        <v>8</v>
      </c>
      <c r="E1289" t="s">
        <v>21</v>
      </c>
      <c r="F1289" t="s">
        <v>44</v>
      </c>
      <c r="G1289" t="s">
        <v>124</v>
      </c>
      <c r="H1289">
        <v>25612</v>
      </c>
      <c r="I1289">
        <v>0</v>
      </c>
      <c r="J1289">
        <v>25612</v>
      </c>
      <c r="L1289">
        <v>33</v>
      </c>
      <c r="M1289">
        <v>693619</v>
      </c>
      <c r="N1289" t="s">
        <v>49</v>
      </c>
      <c r="O1289" t="s">
        <v>50</v>
      </c>
    </row>
    <row r="1290" spans="2:15" x14ac:dyDescent="0.25">
      <c r="B1290" t="s">
        <v>36</v>
      </c>
      <c r="C1290" s="4">
        <v>44802</v>
      </c>
      <c r="D1290">
        <v>8</v>
      </c>
      <c r="E1290" t="s">
        <v>16</v>
      </c>
      <c r="F1290" t="s">
        <v>17</v>
      </c>
      <c r="G1290" t="s">
        <v>124</v>
      </c>
      <c r="H1290">
        <v>0</v>
      </c>
      <c r="I1290">
        <v>25612</v>
      </c>
      <c r="J1290">
        <v>-25612</v>
      </c>
      <c r="L1290">
        <v>33</v>
      </c>
      <c r="M1290">
        <v>693619</v>
      </c>
      <c r="N1290" t="s">
        <v>49</v>
      </c>
      <c r="O1290" t="s">
        <v>50</v>
      </c>
    </row>
    <row r="1291" spans="2:15" x14ac:dyDescent="0.25">
      <c r="B1291" t="s">
        <v>36</v>
      </c>
      <c r="C1291" s="4">
        <v>44802</v>
      </c>
      <c r="D1291">
        <v>8</v>
      </c>
      <c r="E1291" t="s">
        <v>21</v>
      </c>
      <c r="F1291" t="s">
        <v>44</v>
      </c>
      <c r="G1291" t="s">
        <v>124</v>
      </c>
      <c r="H1291">
        <v>5369</v>
      </c>
      <c r="I1291">
        <v>0</v>
      </c>
      <c r="J1291">
        <v>5369</v>
      </c>
      <c r="L1291">
        <v>33</v>
      </c>
      <c r="M1291">
        <v>1047</v>
      </c>
      <c r="N1291" t="s">
        <v>73</v>
      </c>
      <c r="O1291" t="s">
        <v>74</v>
      </c>
    </row>
    <row r="1292" spans="2:15" x14ac:dyDescent="0.25">
      <c r="B1292" t="s">
        <v>36</v>
      </c>
      <c r="C1292" s="4">
        <v>44802</v>
      </c>
      <c r="D1292">
        <v>8</v>
      </c>
      <c r="E1292" t="s">
        <v>16</v>
      </c>
      <c r="F1292" t="s">
        <v>17</v>
      </c>
      <c r="G1292" t="s">
        <v>124</v>
      </c>
      <c r="H1292">
        <v>0</v>
      </c>
      <c r="I1292">
        <v>5369</v>
      </c>
      <c r="J1292">
        <v>-5369</v>
      </c>
      <c r="L1292">
        <v>33</v>
      </c>
      <c r="M1292">
        <v>1047</v>
      </c>
      <c r="N1292" t="s">
        <v>73</v>
      </c>
      <c r="O1292" t="s">
        <v>74</v>
      </c>
    </row>
    <row r="1293" spans="2:15" x14ac:dyDescent="0.25">
      <c r="B1293" t="s">
        <v>36</v>
      </c>
      <c r="C1293" s="4">
        <v>44789</v>
      </c>
      <c r="D1293">
        <v>8</v>
      </c>
      <c r="E1293" t="s">
        <v>21</v>
      </c>
      <c r="F1293" t="s">
        <v>44</v>
      </c>
      <c r="G1293" t="s">
        <v>124</v>
      </c>
      <c r="H1293">
        <v>116960</v>
      </c>
      <c r="I1293">
        <v>0</v>
      </c>
      <c r="J1293">
        <v>116960</v>
      </c>
      <c r="L1293">
        <v>34</v>
      </c>
      <c r="M1293">
        <v>109</v>
      </c>
      <c r="N1293" t="s">
        <v>71</v>
      </c>
      <c r="O1293" t="s">
        <v>72</v>
      </c>
    </row>
    <row r="1294" spans="2:15" x14ac:dyDescent="0.25">
      <c r="B1294" t="s">
        <v>36</v>
      </c>
      <c r="C1294" s="4">
        <v>44789</v>
      </c>
      <c r="D1294">
        <v>8</v>
      </c>
      <c r="E1294" t="s">
        <v>16</v>
      </c>
      <c r="F1294" t="s">
        <v>17</v>
      </c>
      <c r="G1294" t="s">
        <v>124</v>
      </c>
      <c r="H1294">
        <v>0</v>
      </c>
      <c r="I1294">
        <v>116960</v>
      </c>
      <c r="J1294">
        <v>-116960</v>
      </c>
      <c r="L1294">
        <v>34</v>
      </c>
      <c r="M1294">
        <v>109</v>
      </c>
      <c r="N1294" t="s">
        <v>71</v>
      </c>
      <c r="O1294" t="s">
        <v>72</v>
      </c>
    </row>
    <row r="1295" spans="2:15" x14ac:dyDescent="0.25">
      <c r="B1295" t="s">
        <v>36</v>
      </c>
      <c r="C1295" s="4">
        <v>44798</v>
      </c>
      <c r="D1295">
        <v>9</v>
      </c>
      <c r="E1295" t="s">
        <v>21</v>
      </c>
      <c r="F1295" t="s">
        <v>44</v>
      </c>
      <c r="G1295" t="s">
        <v>124</v>
      </c>
      <c r="H1295">
        <v>18750</v>
      </c>
      <c r="I1295">
        <v>0</v>
      </c>
      <c r="J1295">
        <v>18750</v>
      </c>
      <c r="L1295">
        <v>33</v>
      </c>
      <c r="M1295">
        <v>3354</v>
      </c>
      <c r="N1295" t="s">
        <v>103</v>
      </c>
      <c r="O1295" t="s">
        <v>104</v>
      </c>
    </row>
    <row r="1296" spans="2:15" x14ac:dyDescent="0.25">
      <c r="B1296" t="s">
        <v>36</v>
      </c>
      <c r="C1296" s="4">
        <v>44798</v>
      </c>
      <c r="D1296">
        <v>9</v>
      </c>
      <c r="E1296" t="s">
        <v>16</v>
      </c>
      <c r="F1296" t="s">
        <v>17</v>
      </c>
      <c r="G1296" t="s">
        <v>124</v>
      </c>
      <c r="H1296">
        <v>0</v>
      </c>
      <c r="I1296">
        <v>18750</v>
      </c>
      <c r="J1296">
        <v>-18750</v>
      </c>
      <c r="L1296">
        <v>33</v>
      </c>
      <c r="M1296">
        <v>3354</v>
      </c>
      <c r="N1296" t="s">
        <v>103</v>
      </c>
      <c r="O1296" t="s">
        <v>104</v>
      </c>
    </row>
    <row r="1297" spans="2:15" x14ac:dyDescent="0.25">
      <c r="B1297" t="s">
        <v>36</v>
      </c>
      <c r="C1297" s="4">
        <v>44805</v>
      </c>
      <c r="D1297">
        <v>9</v>
      </c>
      <c r="E1297" t="s">
        <v>21</v>
      </c>
      <c r="F1297" t="s">
        <v>44</v>
      </c>
      <c r="G1297" t="s">
        <v>124</v>
      </c>
      <c r="H1297">
        <v>14186</v>
      </c>
      <c r="I1297">
        <v>0</v>
      </c>
      <c r="J1297">
        <v>14186</v>
      </c>
      <c r="L1297">
        <v>33</v>
      </c>
      <c r="M1297">
        <v>694359</v>
      </c>
      <c r="N1297" t="s">
        <v>49</v>
      </c>
      <c r="O1297" t="s">
        <v>50</v>
      </c>
    </row>
    <row r="1298" spans="2:15" x14ac:dyDescent="0.25">
      <c r="B1298" t="s">
        <v>36</v>
      </c>
      <c r="C1298" s="4">
        <v>44805</v>
      </c>
      <c r="D1298">
        <v>9</v>
      </c>
      <c r="E1298" t="s">
        <v>16</v>
      </c>
      <c r="F1298" t="s">
        <v>17</v>
      </c>
      <c r="G1298" t="s">
        <v>124</v>
      </c>
      <c r="H1298">
        <v>0</v>
      </c>
      <c r="I1298">
        <v>14186</v>
      </c>
      <c r="J1298">
        <v>-14186</v>
      </c>
      <c r="L1298">
        <v>33</v>
      </c>
      <c r="M1298">
        <v>694359</v>
      </c>
      <c r="N1298" t="s">
        <v>49</v>
      </c>
      <c r="O1298" t="s">
        <v>50</v>
      </c>
    </row>
    <row r="1299" spans="2:15" x14ac:dyDescent="0.25">
      <c r="B1299" t="s">
        <v>36</v>
      </c>
      <c r="C1299" s="4">
        <v>44805</v>
      </c>
      <c r="D1299">
        <v>9</v>
      </c>
      <c r="E1299" t="s">
        <v>21</v>
      </c>
      <c r="F1299" t="s">
        <v>44</v>
      </c>
      <c r="G1299" t="s">
        <v>124</v>
      </c>
      <c r="H1299">
        <v>4900</v>
      </c>
      <c r="I1299">
        <v>0</v>
      </c>
      <c r="J1299">
        <v>4900</v>
      </c>
      <c r="L1299">
        <v>33</v>
      </c>
      <c r="M1299">
        <v>243</v>
      </c>
      <c r="N1299" t="s">
        <v>99</v>
      </c>
      <c r="O1299" t="s">
        <v>100</v>
      </c>
    </row>
    <row r="1300" spans="2:15" x14ac:dyDescent="0.25">
      <c r="B1300" t="s">
        <v>36</v>
      </c>
      <c r="C1300" s="4">
        <v>44805</v>
      </c>
      <c r="D1300">
        <v>9</v>
      </c>
      <c r="E1300" t="s">
        <v>16</v>
      </c>
      <c r="F1300" t="s">
        <v>17</v>
      </c>
      <c r="G1300" t="s">
        <v>124</v>
      </c>
      <c r="H1300">
        <v>0</v>
      </c>
      <c r="I1300">
        <v>4900</v>
      </c>
      <c r="J1300">
        <v>-4900</v>
      </c>
      <c r="L1300">
        <v>33</v>
      </c>
      <c r="M1300">
        <v>243</v>
      </c>
      <c r="N1300" t="s">
        <v>99</v>
      </c>
      <c r="O1300" t="s">
        <v>100</v>
      </c>
    </row>
    <row r="1301" spans="2:15" x14ac:dyDescent="0.25">
      <c r="B1301" t="s">
        <v>36</v>
      </c>
      <c r="C1301" s="4">
        <v>44810</v>
      </c>
      <c r="D1301">
        <v>9</v>
      </c>
      <c r="E1301" t="s">
        <v>21</v>
      </c>
      <c r="F1301" t="s">
        <v>44</v>
      </c>
      <c r="G1301" t="s">
        <v>124</v>
      </c>
      <c r="H1301">
        <v>9574</v>
      </c>
      <c r="I1301">
        <v>0</v>
      </c>
      <c r="J1301">
        <v>9574</v>
      </c>
      <c r="L1301">
        <v>33</v>
      </c>
      <c r="M1301">
        <v>695175</v>
      </c>
      <c r="N1301" t="s">
        <v>49</v>
      </c>
      <c r="O1301" t="s">
        <v>50</v>
      </c>
    </row>
    <row r="1302" spans="2:15" x14ac:dyDescent="0.25">
      <c r="B1302" t="s">
        <v>36</v>
      </c>
      <c r="C1302" s="4">
        <v>44810</v>
      </c>
      <c r="D1302">
        <v>9</v>
      </c>
      <c r="E1302" t="s">
        <v>16</v>
      </c>
      <c r="F1302" t="s">
        <v>17</v>
      </c>
      <c r="G1302" t="s">
        <v>124</v>
      </c>
      <c r="H1302">
        <v>0</v>
      </c>
      <c r="I1302">
        <v>9574</v>
      </c>
      <c r="J1302">
        <v>-9574</v>
      </c>
      <c r="L1302">
        <v>33</v>
      </c>
      <c r="M1302">
        <v>695175</v>
      </c>
      <c r="N1302" t="s">
        <v>49</v>
      </c>
      <c r="O1302" t="s">
        <v>50</v>
      </c>
    </row>
    <row r="1303" spans="2:15" x14ac:dyDescent="0.25">
      <c r="B1303" t="s">
        <v>36</v>
      </c>
      <c r="C1303" s="4">
        <v>44810</v>
      </c>
      <c r="D1303">
        <v>9</v>
      </c>
      <c r="E1303" t="s">
        <v>21</v>
      </c>
      <c r="F1303" t="s">
        <v>44</v>
      </c>
      <c r="G1303" t="s">
        <v>124</v>
      </c>
      <c r="H1303">
        <v>96545</v>
      </c>
      <c r="I1303">
        <v>0</v>
      </c>
      <c r="J1303">
        <v>96545</v>
      </c>
      <c r="L1303">
        <v>33</v>
      </c>
      <c r="M1303">
        <v>398650</v>
      </c>
      <c r="N1303" t="s">
        <v>51</v>
      </c>
      <c r="O1303" t="s">
        <v>52</v>
      </c>
    </row>
    <row r="1304" spans="2:15" x14ac:dyDescent="0.25">
      <c r="B1304" t="s">
        <v>36</v>
      </c>
      <c r="C1304" s="4">
        <v>44810</v>
      </c>
      <c r="D1304">
        <v>9</v>
      </c>
      <c r="E1304" t="s">
        <v>16</v>
      </c>
      <c r="F1304" t="s">
        <v>17</v>
      </c>
      <c r="G1304" t="s">
        <v>124</v>
      </c>
      <c r="H1304">
        <v>0</v>
      </c>
      <c r="I1304">
        <v>96545</v>
      </c>
      <c r="J1304">
        <v>-96545</v>
      </c>
      <c r="L1304">
        <v>33</v>
      </c>
      <c r="M1304">
        <v>398650</v>
      </c>
      <c r="N1304" t="s">
        <v>51</v>
      </c>
      <c r="O1304" t="s">
        <v>52</v>
      </c>
    </row>
    <row r="1305" spans="2:15" x14ac:dyDescent="0.25">
      <c r="B1305" t="s">
        <v>36</v>
      </c>
      <c r="C1305" s="4">
        <v>44811</v>
      </c>
      <c r="D1305">
        <v>9</v>
      </c>
      <c r="E1305" t="s">
        <v>21</v>
      </c>
      <c r="F1305" t="s">
        <v>44</v>
      </c>
      <c r="G1305" t="s">
        <v>124</v>
      </c>
      <c r="H1305">
        <v>136160</v>
      </c>
      <c r="I1305">
        <v>0</v>
      </c>
      <c r="J1305">
        <v>136160</v>
      </c>
      <c r="L1305">
        <v>33</v>
      </c>
      <c r="M1305">
        <v>398887</v>
      </c>
      <c r="N1305" t="s">
        <v>51</v>
      </c>
      <c r="O1305" t="s">
        <v>52</v>
      </c>
    </row>
    <row r="1306" spans="2:15" x14ac:dyDescent="0.25">
      <c r="B1306" t="s">
        <v>36</v>
      </c>
      <c r="C1306" s="4">
        <v>44811</v>
      </c>
      <c r="D1306">
        <v>9</v>
      </c>
      <c r="E1306" t="s">
        <v>16</v>
      </c>
      <c r="F1306" t="s">
        <v>17</v>
      </c>
      <c r="G1306" t="s">
        <v>124</v>
      </c>
      <c r="H1306">
        <v>0</v>
      </c>
      <c r="I1306">
        <v>136160</v>
      </c>
      <c r="J1306">
        <v>-136160</v>
      </c>
      <c r="L1306">
        <v>33</v>
      </c>
      <c r="M1306">
        <v>398887</v>
      </c>
      <c r="N1306" t="s">
        <v>51</v>
      </c>
      <c r="O1306" t="s">
        <v>52</v>
      </c>
    </row>
    <row r="1307" spans="2:15" x14ac:dyDescent="0.25">
      <c r="B1307" t="s">
        <v>36</v>
      </c>
      <c r="C1307" s="4">
        <v>44812</v>
      </c>
      <c r="D1307">
        <v>9</v>
      </c>
      <c r="E1307" t="s">
        <v>21</v>
      </c>
      <c r="F1307" t="s">
        <v>44</v>
      </c>
      <c r="G1307" t="s">
        <v>124</v>
      </c>
      <c r="H1307">
        <v>16779</v>
      </c>
      <c r="I1307">
        <v>0</v>
      </c>
      <c r="J1307">
        <v>16779</v>
      </c>
      <c r="L1307">
        <v>33</v>
      </c>
      <c r="M1307">
        <v>398963</v>
      </c>
      <c r="N1307" t="s">
        <v>51</v>
      </c>
      <c r="O1307" t="s">
        <v>52</v>
      </c>
    </row>
    <row r="1308" spans="2:15" x14ac:dyDescent="0.25">
      <c r="B1308" t="s">
        <v>36</v>
      </c>
      <c r="C1308" s="4">
        <v>44812</v>
      </c>
      <c r="D1308">
        <v>9</v>
      </c>
      <c r="E1308" t="s">
        <v>16</v>
      </c>
      <c r="F1308" t="s">
        <v>17</v>
      </c>
      <c r="G1308" t="s">
        <v>124</v>
      </c>
      <c r="H1308">
        <v>0</v>
      </c>
      <c r="I1308">
        <v>16779</v>
      </c>
      <c r="J1308">
        <v>-16779</v>
      </c>
      <c r="L1308">
        <v>33</v>
      </c>
      <c r="M1308">
        <v>398963</v>
      </c>
      <c r="N1308" t="s">
        <v>51</v>
      </c>
      <c r="O1308" t="s">
        <v>52</v>
      </c>
    </row>
    <row r="1309" spans="2:15" x14ac:dyDescent="0.25">
      <c r="B1309" t="s">
        <v>36</v>
      </c>
      <c r="C1309" s="4">
        <v>44813</v>
      </c>
      <c r="D1309">
        <v>9</v>
      </c>
      <c r="E1309" t="s">
        <v>21</v>
      </c>
      <c r="F1309" t="s">
        <v>44</v>
      </c>
      <c r="G1309" t="s">
        <v>124</v>
      </c>
      <c r="H1309">
        <v>19159</v>
      </c>
      <c r="I1309">
        <v>0</v>
      </c>
      <c r="J1309">
        <v>19159</v>
      </c>
      <c r="L1309">
        <v>33</v>
      </c>
      <c r="M1309">
        <v>399125</v>
      </c>
      <c r="N1309" t="s">
        <v>51</v>
      </c>
      <c r="O1309" t="s">
        <v>52</v>
      </c>
    </row>
    <row r="1310" spans="2:15" x14ac:dyDescent="0.25">
      <c r="B1310" t="s">
        <v>36</v>
      </c>
      <c r="C1310" s="4">
        <v>44813</v>
      </c>
      <c r="D1310">
        <v>9</v>
      </c>
      <c r="E1310" t="s">
        <v>16</v>
      </c>
      <c r="F1310" t="s">
        <v>17</v>
      </c>
      <c r="G1310" t="s">
        <v>124</v>
      </c>
      <c r="H1310">
        <v>0</v>
      </c>
      <c r="I1310">
        <v>19159</v>
      </c>
      <c r="J1310">
        <v>-19159</v>
      </c>
      <c r="L1310">
        <v>33</v>
      </c>
      <c r="M1310">
        <v>399125</v>
      </c>
      <c r="N1310" t="s">
        <v>51</v>
      </c>
      <c r="O1310" t="s">
        <v>52</v>
      </c>
    </row>
    <row r="1311" spans="2:15" x14ac:dyDescent="0.25">
      <c r="B1311" t="s">
        <v>36</v>
      </c>
      <c r="C1311" s="4">
        <v>44813</v>
      </c>
      <c r="D1311">
        <v>9</v>
      </c>
      <c r="E1311" t="s">
        <v>21</v>
      </c>
      <c r="F1311" t="s">
        <v>44</v>
      </c>
      <c r="G1311" t="s">
        <v>124</v>
      </c>
      <c r="H1311">
        <v>590640</v>
      </c>
      <c r="I1311">
        <v>0</v>
      </c>
      <c r="J1311">
        <v>590640</v>
      </c>
      <c r="L1311">
        <v>33</v>
      </c>
      <c r="M1311">
        <v>4234</v>
      </c>
      <c r="N1311" t="s">
        <v>83</v>
      </c>
      <c r="O1311" t="s">
        <v>84</v>
      </c>
    </row>
    <row r="1312" spans="2:15" x14ac:dyDescent="0.25">
      <c r="B1312" t="s">
        <v>36</v>
      </c>
      <c r="C1312" s="4">
        <v>44813</v>
      </c>
      <c r="D1312">
        <v>9</v>
      </c>
      <c r="E1312" t="s">
        <v>16</v>
      </c>
      <c r="F1312" t="s">
        <v>17</v>
      </c>
      <c r="G1312" t="s">
        <v>124</v>
      </c>
      <c r="H1312">
        <v>0</v>
      </c>
      <c r="I1312">
        <v>590640</v>
      </c>
      <c r="J1312">
        <v>-590640</v>
      </c>
      <c r="L1312">
        <v>33</v>
      </c>
      <c r="M1312">
        <v>4234</v>
      </c>
      <c r="N1312" t="s">
        <v>83</v>
      </c>
      <c r="O1312" t="s">
        <v>84</v>
      </c>
    </row>
    <row r="1313" spans="2:15" x14ac:dyDescent="0.25">
      <c r="B1313" t="s">
        <v>36</v>
      </c>
      <c r="C1313" s="4">
        <v>44813</v>
      </c>
      <c r="D1313">
        <v>9</v>
      </c>
      <c r="E1313" t="s">
        <v>21</v>
      </c>
      <c r="F1313" t="s">
        <v>44</v>
      </c>
      <c r="G1313" t="s">
        <v>124</v>
      </c>
      <c r="H1313">
        <v>111960</v>
      </c>
      <c r="I1313">
        <v>0</v>
      </c>
      <c r="J1313">
        <v>111960</v>
      </c>
      <c r="L1313">
        <v>33</v>
      </c>
      <c r="M1313">
        <v>17208</v>
      </c>
      <c r="N1313" t="s">
        <v>105</v>
      </c>
      <c r="O1313" t="s">
        <v>106</v>
      </c>
    </row>
    <row r="1314" spans="2:15" x14ac:dyDescent="0.25">
      <c r="B1314" t="s">
        <v>36</v>
      </c>
      <c r="C1314" s="4">
        <v>44813</v>
      </c>
      <c r="D1314">
        <v>9</v>
      </c>
      <c r="E1314" t="s">
        <v>16</v>
      </c>
      <c r="F1314" t="s">
        <v>17</v>
      </c>
      <c r="G1314" t="s">
        <v>124</v>
      </c>
      <c r="H1314">
        <v>0</v>
      </c>
      <c r="I1314">
        <v>111960</v>
      </c>
      <c r="J1314">
        <v>-111960</v>
      </c>
      <c r="L1314">
        <v>33</v>
      </c>
      <c r="M1314">
        <v>17208</v>
      </c>
      <c r="N1314" t="s">
        <v>105</v>
      </c>
      <c r="O1314" t="s">
        <v>106</v>
      </c>
    </row>
    <row r="1315" spans="2:15" x14ac:dyDescent="0.25">
      <c r="B1315" t="s">
        <v>36</v>
      </c>
      <c r="C1315" s="4">
        <v>44813</v>
      </c>
      <c r="D1315">
        <v>9</v>
      </c>
      <c r="E1315" t="s">
        <v>21</v>
      </c>
      <c r="F1315" t="s">
        <v>44</v>
      </c>
      <c r="G1315" t="s">
        <v>124</v>
      </c>
      <c r="H1315">
        <v>62180</v>
      </c>
      <c r="I1315">
        <v>0</v>
      </c>
      <c r="J1315">
        <v>62180</v>
      </c>
      <c r="L1315">
        <v>33</v>
      </c>
      <c r="M1315">
        <v>36471</v>
      </c>
      <c r="N1315" t="s">
        <v>81</v>
      </c>
      <c r="O1315" t="s">
        <v>82</v>
      </c>
    </row>
    <row r="1316" spans="2:15" x14ac:dyDescent="0.25">
      <c r="B1316" t="s">
        <v>36</v>
      </c>
      <c r="C1316" s="4">
        <v>44813</v>
      </c>
      <c r="D1316">
        <v>9</v>
      </c>
      <c r="E1316" t="s">
        <v>16</v>
      </c>
      <c r="F1316" t="s">
        <v>17</v>
      </c>
      <c r="G1316" t="s">
        <v>124</v>
      </c>
      <c r="H1316">
        <v>0</v>
      </c>
      <c r="I1316">
        <v>62180</v>
      </c>
      <c r="J1316">
        <v>-62180</v>
      </c>
      <c r="L1316">
        <v>33</v>
      </c>
      <c r="M1316">
        <v>36471</v>
      </c>
      <c r="N1316" t="s">
        <v>81</v>
      </c>
      <c r="O1316" t="s">
        <v>82</v>
      </c>
    </row>
    <row r="1317" spans="2:15" x14ac:dyDescent="0.25">
      <c r="B1317" t="s">
        <v>36</v>
      </c>
      <c r="C1317" s="4">
        <v>44816</v>
      </c>
      <c r="D1317">
        <v>9</v>
      </c>
      <c r="E1317" t="s">
        <v>21</v>
      </c>
      <c r="F1317" t="s">
        <v>44</v>
      </c>
      <c r="G1317" t="s">
        <v>124</v>
      </c>
      <c r="H1317">
        <v>69500</v>
      </c>
      <c r="I1317">
        <v>0</v>
      </c>
      <c r="J1317">
        <v>69500</v>
      </c>
      <c r="L1317">
        <v>33</v>
      </c>
      <c r="M1317">
        <v>344085</v>
      </c>
      <c r="N1317" t="s">
        <v>107</v>
      </c>
      <c r="O1317" t="s">
        <v>108</v>
      </c>
    </row>
    <row r="1318" spans="2:15" x14ac:dyDescent="0.25">
      <c r="B1318" t="s">
        <v>36</v>
      </c>
      <c r="C1318" s="4">
        <v>44816</v>
      </c>
      <c r="D1318">
        <v>9</v>
      </c>
      <c r="E1318" t="s">
        <v>16</v>
      </c>
      <c r="F1318" t="s">
        <v>17</v>
      </c>
      <c r="G1318" t="s">
        <v>124</v>
      </c>
      <c r="H1318">
        <v>0</v>
      </c>
      <c r="I1318">
        <v>69500</v>
      </c>
      <c r="J1318">
        <v>-69500</v>
      </c>
      <c r="L1318">
        <v>33</v>
      </c>
      <c r="M1318">
        <v>344085</v>
      </c>
      <c r="N1318" t="s">
        <v>107</v>
      </c>
      <c r="O1318" t="s">
        <v>108</v>
      </c>
    </row>
    <row r="1319" spans="2:15" x14ac:dyDescent="0.25">
      <c r="B1319" t="s">
        <v>36</v>
      </c>
      <c r="C1319" s="4">
        <v>44816</v>
      </c>
      <c r="D1319">
        <v>9</v>
      </c>
      <c r="E1319" t="s">
        <v>21</v>
      </c>
      <c r="F1319" t="s">
        <v>44</v>
      </c>
      <c r="G1319" t="s">
        <v>124</v>
      </c>
      <c r="H1319">
        <v>143942</v>
      </c>
      <c r="I1319">
        <v>0</v>
      </c>
      <c r="J1319">
        <v>143942</v>
      </c>
      <c r="L1319">
        <v>33</v>
      </c>
      <c r="M1319">
        <v>1949</v>
      </c>
      <c r="N1319" t="s">
        <v>77</v>
      </c>
      <c r="O1319" t="s">
        <v>78</v>
      </c>
    </row>
    <row r="1320" spans="2:15" x14ac:dyDescent="0.25">
      <c r="B1320" t="s">
        <v>36</v>
      </c>
      <c r="C1320" s="4">
        <v>44816</v>
      </c>
      <c r="D1320">
        <v>9</v>
      </c>
      <c r="E1320" t="s">
        <v>16</v>
      </c>
      <c r="F1320" t="s">
        <v>17</v>
      </c>
      <c r="G1320" t="s">
        <v>124</v>
      </c>
      <c r="H1320">
        <v>0</v>
      </c>
      <c r="I1320">
        <v>143942</v>
      </c>
      <c r="J1320">
        <v>-143942</v>
      </c>
      <c r="L1320">
        <v>33</v>
      </c>
      <c r="M1320">
        <v>1949</v>
      </c>
      <c r="N1320" t="s">
        <v>77</v>
      </c>
      <c r="O1320" t="s">
        <v>78</v>
      </c>
    </row>
    <row r="1321" spans="2:15" x14ac:dyDescent="0.25">
      <c r="B1321" t="s">
        <v>36</v>
      </c>
      <c r="C1321" s="4">
        <v>44818</v>
      </c>
      <c r="D1321">
        <v>9</v>
      </c>
      <c r="E1321" t="s">
        <v>21</v>
      </c>
      <c r="F1321" t="s">
        <v>44</v>
      </c>
      <c r="G1321" t="s">
        <v>124</v>
      </c>
      <c r="H1321">
        <v>5603</v>
      </c>
      <c r="I1321">
        <v>0</v>
      </c>
      <c r="J1321">
        <v>5603</v>
      </c>
      <c r="L1321">
        <v>33</v>
      </c>
      <c r="M1321">
        <v>696802</v>
      </c>
      <c r="N1321" t="s">
        <v>49</v>
      </c>
      <c r="O1321" t="s">
        <v>50</v>
      </c>
    </row>
    <row r="1322" spans="2:15" x14ac:dyDescent="0.25">
      <c r="B1322" t="s">
        <v>36</v>
      </c>
      <c r="C1322" s="4">
        <v>44818</v>
      </c>
      <c r="D1322">
        <v>9</v>
      </c>
      <c r="E1322" t="s">
        <v>16</v>
      </c>
      <c r="F1322" t="s">
        <v>17</v>
      </c>
      <c r="G1322" t="s">
        <v>124</v>
      </c>
      <c r="H1322">
        <v>0</v>
      </c>
      <c r="I1322">
        <v>5603</v>
      </c>
      <c r="J1322">
        <v>-5603</v>
      </c>
      <c r="L1322">
        <v>33</v>
      </c>
      <c r="M1322">
        <v>696802</v>
      </c>
      <c r="N1322" t="s">
        <v>49</v>
      </c>
      <c r="O1322" t="s">
        <v>50</v>
      </c>
    </row>
    <row r="1323" spans="2:15" x14ac:dyDescent="0.25">
      <c r="B1323" t="s">
        <v>36</v>
      </c>
      <c r="C1323" s="4">
        <v>44819</v>
      </c>
      <c r="D1323">
        <v>9</v>
      </c>
      <c r="E1323" t="s">
        <v>21</v>
      </c>
      <c r="F1323" t="s">
        <v>44</v>
      </c>
      <c r="G1323" t="s">
        <v>124</v>
      </c>
      <c r="H1323">
        <v>26380</v>
      </c>
      <c r="I1323">
        <v>0</v>
      </c>
      <c r="J1323">
        <v>26380</v>
      </c>
      <c r="L1323">
        <v>33</v>
      </c>
      <c r="M1323">
        <v>697032</v>
      </c>
      <c r="N1323" t="s">
        <v>49</v>
      </c>
      <c r="O1323" t="s">
        <v>50</v>
      </c>
    </row>
    <row r="1324" spans="2:15" x14ac:dyDescent="0.25">
      <c r="B1324" t="s">
        <v>36</v>
      </c>
      <c r="C1324" s="4">
        <v>44819</v>
      </c>
      <c r="D1324">
        <v>9</v>
      </c>
      <c r="E1324" t="s">
        <v>16</v>
      </c>
      <c r="F1324" t="s">
        <v>17</v>
      </c>
      <c r="G1324" t="s">
        <v>124</v>
      </c>
      <c r="H1324">
        <v>0</v>
      </c>
      <c r="I1324">
        <v>26380</v>
      </c>
      <c r="J1324">
        <v>-26380</v>
      </c>
      <c r="L1324">
        <v>33</v>
      </c>
      <c r="M1324">
        <v>697032</v>
      </c>
      <c r="N1324" t="s">
        <v>49</v>
      </c>
      <c r="O1324" t="s">
        <v>50</v>
      </c>
    </row>
    <row r="1325" spans="2:15" x14ac:dyDescent="0.25">
      <c r="B1325" t="s">
        <v>36</v>
      </c>
      <c r="C1325" s="4">
        <v>44825</v>
      </c>
      <c r="D1325">
        <v>9</v>
      </c>
      <c r="E1325" t="s">
        <v>21</v>
      </c>
      <c r="F1325" t="s">
        <v>44</v>
      </c>
      <c r="G1325" t="s">
        <v>124</v>
      </c>
      <c r="H1325">
        <v>9190</v>
      </c>
      <c r="I1325">
        <v>0</v>
      </c>
      <c r="J1325">
        <v>9190</v>
      </c>
      <c r="L1325">
        <v>33</v>
      </c>
      <c r="M1325">
        <v>36733</v>
      </c>
      <c r="N1325" t="s">
        <v>81</v>
      </c>
      <c r="O1325" t="s">
        <v>82</v>
      </c>
    </row>
    <row r="1326" spans="2:15" x14ac:dyDescent="0.25">
      <c r="B1326" t="s">
        <v>36</v>
      </c>
      <c r="C1326" s="4">
        <v>44825</v>
      </c>
      <c r="D1326">
        <v>9</v>
      </c>
      <c r="E1326" t="s">
        <v>16</v>
      </c>
      <c r="F1326" t="s">
        <v>17</v>
      </c>
      <c r="G1326" t="s">
        <v>124</v>
      </c>
      <c r="H1326">
        <v>0</v>
      </c>
      <c r="I1326">
        <v>9190</v>
      </c>
      <c r="J1326">
        <v>-9190</v>
      </c>
      <c r="L1326">
        <v>33</v>
      </c>
      <c r="M1326">
        <v>36733</v>
      </c>
      <c r="N1326" t="s">
        <v>81</v>
      </c>
      <c r="O1326" t="s">
        <v>82</v>
      </c>
    </row>
    <row r="1327" spans="2:15" x14ac:dyDescent="0.25">
      <c r="B1327" t="s">
        <v>36</v>
      </c>
      <c r="C1327" s="4">
        <v>44831</v>
      </c>
      <c r="D1327">
        <v>9</v>
      </c>
      <c r="E1327" t="s">
        <v>21</v>
      </c>
      <c r="F1327" t="s">
        <v>44</v>
      </c>
      <c r="G1327" t="s">
        <v>124</v>
      </c>
      <c r="H1327">
        <v>368900</v>
      </c>
      <c r="I1327">
        <v>0</v>
      </c>
      <c r="J1327">
        <v>368900</v>
      </c>
      <c r="L1327">
        <v>33</v>
      </c>
      <c r="M1327">
        <v>17400</v>
      </c>
      <c r="N1327" t="s">
        <v>105</v>
      </c>
      <c r="O1327" t="s">
        <v>106</v>
      </c>
    </row>
    <row r="1328" spans="2:15" x14ac:dyDescent="0.25">
      <c r="B1328" t="s">
        <v>36</v>
      </c>
      <c r="C1328" s="4">
        <v>44831</v>
      </c>
      <c r="D1328">
        <v>9</v>
      </c>
      <c r="E1328" t="s">
        <v>16</v>
      </c>
      <c r="F1328" t="s">
        <v>17</v>
      </c>
      <c r="G1328" t="s">
        <v>124</v>
      </c>
      <c r="H1328">
        <v>0</v>
      </c>
      <c r="I1328">
        <v>368900</v>
      </c>
      <c r="J1328">
        <v>-368900</v>
      </c>
      <c r="L1328">
        <v>33</v>
      </c>
      <c r="M1328">
        <v>17400</v>
      </c>
      <c r="N1328" t="s">
        <v>105</v>
      </c>
      <c r="O1328" t="s">
        <v>106</v>
      </c>
    </row>
    <row r="1329" spans="2:15" x14ac:dyDescent="0.25">
      <c r="B1329" t="s">
        <v>36</v>
      </c>
      <c r="C1329" s="4">
        <v>44832</v>
      </c>
      <c r="D1329">
        <v>9</v>
      </c>
      <c r="E1329" t="s">
        <v>21</v>
      </c>
      <c r="F1329" t="s">
        <v>44</v>
      </c>
      <c r="G1329" t="s">
        <v>124</v>
      </c>
      <c r="H1329">
        <v>199587</v>
      </c>
      <c r="I1329">
        <v>0</v>
      </c>
      <c r="J1329">
        <v>199587</v>
      </c>
      <c r="L1329">
        <v>33</v>
      </c>
      <c r="M1329">
        <v>10671</v>
      </c>
      <c r="N1329" t="s">
        <v>109</v>
      </c>
      <c r="O1329" t="s">
        <v>110</v>
      </c>
    </row>
    <row r="1330" spans="2:15" x14ac:dyDescent="0.25">
      <c r="B1330" t="s">
        <v>36</v>
      </c>
      <c r="C1330" s="4">
        <v>44832</v>
      </c>
      <c r="D1330">
        <v>9</v>
      </c>
      <c r="E1330" t="s">
        <v>16</v>
      </c>
      <c r="F1330" t="s">
        <v>17</v>
      </c>
      <c r="G1330" t="s">
        <v>124</v>
      </c>
      <c r="H1330">
        <v>0</v>
      </c>
      <c r="I1330">
        <v>199587</v>
      </c>
      <c r="J1330">
        <v>-199587</v>
      </c>
      <c r="L1330">
        <v>33</v>
      </c>
      <c r="M1330">
        <v>10671</v>
      </c>
      <c r="N1330" t="s">
        <v>109</v>
      </c>
      <c r="O1330" t="s">
        <v>110</v>
      </c>
    </row>
    <row r="1331" spans="2:15" x14ac:dyDescent="0.25">
      <c r="B1331" t="s">
        <v>36</v>
      </c>
      <c r="C1331" s="4">
        <v>44819</v>
      </c>
      <c r="D1331">
        <v>9</v>
      </c>
      <c r="E1331" t="s">
        <v>21</v>
      </c>
      <c r="F1331" t="s">
        <v>44</v>
      </c>
      <c r="G1331" t="s">
        <v>124</v>
      </c>
      <c r="H1331">
        <v>118426</v>
      </c>
      <c r="I1331">
        <v>0</v>
      </c>
      <c r="J1331">
        <v>118426</v>
      </c>
      <c r="L1331">
        <v>34</v>
      </c>
      <c r="M1331">
        <v>115</v>
      </c>
      <c r="N1331" t="s">
        <v>71</v>
      </c>
      <c r="O1331" t="s">
        <v>72</v>
      </c>
    </row>
    <row r="1332" spans="2:15" x14ac:dyDescent="0.25">
      <c r="B1332" t="s">
        <v>36</v>
      </c>
      <c r="C1332" s="4">
        <v>44819</v>
      </c>
      <c r="D1332">
        <v>9</v>
      </c>
      <c r="E1332" t="s">
        <v>16</v>
      </c>
      <c r="F1332" t="s">
        <v>17</v>
      </c>
      <c r="G1332" t="s">
        <v>124</v>
      </c>
      <c r="H1332">
        <v>0</v>
      </c>
      <c r="I1332">
        <v>118426</v>
      </c>
      <c r="J1332">
        <v>-118426</v>
      </c>
      <c r="L1332">
        <v>34</v>
      </c>
      <c r="M1332">
        <v>115</v>
      </c>
      <c r="N1332" t="s">
        <v>71</v>
      </c>
      <c r="O1332" t="s">
        <v>72</v>
      </c>
    </row>
    <row r="1333" spans="2:15" x14ac:dyDescent="0.25">
      <c r="B1333" t="s">
        <v>36</v>
      </c>
      <c r="C1333" s="4">
        <v>44820</v>
      </c>
      <c r="D1333">
        <v>10</v>
      </c>
      <c r="E1333" t="s">
        <v>21</v>
      </c>
      <c r="F1333" t="s">
        <v>44</v>
      </c>
      <c r="G1333" t="s">
        <v>124</v>
      </c>
      <c r="H1333">
        <v>42960</v>
      </c>
      <c r="I1333">
        <v>0</v>
      </c>
      <c r="J1333">
        <v>42960</v>
      </c>
      <c r="L1333">
        <v>33</v>
      </c>
      <c r="M1333">
        <v>10661140</v>
      </c>
      <c r="N1333" t="s">
        <v>57</v>
      </c>
      <c r="O1333" t="s">
        <v>58</v>
      </c>
    </row>
    <row r="1334" spans="2:15" x14ac:dyDescent="0.25">
      <c r="B1334" t="s">
        <v>36</v>
      </c>
      <c r="C1334" s="4">
        <v>44820</v>
      </c>
      <c r="D1334">
        <v>10</v>
      </c>
      <c r="E1334" t="s">
        <v>16</v>
      </c>
      <c r="F1334" t="s">
        <v>17</v>
      </c>
      <c r="G1334" t="s">
        <v>124</v>
      </c>
      <c r="H1334">
        <v>0</v>
      </c>
      <c r="I1334">
        <v>42960</v>
      </c>
      <c r="J1334">
        <v>-42960</v>
      </c>
      <c r="L1334">
        <v>33</v>
      </c>
      <c r="M1334">
        <v>10661140</v>
      </c>
      <c r="N1334" t="s">
        <v>57</v>
      </c>
      <c r="O1334" t="s">
        <v>58</v>
      </c>
    </row>
    <row r="1335" spans="2:15" x14ac:dyDescent="0.25">
      <c r="B1335" t="s">
        <v>36</v>
      </c>
      <c r="C1335" s="4">
        <v>44837</v>
      </c>
      <c r="D1335">
        <v>10</v>
      </c>
      <c r="E1335" t="s">
        <v>21</v>
      </c>
      <c r="F1335" t="s">
        <v>44</v>
      </c>
      <c r="G1335" t="s">
        <v>124</v>
      </c>
      <c r="H1335">
        <v>22794</v>
      </c>
      <c r="I1335">
        <v>0</v>
      </c>
      <c r="J1335">
        <v>22794</v>
      </c>
      <c r="L1335">
        <v>33</v>
      </c>
      <c r="M1335">
        <v>268389</v>
      </c>
      <c r="N1335" t="s">
        <v>111</v>
      </c>
      <c r="O1335" t="s">
        <v>112</v>
      </c>
    </row>
    <row r="1336" spans="2:15" x14ac:dyDescent="0.25">
      <c r="B1336" t="s">
        <v>36</v>
      </c>
      <c r="C1336" s="4">
        <v>44837</v>
      </c>
      <c r="D1336">
        <v>10</v>
      </c>
      <c r="E1336" t="s">
        <v>16</v>
      </c>
      <c r="F1336" t="s">
        <v>17</v>
      </c>
      <c r="G1336" t="s">
        <v>124</v>
      </c>
      <c r="H1336">
        <v>0</v>
      </c>
      <c r="I1336">
        <v>22794</v>
      </c>
      <c r="J1336">
        <v>-22794</v>
      </c>
      <c r="L1336">
        <v>33</v>
      </c>
      <c r="M1336">
        <v>268389</v>
      </c>
      <c r="N1336" t="s">
        <v>111</v>
      </c>
      <c r="O1336" t="s">
        <v>112</v>
      </c>
    </row>
    <row r="1337" spans="2:15" x14ac:dyDescent="0.25">
      <c r="B1337" t="s">
        <v>36</v>
      </c>
      <c r="C1337" s="4">
        <v>44838</v>
      </c>
      <c r="D1337">
        <v>10</v>
      </c>
      <c r="E1337" t="s">
        <v>21</v>
      </c>
      <c r="F1337" t="s">
        <v>44</v>
      </c>
      <c r="G1337" t="s">
        <v>124</v>
      </c>
      <c r="H1337">
        <v>22420</v>
      </c>
      <c r="I1337">
        <v>0</v>
      </c>
      <c r="J1337">
        <v>22420</v>
      </c>
      <c r="L1337">
        <v>33</v>
      </c>
      <c r="M1337">
        <v>1273</v>
      </c>
      <c r="N1337" t="s">
        <v>73</v>
      </c>
      <c r="O1337" t="s">
        <v>74</v>
      </c>
    </row>
    <row r="1338" spans="2:15" x14ac:dyDescent="0.25">
      <c r="B1338" t="s">
        <v>36</v>
      </c>
      <c r="C1338" s="4">
        <v>44838</v>
      </c>
      <c r="D1338">
        <v>10</v>
      </c>
      <c r="E1338" t="s">
        <v>16</v>
      </c>
      <c r="F1338" t="s">
        <v>17</v>
      </c>
      <c r="G1338" t="s">
        <v>124</v>
      </c>
      <c r="H1338">
        <v>0</v>
      </c>
      <c r="I1338">
        <v>22420</v>
      </c>
      <c r="J1338">
        <v>-22420</v>
      </c>
      <c r="L1338">
        <v>33</v>
      </c>
      <c r="M1338">
        <v>1273</v>
      </c>
      <c r="N1338" t="s">
        <v>73</v>
      </c>
      <c r="O1338" t="s">
        <v>74</v>
      </c>
    </row>
    <row r="1339" spans="2:15" x14ac:dyDescent="0.25">
      <c r="B1339" t="s">
        <v>36</v>
      </c>
      <c r="C1339" s="4">
        <v>44838</v>
      </c>
      <c r="D1339">
        <v>10</v>
      </c>
      <c r="E1339" t="s">
        <v>21</v>
      </c>
      <c r="F1339" t="s">
        <v>44</v>
      </c>
      <c r="G1339" t="s">
        <v>124</v>
      </c>
      <c r="H1339">
        <v>139750</v>
      </c>
      <c r="I1339">
        <v>0</v>
      </c>
      <c r="J1339">
        <v>139750</v>
      </c>
      <c r="L1339">
        <v>33</v>
      </c>
      <c r="M1339">
        <v>4806</v>
      </c>
      <c r="N1339" t="s">
        <v>83</v>
      </c>
      <c r="O1339" t="s">
        <v>84</v>
      </c>
    </row>
    <row r="1340" spans="2:15" x14ac:dyDescent="0.25">
      <c r="B1340" t="s">
        <v>36</v>
      </c>
      <c r="C1340" s="4">
        <v>44838</v>
      </c>
      <c r="D1340">
        <v>10</v>
      </c>
      <c r="E1340" t="s">
        <v>16</v>
      </c>
      <c r="F1340" t="s">
        <v>17</v>
      </c>
      <c r="G1340" t="s">
        <v>124</v>
      </c>
      <c r="H1340">
        <v>0</v>
      </c>
      <c r="I1340">
        <v>139750</v>
      </c>
      <c r="J1340">
        <v>-139750</v>
      </c>
      <c r="L1340">
        <v>33</v>
      </c>
      <c r="M1340">
        <v>4806</v>
      </c>
      <c r="N1340" t="s">
        <v>83</v>
      </c>
      <c r="O1340" t="s">
        <v>84</v>
      </c>
    </row>
    <row r="1341" spans="2:15" x14ac:dyDescent="0.25">
      <c r="B1341" t="s">
        <v>36</v>
      </c>
      <c r="C1341" s="4">
        <v>44838</v>
      </c>
      <c r="D1341">
        <v>10</v>
      </c>
      <c r="E1341" t="s">
        <v>21</v>
      </c>
      <c r="F1341" t="s">
        <v>44</v>
      </c>
      <c r="G1341" t="s">
        <v>124</v>
      </c>
      <c r="H1341">
        <v>73550</v>
      </c>
      <c r="I1341">
        <v>0</v>
      </c>
      <c r="J1341">
        <v>73550</v>
      </c>
      <c r="L1341">
        <v>33</v>
      </c>
      <c r="M1341">
        <v>163879</v>
      </c>
      <c r="N1341" t="s">
        <v>45</v>
      </c>
      <c r="O1341" t="s">
        <v>46</v>
      </c>
    </row>
    <row r="1342" spans="2:15" x14ac:dyDescent="0.25">
      <c r="B1342" t="s">
        <v>36</v>
      </c>
      <c r="C1342" s="4">
        <v>44838</v>
      </c>
      <c r="D1342">
        <v>10</v>
      </c>
      <c r="E1342" t="s">
        <v>16</v>
      </c>
      <c r="F1342" t="s">
        <v>17</v>
      </c>
      <c r="G1342" t="s">
        <v>124</v>
      </c>
      <c r="H1342">
        <v>0</v>
      </c>
      <c r="I1342">
        <v>73550</v>
      </c>
      <c r="J1342">
        <v>-73550</v>
      </c>
      <c r="L1342">
        <v>33</v>
      </c>
      <c r="M1342">
        <v>163879</v>
      </c>
      <c r="N1342" t="s">
        <v>45</v>
      </c>
      <c r="O1342" t="s">
        <v>46</v>
      </c>
    </row>
    <row r="1343" spans="2:15" x14ac:dyDescent="0.25">
      <c r="B1343" t="s">
        <v>36</v>
      </c>
      <c r="C1343" s="4">
        <v>44838</v>
      </c>
      <c r="D1343">
        <v>10</v>
      </c>
      <c r="E1343" t="s">
        <v>21</v>
      </c>
      <c r="F1343" t="s">
        <v>44</v>
      </c>
      <c r="G1343" t="s">
        <v>124</v>
      </c>
      <c r="H1343">
        <v>11800</v>
      </c>
      <c r="I1343">
        <v>0</v>
      </c>
      <c r="J1343">
        <v>11800</v>
      </c>
      <c r="L1343">
        <v>33</v>
      </c>
      <c r="M1343">
        <v>273</v>
      </c>
      <c r="N1343" t="s">
        <v>99</v>
      </c>
      <c r="O1343" t="s">
        <v>100</v>
      </c>
    </row>
    <row r="1344" spans="2:15" x14ac:dyDescent="0.25">
      <c r="B1344" t="s">
        <v>36</v>
      </c>
      <c r="C1344" s="4">
        <v>44838</v>
      </c>
      <c r="D1344">
        <v>10</v>
      </c>
      <c r="E1344" t="s">
        <v>16</v>
      </c>
      <c r="F1344" t="s">
        <v>17</v>
      </c>
      <c r="G1344" t="s">
        <v>124</v>
      </c>
      <c r="H1344">
        <v>0</v>
      </c>
      <c r="I1344">
        <v>11800</v>
      </c>
      <c r="J1344">
        <v>-11800</v>
      </c>
      <c r="L1344">
        <v>33</v>
      </c>
      <c r="M1344">
        <v>273</v>
      </c>
      <c r="N1344" t="s">
        <v>99</v>
      </c>
      <c r="O1344" t="s">
        <v>100</v>
      </c>
    </row>
    <row r="1345" spans="2:15" x14ac:dyDescent="0.25">
      <c r="B1345" t="s">
        <v>36</v>
      </c>
      <c r="C1345" s="4">
        <v>44839</v>
      </c>
      <c r="D1345">
        <v>10</v>
      </c>
      <c r="E1345" t="s">
        <v>21</v>
      </c>
      <c r="F1345" t="s">
        <v>44</v>
      </c>
      <c r="G1345" t="s">
        <v>124</v>
      </c>
      <c r="H1345">
        <v>184001</v>
      </c>
      <c r="I1345">
        <v>0</v>
      </c>
      <c r="J1345">
        <v>184001</v>
      </c>
      <c r="L1345">
        <v>33</v>
      </c>
      <c r="M1345">
        <v>4844</v>
      </c>
      <c r="N1345" t="s">
        <v>83</v>
      </c>
      <c r="O1345" t="s">
        <v>84</v>
      </c>
    </row>
    <row r="1346" spans="2:15" x14ac:dyDescent="0.25">
      <c r="B1346" t="s">
        <v>36</v>
      </c>
      <c r="C1346" s="4">
        <v>44839</v>
      </c>
      <c r="D1346">
        <v>10</v>
      </c>
      <c r="E1346" t="s">
        <v>16</v>
      </c>
      <c r="F1346" t="s">
        <v>17</v>
      </c>
      <c r="G1346" t="s">
        <v>124</v>
      </c>
      <c r="H1346">
        <v>0</v>
      </c>
      <c r="I1346">
        <v>184001</v>
      </c>
      <c r="J1346">
        <v>-184001</v>
      </c>
      <c r="L1346">
        <v>33</v>
      </c>
      <c r="M1346">
        <v>4844</v>
      </c>
      <c r="N1346" t="s">
        <v>83</v>
      </c>
      <c r="O1346" t="s">
        <v>84</v>
      </c>
    </row>
    <row r="1347" spans="2:15" x14ac:dyDescent="0.25">
      <c r="B1347" t="s">
        <v>36</v>
      </c>
      <c r="C1347" s="4">
        <v>44839</v>
      </c>
      <c r="D1347">
        <v>10</v>
      </c>
      <c r="E1347" t="s">
        <v>21</v>
      </c>
      <c r="F1347" t="s">
        <v>44</v>
      </c>
      <c r="G1347" t="s">
        <v>124</v>
      </c>
      <c r="H1347">
        <v>34510</v>
      </c>
      <c r="I1347">
        <v>0</v>
      </c>
      <c r="J1347">
        <v>34510</v>
      </c>
      <c r="L1347">
        <v>33</v>
      </c>
      <c r="M1347">
        <v>402033</v>
      </c>
      <c r="N1347" t="s">
        <v>51</v>
      </c>
      <c r="O1347" t="s">
        <v>52</v>
      </c>
    </row>
    <row r="1348" spans="2:15" x14ac:dyDescent="0.25">
      <c r="B1348" t="s">
        <v>36</v>
      </c>
      <c r="C1348" s="4">
        <v>44839</v>
      </c>
      <c r="D1348">
        <v>10</v>
      </c>
      <c r="E1348" t="s">
        <v>16</v>
      </c>
      <c r="F1348" t="s">
        <v>17</v>
      </c>
      <c r="G1348" t="s">
        <v>124</v>
      </c>
      <c r="H1348">
        <v>0</v>
      </c>
      <c r="I1348">
        <v>34510</v>
      </c>
      <c r="J1348">
        <v>-34510</v>
      </c>
      <c r="L1348">
        <v>33</v>
      </c>
      <c r="M1348">
        <v>402033</v>
      </c>
      <c r="N1348" t="s">
        <v>51</v>
      </c>
      <c r="O1348" t="s">
        <v>52</v>
      </c>
    </row>
    <row r="1349" spans="2:15" x14ac:dyDescent="0.25">
      <c r="B1349" t="s">
        <v>36</v>
      </c>
      <c r="C1349" s="4">
        <v>44840</v>
      </c>
      <c r="D1349">
        <v>10</v>
      </c>
      <c r="E1349" t="s">
        <v>21</v>
      </c>
      <c r="F1349" t="s">
        <v>44</v>
      </c>
      <c r="G1349" t="s">
        <v>124</v>
      </c>
      <c r="H1349">
        <v>29990</v>
      </c>
      <c r="I1349">
        <v>0</v>
      </c>
      <c r="J1349">
        <v>29990</v>
      </c>
      <c r="L1349">
        <v>33</v>
      </c>
      <c r="M1349">
        <v>1717094</v>
      </c>
      <c r="N1349" t="s">
        <v>113</v>
      </c>
      <c r="O1349" t="s">
        <v>114</v>
      </c>
    </row>
    <row r="1350" spans="2:15" x14ac:dyDescent="0.25">
      <c r="B1350" t="s">
        <v>36</v>
      </c>
      <c r="C1350" s="4">
        <v>44840</v>
      </c>
      <c r="D1350">
        <v>10</v>
      </c>
      <c r="E1350" t="s">
        <v>16</v>
      </c>
      <c r="F1350" t="s">
        <v>17</v>
      </c>
      <c r="G1350" t="s">
        <v>124</v>
      </c>
      <c r="H1350">
        <v>0</v>
      </c>
      <c r="I1350">
        <v>29990</v>
      </c>
      <c r="J1350">
        <v>-29990</v>
      </c>
      <c r="L1350">
        <v>33</v>
      </c>
      <c r="M1350">
        <v>1717094</v>
      </c>
      <c r="N1350" t="s">
        <v>113</v>
      </c>
      <c r="O1350" t="s">
        <v>114</v>
      </c>
    </row>
    <row r="1351" spans="2:15" x14ac:dyDescent="0.25">
      <c r="B1351" t="s">
        <v>36</v>
      </c>
      <c r="C1351" s="4">
        <v>44840</v>
      </c>
      <c r="D1351">
        <v>10</v>
      </c>
      <c r="E1351" t="s">
        <v>21</v>
      </c>
      <c r="F1351" t="s">
        <v>44</v>
      </c>
      <c r="G1351" t="s">
        <v>124</v>
      </c>
      <c r="H1351">
        <v>195339</v>
      </c>
      <c r="I1351">
        <v>0</v>
      </c>
      <c r="J1351">
        <v>195339</v>
      </c>
      <c r="L1351">
        <v>33</v>
      </c>
      <c r="M1351">
        <v>701003</v>
      </c>
      <c r="N1351" t="s">
        <v>49</v>
      </c>
      <c r="O1351" t="s">
        <v>50</v>
      </c>
    </row>
    <row r="1352" spans="2:15" x14ac:dyDescent="0.25">
      <c r="B1352" t="s">
        <v>36</v>
      </c>
      <c r="C1352" s="4">
        <v>44840</v>
      </c>
      <c r="D1352">
        <v>10</v>
      </c>
      <c r="E1352" t="s">
        <v>16</v>
      </c>
      <c r="F1352" t="s">
        <v>17</v>
      </c>
      <c r="G1352" t="s">
        <v>124</v>
      </c>
      <c r="H1352">
        <v>0</v>
      </c>
      <c r="I1352">
        <v>195339</v>
      </c>
      <c r="J1352">
        <v>-195339</v>
      </c>
      <c r="L1352">
        <v>33</v>
      </c>
      <c r="M1352">
        <v>701003</v>
      </c>
      <c r="N1352" t="s">
        <v>49</v>
      </c>
      <c r="O1352" t="s">
        <v>50</v>
      </c>
    </row>
    <row r="1353" spans="2:15" x14ac:dyDescent="0.25">
      <c r="B1353" t="s">
        <v>36</v>
      </c>
      <c r="C1353" s="4">
        <v>44841</v>
      </c>
      <c r="D1353">
        <v>10</v>
      </c>
      <c r="E1353" t="s">
        <v>21</v>
      </c>
      <c r="F1353" t="s">
        <v>44</v>
      </c>
      <c r="G1353" t="s">
        <v>124</v>
      </c>
      <c r="H1353">
        <v>165065</v>
      </c>
      <c r="I1353">
        <v>0</v>
      </c>
      <c r="J1353">
        <v>165065</v>
      </c>
      <c r="L1353">
        <v>33</v>
      </c>
      <c r="M1353">
        <v>402271</v>
      </c>
      <c r="N1353" t="s">
        <v>51</v>
      </c>
      <c r="O1353" t="s">
        <v>52</v>
      </c>
    </row>
    <row r="1354" spans="2:15" x14ac:dyDescent="0.25">
      <c r="B1354" t="s">
        <v>36</v>
      </c>
      <c r="C1354" s="4">
        <v>44841</v>
      </c>
      <c r="D1354">
        <v>10</v>
      </c>
      <c r="E1354" t="s">
        <v>16</v>
      </c>
      <c r="F1354" t="s">
        <v>17</v>
      </c>
      <c r="G1354" t="s">
        <v>124</v>
      </c>
      <c r="H1354">
        <v>0</v>
      </c>
      <c r="I1354">
        <v>165065</v>
      </c>
      <c r="J1354">
        <v>-165065</v>
      </c>
      <c r="L1354">
        <v>33</v>
      </c>
      <c r="M1354">
        <v>402271</v>
      </c>
      <c r="N1354" t="s">
        <v>51</v>
      </c>
      <c r="O1354" t="s">
        <v>52</v>
      </c>
    </row>
    <row r="1355" spans="2:15" x14ac:dyDescent="0.25">
      <c r="B1355" t="s">
        <v>36</v>
      </c>
      <c r="C1355" s="4">
        <v>44846</v>
      </c>
      <c r="D1355">
        <v>10</v>
      </c>
      <c r="E1355" t="s">
        <v>21</v>
      </c>
      <c r="F1355" t="s">
        <v>44</v>
      </c>
      <c r="G1355" t="s">
        <v>124</v>
      </c>
      <c r="H1355">
        <v>18000</v>
      </c>
      <c r="I1355">
        <v>0</v>
      </c>
      <c r="J1355">
        <v>18000</v>
      </c>
      <c r="L1355">
        <v>33</v>
      </c>
      <c r="M1355">
        <v>164521</v>
      </c>
      <c r="N1355" t="s">
        <v>45</v>
      </c>
      <c r="O1355" t="s">
        <v>46</v>
      </c>
    </row>
    <row r="1356" spans="2:15" x14ac:dyDescent="0.25">
      <c r="B1356" t="s">
        <v>36</v>
      </c>
      <c r="C1356" s="4">
        <v>44846</v>
      </c>
      <c r="D1356">
        <v>10</v>
      </c>
      <c r="E1356" t="s">
        <v>16</v>
      </c>
      <c r="F1356" t="s">
        <v>17</v>
      </c>
      <c r="G1356" t="s">
        <v>124</v>
      </c>
      <c r="H1356">
        <v>0</v>
      </c>
      <c r="I1356">
        <v>18000</v>
      </c>
      <c r="J1356">
        <v>-18000</v>
      </c>
      <c r="L1356">
        <v>33</v>
      </c>
      <c r="M1356">
        <v>164521</v>
      </c>
      <c r="N1356" t="s">
        <v>45</v>
      </c>
      <c r="O1356" t="s">
        <v>46</v>
      </c>
    </row>
    <row r="1357" spans="2:15" x14ac:dyDescent="0.25">
      <c r="B1357" t="s">
        <v>36</v>
      </c>
      <c r="C1357" s="4">
        <v>44847</v>
      </c>
      <c r="D1357">
        <v>10</v>
      </c>
      <c r="E1357" t="s">
        <v>21</v>
      </c>
      <c r="F1357" t="s">
        <v>44</v>
      </c>
      <c r="G1357" t="s">
        <v>124</v>
      </c>
      <c r="H1357">
        <v>2820</v>
      </c>
      <c r="I1357">
        <v>0</v>
      </c>
      <c r="J1357">
        <v>2820</v>
      </c>
      <c r="L1357">
        <v>33</v>
      </c>
      <c r="M1357">
        <v>369607</v>
      </c>
      <c r="N1357" t="s">
        <v>115</v>
      </c>
      <c r="O1357" t="s">
        <v>116</v>
      </c>
    </row>
    <row r="1358" spans="2:15" x14ac:dyDescent="0.25">
      <c r="B1358" t="s">
        <v>36</v>
      </c>
      <c r="C1358" s="4">
        <v>44847</v>
      </c>
      <c r="D1358">
        <v>10</v>
      </c>
      <c r="E1358" t="s">
        <v>16</v>
      </c>
      <c r="F1358" t="s">
        <v>17</v>
      </c>
      <c r="G1358" t="s">
        <v>124</v>
      </c>
      <c r="H1358">
        <v>0</v>
      </c>
      <c r="I1358">
        <v>2820</v>
      </c>
      <c r="J1358">
        <v>-2820</v>
      </c>
      <c r="L1358">
        <v>33</v>
      </c>
      <c r="M1358">
        <v>369607</v>
      </c>
      <c r="N1358" t="s">
        <v>115</v>
      </c>
      <c r="O1358" t="s">
        <v>116</v>
      </c>
    </row>
    <row r="1359" spans="2:15" x14ac:dyDescent="0.25">
      <c r="B1359" t="s">
        <v>36</v>
      </c>
      <c r="C1359" s="4">
        <v>44848</v>
      </c>
      <c r="D1359">
        <v>10</v>
      </c>
      <c r="E1359" t="s">
        <v>21</v>
      </c>
      <c r="F1359" t="s">
        <v>44</v>
      </c>
      <c r="G1359" t="s">
        <v>124</v>
      </c>
      <c r="H1359">
        <v>17100</v>
      </c>
      <c r="I1359">
        <v>0</v>
      </c>
      <c r="J1359">
        <v>17100</v>
      </c>
      <c r="L1359">
        <v>33</v>
      </c>
      <c r="M1359">
        <v>5111</v>
      </c>
      <c r="N1359" t="s">
        <v>83</v>
      </c>
      <c r="O1359" t="s">
        <v>84</v>
      </c>
    </row>
    <row r="1360" spans="2:15" x14ac:dyDescent="0.25">
      <c r="B1360" t="s">
        <v>36</v>
      </c>
      <c r="C1360" s="4">
        <v>44848</v>
      </c>
      <c r="D1360">
        <v>10</v>
      </c>
      <c r="E1360" t="s">
        <v>16</v>
      </c>
      <c r="F1360" t="s">
        <v>17</v>
      </c>
      <c r="G1360" t="s">
        <v>124</v>
      </c>
      <c r="H1360">
        <v>0</v>
      </c>
      <c r="I1360">
        <v>17100</v>
      </c>
      <c r="J1360">
        <v>-17100</v>
      </c>
      <c r="L1360">
        <v>33</v>
      </c>
      <c r="M1360">
        <v>5111</v>
      </c>
      <c r="N1360" t="s">
        <v>83</v>
      </c>
      <c r="O1360" t="s">
        <v>84</v>
      </c>
    </row>
    <row r="1361" spans="2:15" x14ac:dyDescent="0.25">
      <c r="B1361" t="s">
        <v>36</v>
      </c>
      <c r="C1361" s="4">
        <v>44848</v>
      </c>
      <c r="D1361">
        <v>10</v>
      </c>
      <c r="E1361" t="s">
        <v>21</v>
      </c>
      <c r="F1361" t="s">
        <v>44</v>
      </c>
      <c r="G1361" t="s">
        <v>124</v>
      </c>
      <c r="H1361">
        <v>192259</v>
      </c>
      <c r="I1361">
        <v>0</v>
      </c>
      <c r="J1361">
        <v>192259</v>
      </c>
      <c r="L1361">
        <v>33</v>
      </c>
      <c r="M1361">
        <v>317825</v>
      </c>
      <c r="N1361" t="s">
        <v>63</v>
      </c>
      <c r="O1361" t="s">
        <v>64</v>
      </c>
    </row>
    <row r="1362" spans="2:15" x14ac:dyDescent="0.25">
      <c r="B1362" t="s">
        <v>36</v>
      </c>
      <c r="C1362" s="4">
        <v>44848</v>
      </c>
      <c r="D1362">
        <v>10</v>
      </c>
      <c r="E1362" t="s">
        <v>16</v>
      </c>
      <c r="F1362" t="s">
        <v>17</v>
      </c>
      <c r="G1362" t="s">
        <v>124</v>
      </c>
      <c r="H1362">
        <v>0</v>
      </c>
      <c r="I1362">
        <v>192259</v>
      </c>
      <c r="J1362">
        <v>-192259</v>
      </c>
      <c r="L1362">
        <v>33</v>
      </c>
      <c r="M1362">
        <v>317825</v>
      </c>
      <c r="N1362" t="s">
        <v>63</v>
      </c>
      <c r="O1362" t="s">
        <v>64</v>
      </c>
    </row>
    <row r="1363" spans="2:15" x14ac:dyDescent="0.25">
      <c r="B1363" t="s">
        <v>36</v>
      </c>
      <c r="C1363" s="4">
        <v>44848</v>
      </c>
      <c r="D1363">
        <v>10</v>
      </c>
      <c r="E1363" t="s">
        <v>21</v>
      </c>
      <c r="F1363" t="s">
        <v>44</v>
      </c>
      <c r="G1363" t="s">
        <v>124</v>
      </c>
      <c r="H1363">
        <v>3580</v>
      </c>
      <c r="I1363">
        <v>0</v>
      </c>
      <c r="J1363">
        <v>3580</v>
      </c>
      <c r="L1363">
        <v>33</v>
      </c>
      <c r="M1363">
        <v>1354</v>
      </c>
      <c r="N1363" t="s">
        <v>73</v>
      </c>
      <c r="O1363" t="s">
        <v>74</v>
      </c>
    </row>
    <row r="1364" spans="2:15" x14ac:dyDescent="0.25">
      <c r="B1364" t="s">
        <v>36</v>
      </c>
      <c r="C1364" s="4">
        <v>44848</v>
      </c>
      <c r="D1364">
        <v>10</v>
      </c>
      <c r="E1364" t="s">
        <v>16</v>
      </c>
      <c r="F1364" t="s">
        <v>17</v>
      </c>
      <c r="G1364" t="s">
        <v>124</v>
      </c>
      <c r="H1364">
        <v>0</v>
      </c>
      <c r="I1364">
        <v>3580</v>
      </c>
      <c r="J1364">
        <v>-3580</v>
      </c>
      <c r="L1364">
        <v>33</v>
      </c>
      <c r="M1364">
        <v>1354</v>
      </c>
      <c r="N1364" t="s">
        <v>73</v>
      </c>
      <c r="O1364" t="s">
        <v>74</v>
      </c>
    </row>
    <row r="1365" spans="2:15" x14ac:dyDescent="0.25">
      <c r="B1365" t="s">
        <v>36</v>
      </c>
      <c r="C1365" s="4">
        <v>44848</v>
      </c>
      <c r="D1365">
        <v>10</v>
      </c>
      <c r="E1365" t="s">
        <v>21</v>
      </c>
      <c r="F1365" t="s">
        <v>44</v>
      </c>
      <c r="G1365" t="s">
        <v>124</v>
      </c>
      <c r="H1365">
        <v>6000</v>
      </c>
      <c r="I1365">
        <v>0</v>
      </c>
      <c r="J1365">
        <v>6000</v>
      </c>
      <c r="L1365">
        <v>33</v>
      </c>
      <c r="M1365">
        <v>12508</v>
      </c>
      <c r="N1365" t="s">
        <v>101</v>
      </c>
      <c r="O1365" t="s">
        <v>102</v>
      </c>
    </row>
    <row r="1366" spans="2:15" x14ac:dyDescent="0.25">
      <c r="B1366" t="s">
        <v>36</v>
      </c>
      <c r="C1366" s="4">
        <v>44848</v>
      </c>
      <c r="D1366">
        <v>10</v>
      </c>
      <c r="E1366" t="s">
        <v>16</v>
      </c>
      <c r="F1366" t="s">
        <v>17</v>
      </c>
      <c r="G1366" t="s">
        <v>124</v>
      </c>
      <c r="H1366">
        <v>0</v>
      </c>
      <c r="I1366">
        <v>6000</v>
      </c>
      <c r="J1366">
        <v>-6000</v>
      </c>
      <c r="L1366">
        <v>33</v>
      </c>
      <c r="M1366">
        <v>12508</v>
      </c>
      <c r="N1366" t="s">
        <v>101</v>
      </c>
      <c r="O1366" t="s">
        <v>102</v>
      </c>
    </row>
    <row r="1367" spans="2:15" x14ac:dyDescent="0.25">
      <c r="B1367" t="s">
        <v>36</v>
      </c>
      <c r="C1367" s="4">
        <v>44851</v>
      </c>
      <c r="D1367">
        <v>10</v>
      </c>
      <c r="E1367" t="s">
        <v>21</v>
      </c>
      <c r="F1367" t="s">
        <v>44</v>
      </c>
      <c r="G1367" t="s">
        <v>124</v>
      </c>
      <c r="H1367">
        <v>385858</v>
      </c>
      <c r="I1367">
        <v>0</v>
      </c>
      <c r="J1367">
        <v>385858</v>
      </c>
      <c r="L1367">
        <v>33</v>
      </c>
      <c r="M1367">
        <v>403014</v>
      </c>
      <c r="N1367" t="s">
        <v>51</v>
      </c>
      <c r="O1367" t="s">
        <v>52</v>
      </c>
    </row>
    <row r="1368" spans="2:15" x14ac:dyDescent="0.25">
      <c r="B1368" t="s">
        <v>36</v>
      </c>
      <c r="C1368" s="4">
        <v>44851</v>
      </c>
      <c r="D1368">
        <v>10</v>
      </c>
      <c r="E1368" t="s">
        <v>16</v>
      </c>
      <c r="F1368" t="s">
        <v>17</v>
      </c>
      <c r="G1368" t="s">
        <v>124</v>
      </c>
      <c r="H1368">
        <v>0</v>
      </c>
      <c r="I1368">
        <v>385858</v>
      </c>
      <c r="J1368">
        <v>-385858</v>
      </c>
      <c r="L1368">
        <v>33</v>
      </c>
      <c r="M1368">
        <v>403014</v>
      </c>
      <c r="N1368" t="s">
        <v>51</v>
      </c>
      <c r="O1368" t="s">
        <v>52</v>
      </c>
    </row>
    <row r="1369" spans="2:15" x14ac:dyDescent="0.25">
      <c r="B1369" t="s">
        <v>36</v>
      </c>
      <c r="C1369" s="4">
        <v>44852</v>
      </c>
      <c r="D1369">
        <v>10</v>
      </c>
      <c r="E1369" t="s">
        <v>21</v>
      </c>
      <c r="F1369" t="s">
        <v>44</v>
      </c>
      <c r="G1369" t="s">
        <v>124</v>
      </c>
      <c r="H1369">
        <v>7215</v>
      </c>
      <c r="I1369">
        <v>0</v>
      </c>
      <c r="J1369">
        <v>7215</v>
      </c>
      <c r="L1369">
        <v>33</v>
      </c>
      <c r="M1369">
        <v>318105</v>
      </c>
      <c r="N1369" t="s">
        <v>63</v>
      </c>
      <c r="O1369" t="s">
        <v>64</v>
      </c>
    </row>
    <row r="1370" spans="2:15" x14ac:dyDescent="0.25">
      <c r="B1370" t="s">
        <v>36</v>
      </c>
      <c r="C1370" s="4">
        <v>44852</v>
      </c>
      <c r="D1370">
        <v>10</v>
      </c>
      <c r="E1370" t="s">
        <v>16</v>
      </c>
      <c r="F1370" t="s">
        <v>17</v>
      </c>
      <c r="G1370" t="s">
        <v>124</v>
      </c>
      <c r="H1370">
        <v>0</v>
      </c>
      <c r="I1370">
        <v>7215</v>
      </c>
      <c r="J1370">
        <v>-7215</v>
      </c>
      <c r="L1370">
        <v>33</v>
      </c>
      <c r="M1370">
        <v>318105</v>
      </c>
      <c r="N1370" t="s">
        <v>63</v>
      </c>
      <c r="O1370" t="s">
        <v>64</v>
      </c>
    </row>
    <row r="1371" spans="2:15" x14ac:dyDescent="0.25">
      <c r="B1371" t="s">
        <v>36</v>
      </c>
      <c r="C1371" s="4">
        <v>44854</v>
      </c>
      <c r="D1371">
        <v>10</v>
      </c>
      <c r="E1371" t="s">
        <v>21</v>
      </c>
      <c r="F1371" t="s">
        <v>44</v>
      </c>
      <c r="G1371" t="s">
        <v>124</v>
      </c>
      <c r="H1371">
        <v>510510</v>
      </c>
      <c r="I1371">
        <v>0</v>
      </c>
      <c r="J1371">
        <v>510510</v>
      </c>
      <c r="L1371">
        <v>33</v>
      </c>
      <c r="M1371">
        <v>403735</v>
      </c>
      <c r="N1371" t="s">
        <v>51</v>
      </c>
      <c r="O1371" t="s">
        <v>52</v>
      </c>
    </row>
    <row r="1372" spans="2:15" x14ac:dyDescent="0.25">
      <c r="B1372" t="s">
        <v>36</v>
      </c>
      <c r="C1372" s="4">
        <v>44854</v>
      </c>
      <c r="D1372">
        <v>10</v>
      </c>
      <c r="E1372" t="s">
        <v>16</v>
      </c>
      <c r="F1372" t="s">
        <v>17</v>
      </c>
      <c r="G1372" t="s">
        <v>124</v>
      </c>
      <c r="H1372">
        <v>0</v>
      </c>
      <c r="I1372">
        <v>510510</v>
      </c>
      <c r="J1372">
        <v>-510510</v>
      </c>
      <c r="L1372">
        <v>33</v>
      </c>
      <c r="M1372">
        <v>403735</v>
      </c>
      <c r="N1372" t="s">
        <v>51</v>
      </c>
      <c r="O1372" t="s">
        <v>52</v>
      </c>
    </row>
    <row r="1373" spans="2:15" x14ac:dyDescent="0.25">
      <c r="B1373" t="s">
        <v>36</v>
      </c>
      <c r="C1373" s="4">
        <v>44850</v>
      </c>
      <c r="D1373">
        <v>10</v>
      </c>
      <c r="E1373" t="s">
        <v>21</v>
      </c>
      <c r="F1373" t="s">
        <v>44</v>
      </c>
      <c r="G1373" t="s">
        <v>124</v>
      </c>
      <c r="H1373">
        <v>42960</v>
      </c>
      <c r="I1373">
        <v>0</v>
      </c>
      <c r="J1373">
        <v>42960</v>
      </c>
      <c r="L1373">
        <v>33</v>
      </c>
      <c r="M1373">
        <v>10839741</v>
      </c>
      <c r="N1373" t="s">
        <v>57</v>
      </c>
      <c r="O1373" t="s">
        <v>58</v>
      </c>
    </row>
    <row r="1374" spans="2:15" x14ac:dyDescent="0.25">
      <c r="B1374" t="s">
        <v>36</v>
      </c>
      <c r="C1374" s="4">
        <v>44850</v>
      </c>
      <c r="D1374">
        <v>10</v>
      </c>
      <c r="E1374" t="s">
        <v>16</v>
      </c>
      <c r="F1374" t="s">
        <v>17</v>
      </c>
      <c r="G1374" t="s">
        <v>124</v>
      </c>
      <c r="H1374">
        <v>0</v>
      </c>
      <c r="I1374">
        <v>42960</v>
      </c>
      <c r="J1374">
        <v>-42960</v>
      </c>
      <c r="L1374">
        <v>33</v>
      </c>
      <c r="M1374">
        <v>10839741</v>
      </c>
      <c r="N1374" t="s">
        <v>57</v>
      </c>
      <c r="O1374" t="s">
        <v>58</v>
      </c>
    </row>
    <row r="1375" spans="2:15" x14ac:dyDescent="0.25">
      <c r="B1375" t="s">
        <v>36</v>
      </c>
      <c r="C1375" s="4">
        <v>44858</v>
      </c>
      <c r="D1375">
        <v>10</v>
      </c>
      <c r="E1375" t="s">
        <v>21</v>
      </c>
      <c r="F1375" t="s">
        <v>44</v>
      </c>
      <c r="G1375" t="s">
        <v>124</v>
      </c>
      <c r="H1375">
        <v>9290</v>
      </c>
      <c r="I1375">
        <v>0</v>
      </c>
      <c r="J1375">
        <v>9290</v>
      </c>
      <c r="L1375">
        <v>33</v>
      </c>
      <c r="M1375">
        <v>38294</v>
      </c>
      <c r="N1375" t="s">
        <v>81</v>
      </c>
      <c r="O1375" t="s">
        <v>82</v>
      </c>
    </row>
    <row r="1376" spans="2:15" x14ac:dyDescent="0.25">
      <c r="B1376" t="s">
        <v>36</v>
      </c>
      <c r="C1376" s="4">
        <v>44858</v>
      </c>
      <c r="D1376">
        <v>10</v>
      </c>
      <c r="E1376" t="s">
        <v>16</v>
      </c>
      <c r="F1376" t="s">
        <v>17</v>
      </c>
      <c r="G1376" t="s">
        <v>124</v>
      </c>
      <c r="H1376">
        <v>0</v>
      </c>
      <c r="I1376">
        <v>9290</v>
      </c>
      <c r="J1376">
        <v>-9290</v>
      </c>
      <c r="L1376">
        <v>33</v>
      </c>
      <c r="M1376">
        <v>38294</v>
      </c>
      <c r="N1376" t="s">
        <v>81</v>
      </c>
      <c r="O1376" t="s">
        <v>82</v>
      </c>
    </row>
    <row r="1377" spans="2:15" x14ac:dyDescent="0.25">
      <c r="B1377" t="s">
        <v>36</v>
      </c>
      <c r="C1377" s="4">
        <v>44859</v>
      </c>
      <c r="D1377">
        <v>10</v>
      </c>
      <c r="E1377" t="s">
        <v>21</v>
      </c>
      <c r="F1377" t="s">
        <v>44</v>
      </c>
      <c r="G1377" t="s">
        <v>124</v>
      </c>
      <c r="H1377">
        <v>326782</v>
      </c>
      <c r="I1377">
        <v>0</v>
      </c>
      <c r="J1377">
        <v>326782</v>
      </c>
      <c r="L1377">
        <v>33</v>
      </c>
      <c r="M1377">
        <v>705839</v>
      </c>
      <c r="N1377" t="s">
        <v>49</v>
      </c>
      <c r="O1377" t="s">
        <v>50</v>
      </c>
    </row>
    <row r="1378" spans="2:15" x14ac:dyDescent="0.25">
      <c r="B1378" t="s">
        <v>36</v>
      </c>
      <c r="C1378" s="4">
        <v>44859</v>
      </c>
      <c r="D1378">
        <v>10</v>
      </c>
      <c r="E1378" t="s">
        <v>16</v>
      </c>
      <c r="F1378" t="s">
        <v>17</v>
      </c>
      <c r="G1378" t="s">
        <v>124</v>
      </c>
      <c r="H1378">
        <v>0</v>
      </c>
      <c r="I1378">
        <v>326782</v>
      </c>
      <c r="J1378">
        <v>-326782</v>
      </c>
      <c r="L1378">
        <v>33</v>
      </c>
      <c r="M1378">
        <v>705839</v>
      </c>
      <c r="N1378" t="s">
        <v>49</v>
      </c>
      <c r="O1378" t="s">
        <v>50</v>
      </c>
    </row>
    <row r="1379" spans="2:15" x14ac:dyDescent="0.25">
      <c r="B1379" t="s">
        <v>36</v>
      </c>
      <c r="C1379" s="4">
        <v>44862</v>
      </c>
      <c r="D1379">
        <v>10</v>
      </c>
      <c r="E1379" t="s">
        <v>21</v>
      </c>
      <c r="F1379" t="s">
        <v>44</v>
      </c>
      <c r="G1379" t="s">
        <v>124</v>
      </c>
      <c r="H1379">
        <v>144192</v>
      </c>
      <c r="I1379">
        <v>0</v>
      </c>
      <c r="J1379">
        <v>144192</v>
      </c>
      <c r="L1379">
        <v>33</v>
      </c>
      <c r="M1379">
        <v>405797</v>
      </c>
      <c r="N1379" t="s">
        <v>51</v>
      </c>
      <c r="O1379" t="s">
        <v>52</v>
      </c>
    </row>
    <row r="1380" spans="2:15" x14ac:dyDescent="0.25">
      <c r="B1380" t="s">
        <v>36</v>
      </c>
      <c r="C1380" s="4">
        <v>44862</v>
      </c>
      <c r="D1380">
        <v>10</v>
      </c>
      <c r="E1380" t="s">
        <v>16</v>
      </c>
      <c r="F1380" t="s">
        <v>17</v>
      </c>
      <c r="G1380" t="s">
        <v>124</v>
      </c>
      <c r="H1380">
        <v>0</v>
      </c>
      <c r="I1380">
        <v>144192</v>
      </c>
      <c r="J1380">
        <v>-144192</v>
      </c>
      <c r="L1380">
        <v>33</v>
      </c>
      <c r="M1380">
        <v>405797</v>
      </c>
      <c r="N1380" t="s">
        <v>51</v>
      </c>
      <c r="O1380" t="s">
        <v>52</v>
      </c>
    </row>
    <row r="1381" spans="2:15" x14ac:dyDescent="0.25">
      <c r="B1381" t="s">
        <v>36</v>
      </c>
      <c r="C1381" s="4">
        <v>44839</v>
      </c>
      <c r="D1381">
        <v>10</v>
      </c>
      <c r="E1381" t="s">
        <v>21</v>
      </c>
      <c r="F1381" t="s">
        <v>44</v>
      </c>
      <c r="G1381" t="s">
        <v>124</v>
      </c>
      <c r="H1381">
        <v>0</v>
      </c>
      <c r="I1381">
        <v>139750</v>
      </c>
      <c r="J1381">
        <v>-139750</v>
      </c>
      <c r="L1381">
        <v>61</v>
      </c>
      <c r="M1381">
        <v>71</v>
      </c>
      <c r="N1381" t="s">
        <v>83</v>
      </c>
      <c r="O1381" t="s">
        <v>84</v>
      </c>
    </row>
    <row r="1382" spans="2:15" x14ac:dyDescent="0.25">
      <c r="B1382" t="s">
        <v>36</v>
      </c>
      <c r="C1382" s="4">
        <v>44839</v>
      </c>
      <c r="D1382">
        <v>10</v>
      </c>
      <c r="E1382" t="s">
        <v>16</v>
      </c>
      <c r="F1382" t="s">
        <v>17</v>
      </c>
      <c r="G1382" t="s">
        <v>124</v>
      </c>
      <c r="H1382">
        <v>139750</v>
      </c>
      <c r="I1382">
        <v>0</v>
      </c>
      <c r="J1382">
        <v>139750</v>
      </c>
      <c r="L1382">
        <v>61</v>
      </c>
      <c r="M1382">
        <v>71</v>
      </c>
      <c r="N1382" t="s">
        <v>83</v>
      </c>
      <c r="O1382" t="s">
        <v>84</v>
      </c>
    </row>
    <row r="1383" spans="2:15" x14ac:dyDescent="0.25">
      <c r="B1383" t="s">
        <v>36</v>
      </c>
      <c r="C1383" s="4">
        <v>44860</v>
      </c>
      <c r="D1383">
        <v>11</v>
      </c>
      <c r="E1383" t="s">
        <v>21</v>
      </c>
      <c r="F1383" t="s">
        <v>44</v>
      </c>
      <c r="G1383" t="s">
        <v>124</v>
      </c>
      <c r="H1383">
        <v>12126</v>
      </c>
      <c r="I1383">
        <v>0</v>
      </c>
      <c r="J1383">
        <v>12126</v>
      </c>
      <c r="L1383">
        <v>33</v>
      </c>
      <c r="M1383">
        <v>319197</v>
      </c>
      <c r="N1383" t="s">
        <v>63</v>
      </c>
      <c r="O1383" t="s">
        <v>64</v>
      </c>
    </row>
    <row r="1384" spans="2:15" x14ac:dyDescent="0.25">
      <c r="B1384" t="s">
        <v>36</v>
      </c>
      <c r="C1384" s="4">
        <v>44860</v>
      </c>
      <c r="D1384">
        <v>11</v>
      </c>
      <c r="E1384" t="s">
        <v>16</v>
      </c>
      <c r="F1384" t="s">
        <v>17</v>
      </c>
      <c r="G1384" t="s">
        <v>124</v>
      </c>
      <c r="H1384">
        <v>0</v>
      </c>
      <c r="I1384">
        <v>12126</v>
      </c>
      <c r="J1384">
        <v>-12126</v>
      </c>
      <c r="L1384">
        <v>33</v>
      </c>
      <c r="M1384">
        <v>319197</v>
      </c>
      <c r="N1384" t="s">
        <v>63</v>
      </c>
      <c r="O1384" t="s">
        <v>64</v>
      </c>
    </row>
    <row r="1385" spans="2:15" x14ac:dyDescent="0.25">
      <c r="B1385" t="s">
        <v>36</v>
      </c>
      <c r="C1385" s="4">
        <v>44860</v>
      </c>
      <c r="D1385">
        <v>11</v>
      </c>
      <c r="E1385" t="s">
        <v>21</v>
      </c>
      <c r="F1385" t="s">
        <v>44</v>
      </c>
      <c r="G1385" t="s">
        <v>124</v>
      </c>
      <c r="H1385">
        <v>702000</v>
      </c>
      <c r="I1385">
        <v>0</v>
      </c>
      <c r="J1385">
        <v>702000</v>
      </c>
      <c r="L1385">
        <v>33</v>
      </c>
      <c r="M1385">
        <v>5488</v>
      </c>
      <c r="N1385" t="s">
        <v>83</v>
      </c>
      <c r="O1385" t="s">
        <v>84</v>
      </c>
    </row>
    <row r="1386" spans="2:15" x14ac:dyDescent="0.25">
      <c r="B1386" t="s">
        <v>36</v>
      </c>
      <c r="C1386" s="4">
        <v>44860</v>
      </c>
      <c r="D1386">
        <v>11</v>
      </c>
      <c r="E1386" t="s">
        <v>16</v>
      </c>
      <c r="F1386" t="s">
        <v>17</v>
      </c>
      <c r="G1386" t="s">
        <v>124</v>
      </c>
      <c r="H1386">
        <v>0</v>
      </c>
      <c r="I1386">
        <v>702000</v>
      </c>
      <c r="J1386">
        <v>-702000</v>
      </c>
      <c r="L1386">
        <v>33</v>
      </c>
      <c r="M1386">
        <v>5488</v>
      </c>
      <c r="N1386" t="s">
        <v>83</v>
      </c>
      <c r="O1386" t="s">
        <v>84</v>
      </c>
    </row>
    <row r="1387" spans="2:15" x14ac:dyDescent="0.25">
      <c r="B1387" t="s">
        <v>36</v>
      </c>
      <c r="C1387" s="4">
        <v>44867</v>
      </c>
      <c r="D1387">
        <v>11</v>
      </c>
      <c r="E1387" t="s">
        <v>21</v>
      </c>
      <c r="F1387" t="s">
        <v>44</v>
      </c>
      <c r="G1387" t="s">
        <v>124</v>
      </c>
      <c r="H1387">
        <v>33130</v>
      </c>
      <c r="I1387">
        <v>0</v>
      </c>
      <c r="J1387">
        <v>33130</v>
      </c>
      <c r="L1387">
        <v>33</v>
      </c>
      <c r="M1387">
        <v>405905</v>
      </c>
      <c r="N1387" t="s">
        <v>51</v>
      </c>
      <c r="O1387" t="s">
        <v>52</v>
      </c>
    </row>
    <row r="1388" spans="2:15" x14ac:dyDescent="0.25">
      <c r="B1388" t="s">
        <v>36</v>
      </c>
      <c r="C1388" s="4">
        <v>44867</v>
      </c>
      <c r="D1388">
        <v>11</v>
      </c>
      <c r="E1388" t="s">
        <v>16</v>
      </c>
      <c r="F1388" t="s">
        <v>17</v>
      </c>
      <c r="G1388" t="s">
        <v>124</v>
      </c>
      <c r="H1388">
        <v>0</v>
      </c>
      <c r="I1388">
        <v>33130</v>
      </c>
      <c r="J1388">
        <v>-33130</v>
      </c>
      <c r="L1388">
        <v>33</v>
      </c>
      <c r="M1388">
        <v>405905</v>
      </c>
      <c r="N1388" t="s">
        <v>51</v>
      </c>
      <c r="O1388" t="s">
        <v>52</v>
      </c>
    </row>
    <row r="1389" spans="2:15" x14ac:dyDescent="0.25">
      <c r="B1389" t="s">
        <v>36</v>
      </c>
      <c r="C1389" s="4">
        <v>44867</v>
      </c>
      <c r="D1389">
        <v>11</v>
      </c>
      <c r="E1389" t="s">
        <v>21</v>
      </c>
      <c r="F1389" t="s">
        <v>44</v>
      </c>
      <c r="G1389" t="s">
        <v>124</v>
      </c>
      <c r="H1389">
        <v>221490</v>
      </c>
      <c r="I1389">
        <v>0</v>
      </c>
      <c r="J1389">
        <v>221490</v>
      </c>
      <c r="L1389">
        <v>33</v>
      </c>
      <c r="M1389">
        <v>707451</v>
      </c>
      <c r="N1389" t="s">
        <v>49</v>
      </c>
      <c r="O1389" t="s">
        <v>50</v>
      </c>
    </row>
    <row r="1390" spans="2:15" x14ac:dyDescent="0.25">
      <c r="B1390" t="s">
        <v>36</v>
      </c>
      <c r="C1390" s="4">
        <v>44867</v>
      </c>
      <c r="D1390">
        <v>11</v>
      </c>
      <c r="E1390" t="s">
        <v>16</v>
      </c>
      <c r="F1390" t="s">
        <v>17</v>
      </c>
      <c r="G1390" t="s">
        <v>124</v>
      </c>
      <c r="H1390">
        <v>0</v>
      </c>
      <c r="I1390">
        <v>221490</v>
      </c>
      <c r="J1390">
        <v>-221490</v>
      </c>
      <c r="L1390">
        <v>33</v>
      </c>
      <c r="M1390">
        <v>707451</v>
      </c>
      <c r="N1390" t="s">
        <v>49</v>
      </c>
      <c r="O1390" t="s">
        <v>50</v>
      </c>
    </row>
    <row r="1391" spans="2:15" x14ac:dyDescent="0.25">
      <c r="B1391" t="s">
        <v>36</v>
      </c>
      <c r="C1391" s="4">
        <v>44867</v>
      </c>
      <c r="D1391">
        <v>11</v>
      </c>
      <c r="E1391" t="s">
        <v>21</v>
      </c>
      <c r="F1391" t="s">
        <v>44</v>
      </c>
      <c r="G1391" t="s">
        <v>124</v>
      </c>
      <c r="H1391">
        <v>1915</v>
      </c>
      <c r="I1391">
        <v>0</v>
      </c>
      <c r="J1391">
        <v>1915</v>
      </c>
      <c r="L1391">
        <v>33</v>
      </c>
      <c r="M1391">
        <v>707466</v>
      </c>
      <c r="N1391" t="s">
        <v>49</v>
      </c>
      <c r="O1391" t="s">
        <v>50</v>
      </c>
    </row>
    <row r="1392" spans="2:15" x14ac:dyDescent="0.25">
      <c r="B1392" t="s">
        <v>36</v>
      </c>
      <c r="C1392" s="4">
        <v>44867</v>
      </c>
      <c r="D1392">
        <v>11</v>
      </c>
      <c r="E1392" t="s">
        <v>16</v>
      </c>
      <c r="F1392" t="s">
        <v>17</v>
      </c>
      <c r="G1392" t="s">
        <v>124</v>
      </c>
      <c r="H1392">
        <v>0</v>
      </c>
      <c r="I1392">
        <v>1915</v>
      </c>
      <c r="J1392">
        <v>-1915</v>
      </c>
      <c r="L1392">
        <v>33</v>
      </c>
      <c r="M1392">
        <v>707466</v>
      </c>
      <c r="N1392" t="s">
        <v>49</v>
      </c>
      <c r="O1392" t="s">
        <v>50</v>
      </c>
    </row>
    <row r="1393" spans="2:15" x14ac:dyDescent="0.25">
      <c r="B1393" t="s">
        <v>36</v>
      </c>
      <c r="C1393" s="4">
        <v>44867</v>
      </c>
      <c r="D1393">
        <v>11</v>
      </c>
      <c r="E1393" t="s">
        <v>21</v>
      </c>
      <c r="F1393" t="s">
        <v>44</v>
      </c>
      <c r="G1393" t="s">
        <v>124</v>
      </c>
      <c r="H1393">
        <v>9282</v>
      </c>
      <c r="I1393">
        <v>0</v>
      </c>
      <c r="J1393">
        <v>9282</v>
      </c>
      <c r="L1393">
        <v>33</v>
      </c>
      <c r="M1393">
        <v>406062</v>
      </c>
      <c r="N1393" t="s">
        <v>51</v>
      </c>
      <c r="O1393" t="s">
        <v>52</v>
      </c>
    </row>
    <row r="1394" spans="2:15" x14ac:dyDescent="0.25">
      <c r="B1394" t="s">
        <v>36</v>
      </c>
      <c r="C1394" s="4">
        <v>44867</v>
      </c>
      <c r="D1394">
        <v>11</v>
      </c>
      <c r="E1394" t="s">
        <v>16</v>
      </c>
      <c r="F1394" t="s">
        <v>17</v>
      </c>
      <c r="G1394" t="s">
        <v>124</v>
      </c>
      <c r="H1394">
        <v>0</v>
      </c>
      <c r="I1394">
        <v>9282</v>
      </c>
      <c r="J1394">
        <v>-9282</v>
      </c>
      <c r="L1394">
        <v>33</v>
      </c>
      <c r="M1394">
        <v>406062</v>
      </c>
      <c r="N1394" t="s">
        <v>51</v>
      </c>
      <c r="O1394" t="s">
        <v>52</v>
      </c>
    </row>
    <row r="1395" spans="2:15" x14ac:dyDescent="0.25">
      <c r="B1395" t="s">
        <v>36</v>
      </c>
      <c r="C1395" s="4">
        <v>44869</v>
      </c>
      <c r="D1395">
        <v>11</v>
      </c>
      <c r="E1395" t="s">
        <v>21</v>
      </c>
      <c r="F1395" t="s">
        <v>44</v>
      </c>
      <c r="G1395" t="s">
        <v>124</v>
      </c>
      <c r="H1395">
        <v>22201</v>
      </c>
      <c r="I1395">
        <v>0</v>
      </c>
      <c r="J1395">
        <v>22201</v>
      </c>
      <c r="L1395">
        <v>33</v>
      </c>
      <c r="M1395">
        <v>62</v>
      </c>
      <c r="N1395" t="s">
        <v>91</v>
      </c>
      <c r="O1395" t="s">
        <v>92</v>
      </c>
    </row>
    <row r="1396" spans="2:15" x14ac:dyDescent="0.25">
      <c r="B1396" t="s">
        <v>36</v>
      </c>
      <c r="C1396" s="4">
        <v>44869</v>
      </c>
      <c r="D1396">
        <v>11</v>
      </c>
      <c r="E1396" t="s">
        <v>16</v>
      </c>
      <c r="F1396" t="s">
        <v>17</v>
      </c>
      <c r="G1396" t="s">
        <v>124</v>
      </c>
      <c r="H1396">
        <v>0</v>
      </c>
      <c r="I1396">
        <v>22201</v>
      </c>
      <c r="J1396">
        <v>-22201</v>
      </c>
      <c r="L1396">
        <v>33</v>
      </c>
      <c r="M1396">
        <v>62</v>
      </c>
      <c r="N1396" t="s">
        <v>91</v>
      </c>
      <c r="O1396" t="s">
        <v>92</v>
      </c>
    </row>
    <row r="1397" spans="2:15" x14ac:dyDescent="0.25">
      <c r="B1397" t="s">
        <v>36</v>
      </c>
      <c r="C1397" s="4">
        <v>44873</v>
      </c>
      <c r="D1397">
        <v>11</v>
      </c>
      <c r="E1397" t="s">
        <v>21</v>
      </c>
      <c r="F1397" t="s">
        <v>44</v>
      </c>
      <c r="G1397" t="s">
        <v>124</v>
      </c>
      <c r="H1397">
        <v>14990</v>
      </c>
      <c r="I1397">
        <v>0</v>
      </c>
      <c r="J1397">
        <v>14990</v>
      </c>
      <c r="L1397">
        <v>33</v>
      </c>
      <c r="M1397">
        <v>38956</v>
      </c>
      <c r="N1397" t="s">
        <v>81</v>
      </c>
      <c r="O1397" t="s">
        <v>82</v>
      </c>
    </row>
    <row r="1398" spans="2:15" x14ac:dyDescent="0.25">
      <c r="B1398" t="s">
        <v>36</v>
      </c>
      <c r="C1398" s="4">
        <v>44873</v>
      </c>
      <c r="D1398">
        <v>11</v>
      </c>
      <c r="E1398" t="s">
        <v>16</v>
      </c>
      <c r="F1398" t="s">
        <v>17</v>
      </c>
      <c r="G1398" t="s">
        <v>124</v>
      </c>
      <c r="H1398">
        <v>0</v>
      </c>
      <c r="I1398">
        <v>14990</v>
      </c>
      <c r="J1398">
        <v>-14990</v>
      </c>
      <c r="L1398">
        <v>33</v>
      </c>
      <c r="M1398">
        <v>38956</v>
      </c>
      <c r="N1398" t="s">
        <v>81</v>
      </c>
      <c r="O1398" t="s">
        <v>82</v>
      </c>
    </row>
    <row r="1399" spans="2:15" x14ac:dyDescent="0.25">
      <c r="B1399" t="s">
        <v>36</v>
      </c>
      <c r="C1399" s="4">
        <v>44873</v>
      </c>
      <c r="D1399">
        <v>11</v>
      </c>
      <c r="E1399" t="s">
        <v>21</v>
      </c>
      <c r="F1399" t="s">
        <v>44</v>
      </c>
      <c r="G1399" t="s">
        <v>124</v>
      </c>
      <c r="H1399">
        <v>122609</v>
      </c>
      <c r="I1399">
        <v>0</v>
      </c>
      <c r="J1399">
        <v>122609</v>
      </c>
      <c r="L1399">
        <v>33</v>
      </c>
      <c r="M1399">
        <v>708892</v>
      </c>
      <c r="N1399" t="s">
        <v>49</v>
      </c>
      <c r="O1399" t="s">
        <v>50</v>
      </c>
    </row>
    <row r="1400" spans="2:15" x14ac:dyDescent="0.25">
      <c r="B1400" t="s">
        <v>36</v>
      </c>
      <c r="C1400" s="4">
        <v>44873</v>
      </c>
      <c r="D1400">
        <v>11</v>
      </c>
      <c r="E1400" t="s">
        <v>16</v>
      </c>
      <c r="F1400" t="s">
        <v>17</v>
      </c>
      <c r="G1400" t="s">
        <v>124</v>
      </c>
      <c r="H1400">
        <v>0</v>
      </c>
      <c r="I1400">
        <v>122609</v>
      </c>
      <c r="J1400">
        <v>-122609</v>
      </c>
      <c r="L1400">
        <v>33</v>
      </c>
      <c r="M1400">
        <v>708892</v>
      </c>
      <c r="N1400" t="s">
        <v>49</v>
      </c>
      <c r="O1400" t="s">
        <v>50</v>
      </c>
    </row>
    <row r="1401" spans="2:15" x14ac:dyDescent="0.25">
      <c r="B1401" t="s">
        <v>36</v>
      </c>
      <c r="C1401" s="4">
        <v>44874</v>
      </c>
      <c r="D1401">
        <v>11</v>
      </c>
      <c r="E1401" t="s">
        <v>21</v>
      </c>
      <c r="F1401" t="s">
        <v>44</v>
      </c>
      <c r="G1401" t="s">
        <v>124</v>
      </c>
      <c r="H1401">
        <v>240999</v>
      </c>
      <c r="I1401">
        <v>0</v>
      </c>
      <c r="J1401">
        <v>240999</v>
      </c>
      <c r="L1401">
        <v>33</v>
      </c>
      <c r="M1401">
        <v>407156</v>
      </c>
      <c r="N1401" t="s">
        <v>51</v>
      </c>
      <c r="O1401" t="s">
        <v>52</v>
      </c>
    </row>
    <row r="1402" spans="2:15" x14ac:dyDescent="0.25">
      <c r="B1402" t="s">
        <v>36</v>
      </c>
      <c r="C1402" s="4">
        <v>44874</v>
      </c>
      <c r="D1402">
        <v>11</v>
      </c>
      <c r="E1402" t="s">
        <v>16</v>
      </c>
      <c r="F1402" t="s">
        <v>17</v>
      </c>
      <c r="G1402" t="s">
        <v>124</v>
      </c>
      <c r="H1402">
        <v>0</v>
      </c>
      <c r="I1402">
        <v>240999</v>
      </c>
      <c r="J1402">
        <v>-240999</v>
      </c>
      <c r="L1402">
        <v>33</v>
      </c>
      <c r="M1402">
        <v>407156</v>
      </c>
      <c r="N1402" t="s">
        <v>51</v>
      </c>
      <c r="O1402" t="s">
        <v>52</v>
      </c>
    </row>
    <row r="1403" spans="2:15" x14ac:dyDescent="0.25">
      <c r="B1403" t="s">
        <v>36</v>
      </c>
      <c r="C1403" s="4">
        <v>44874</v>
      </c>
      <c r="D1403">
        <v>11</v>
      </c>
      <c r="E1403" t="s">
        <v>21</v>
      </c>
      <c r="F1403" t="s">
        <v>44</v>
      </c>
      <c r="G1403" t="s">
        <v>124</v>
      </c>
      <c r="H1403">
        <v>190924</v>
      </c>
      <c r="I1403">
        <v>0</v>
      </c>
      <c r="J1403">
        <v>190924</v>
      </c>
      <c r="L1403">
        <v>33</v>
      </c>
      <c r="M1403">
        <v>407264</v>
      </c>
      <c r="N1403" t="s">
        <v>51</v>
      </c>
      <c r="O1403" t="s">
        <v>52</v>
      </c>
    </row>
    <row r="1404" spans="2:15" x14ac:dyDescent="0.25">
      <c r="B1404" t="s">
        <v>36</v>
      </c>
      <c r="C1404" s="4">
        <v>44874</v>
      </c>
      <c r="D1404">
        <v>11</v>
      </c>
      <c r="E1404" t="s">
        <v>16</v>
      </c>
      <c r="F1404" t="s">
        <v>17</v>
      </c>
      <c r="G1404" t="s">
        <v>124</v>
      </c>
      <c r="H1404">
        <v>0</v>
      </c>
      <c r="I1404">
        <v>190924</v>
      </c>
      <c r="J1404">
        <v>-190924</v>
      </c>
      <c r="L1404">
        <v>33</v>
      </c>
      <c r="M1404">
        <v>407264</v>
      </c>
      <c r="N1404" t="s">
        <v>51</v>
      </c>
      <c r="O1404" t="s">
        <v>52</v>
      </c>
    </row>
    <row r="1405" spans="2:15" x14ac:dyDescent="0.25">
      <c r="B1405" t="s">
        <v>36</v>
      </c>
      <c r="C1405" s="4">
        <v>44875</v>
      </c>
      <c r="D1405">
        <v>11</v>
      </c>
      <c r="E1405" t="s">
        <v>21</v>
      </c>
      <c r="F1405" t="s">
        <v>44</v>
      </c>
      <c r="G1405" t="s">
        <v>124</v>
      </c>
      <c r="H1405">
        <v>9800</v>
      </c>
      <c r="I1405">
        <v>0</v>
      </c>
      <c r="J1405">
        <v>9800</v>
      </c>
      <c r="L1405">
        <v>33</v>
      </c>
      <c r="M1405">
        <v>68</v>
      </c>
      <c r="N1405" t="s">
        <v>91</v>
      </c>
      <c r="O1405" t="s">
        <v>92</v>
      </c>
    </row>
    <row r="1406" spans="2:15" x14ac:dyDescent="0.25">
      <c r="B1406" t="s">
        <v>36</v>
      </c>
      <c r="C1406" s="4">
        <v>44875</v>
      </c>
      <c r="D1406">
        <v>11</v>
      </c>
      <c r="E1406" t="s">
        <v>16</v>
      </c>
      <c r="F1406" t="s">
        <v>17</v>
      </c>
      <c r="G1406" t="s">
        <v>124</v>
      </c>
      <c r="H1406">
        <v>0</v>
      </c>
      <c r="I1406">
        <v>9800</v>
      </c>
      <c r="J1406">
        <v>-9800</v>
      </c>
      <c r="L1406">
        <v>33</v>
      </c>
      <c r="M1406">
        <v>68</v>
      </c>
      <c r="N1406" t="s">
        <v>91</v>
      </c>
      <c r="O1406" t="s">
        <v>92</v>
      </c>
    </row>
    <row r="1407" spans="2:15" x14ac:dyDescent="0.25">
      <c r="B1407" t="s">
        <v>36</v>
      </c>
      <c r="C1407" s="4">
        <v>44876</v>
      </c>
      <c r="D1407">
        <v>11</v>
      </c>
      <c r="E1407" t="s">
        <v>21</v>
      </c>
      <c r="F1407" t="s">
        <v>44</v>
      </c>
      <c r="G1407" t="s">
        <v>124</v>
      </c>
      <c r="H1407">
        <v>148905</v>
      </c>
      <c r="I1407">
        <v>0</v>
      </c>
      <c r="J1407">
        <v>148905</v>
      </c>
      <c r="L1407">
        <v>33</v>
      </c>
      <c r="M1407">
        <v>407780</v>
      </c>
      <c r="N1407" t="s">
        <v>51</v>
      </c>
      <c r="O1407" t="s">
        <v>52</v>
      </c>
    </row>
    <row r="1408" spans="2:15" x14ac:dyDescent="0.25">
      <c r="B1408" t="s">
        <v>36</v>
      </c>
      <c r="C1408" s="4">
        <v>44876</v>
      </c>
      <c r="D1408">
        <v>11</v>
      </c>
      <c r="E1408" t="s">
        <v>16</v>
      </c>
      <c r="F1408" t="s">
        <v>17</v>
      </c>
      <c r="G1408" t="s">
        <v>124</v>
      </c>
      <c r="H1408">
        <v>0</v>
      </c>
      <c r="I1408">
        <v>148905</v>
      </c>
      <c r="J1408">
        <v>-148905</v>
      </c>
      <c r="L1408">
        <v>33</v>
      </c>
      <c r="M1408">
        <v>407780</v>
      </c>
      <c r="N1408" t="s">
        <v>51</v>
      </c>
      <c r="O1408" t="s">
        <v>52</v>
      </c>
    </row>
    <row r="1409" spans="2:15" x14ac:dyDescent="0.25">
      <c r="B1409" t="s">
        <v>36</v>
      </c>
      <c r="C1409" s="4">
        <v>44876</v>
      </c>
      <c r="D1409">
        <v>11</v>
      </c>
      <c r="E1409" t="s">
        <v>21</v>
      </c>
      <c r="F1409" t="s">
        <v>44</v>
      </c>
      <c r="G1409" t="s">
        <v>124</v>
      </c>
      <c r="H1409">
        <v>92058</v>
      </c>
      <c r="I1409">
        <v>0</v>
      </c>
      <c r="J1409">
        <v>92058</v>
      </c>
      <c r="L1409">
        <v>33</v>
      </c>
      <c r="M1409">
        <v>407781</v>
      </c>
      <c r="N1409" t="s">
        <v>51</v>
      </c>
      <c r="O1409" t="s">
        <v>52</v>
      </c>
    </row>
    <row r="1410" spans="2:15" x14ac:dyDescent="0.25">
      <c r="B1410" t="s">
        <v>36</v>
      </c>
      <c r="C1410" s="4">
        <v>44876</v>
      </c>
      <c r="D1410">
        <v>11</v>
      </c>
      <c r="E1410" t="s">
        <v>16</v>
      </c>
      <c r="F1410" t="s">
        <v>17</v>
      </c>
      <c r="G1410" t="s">
        <v>124</v>
      </c>
      <c r="H1410">
        <v>0</v>
      </c>
      <c r="I1410">
        <v>92058</v>
      </c>
      <c r="J1410">
        <v>-92058</v>
      </c>
      <c r="L1410">
        <v>33</v>
      </c>
      <c r="M1410">
        <v>407781</v>
      </c>
      <c r="N1410" t="s">
        <v>51</v>
      </c>
      <c r="O1410" t="s">
        <v>52</v>
      </c>
    </row>
    <row r="1411" spans="2:15" x14ac:dyDescent="0.25">
      <c r="B1411" t="s">
        <v>36</v>
      </c>
      <c r="C1411" s="4">
        <v>44879</v>
      </c>
      <c r="D1411">
        <v>11</v>
      </c>
      <c r="E1411" t="s">
        <v>21</v>
      </c>
      <c r="F1411" t="s">
        <v>44</v>
      </c>
      <c r="G1411" t="s">
        <v>124</v>
      </c>
      <c r="H1411">
        <v>33844</v>
      </c>
      <c r="I1411">
        <v>0</v>
      </c>
      <c r="J1411">
        <v>33844</v>
      </c>
      <c r="L1411">
        <v>33</v>
      </c>
      <c r="M1411">
        <v>407876</v>
      </c>
      <c r="N1411" t="s">
        <v>51</v>
      </c>
      <c r="O1411" t="s">
        <v>52</v>
      </c>
    </row>
    <row r="1412" spans="2:15" x14ac:dyDescent="0.25">
      <c r="B1412" t="s">
        <v>36</v>
      </c>
      <c r="C1412" s="4">
        <v>44879</v>
      </c>
      <c r="D1412">
        <v>11</v>
      </c>
      <c r="E1412" t="s">
        <v>16</v>
      </c>
      <c r="F1412" t="s">
        <v>17</v>
      </c>
      <c r="G1412" t="s">
        <v>124</v>
      </c>
      <c r="H1412">
        <v>0</v>
      </c>
      <c r="I1412">
        <v>33844</v>
      </c>
      <c r="J1412">
        <v>-33844</v>
      </c>
      <c r="L1412">
        <v>33</v>
      </c>
      <c r="M1412">
        <v>407876</v>
      </c>
      <c r="N1412" t="s">
        <v>51</v>
      </c>
      <c r="O1412" t="s">
        <v>52</v>
      </c>
    </row>
    <row r="1413" spans="2:15" x14ac:dyDescent="0.25">
      <c r="B1413" t="s">
        <v>36</v>
      </c>
      <c r="C1413" s="4">
        <v>44880</v>
      </c>
      <c r="D1413">
        <v>11</v>
      </c>
      <c r="E1413" t="s">
        <v>21</v>
      </c>
      <c r="F1413" t="s">
        <v>44</v>
      </c>
      <c r="G1413" t="s">
        <v>124</v>
      </c>
      <c r="H1413">
        <v>59978</v>
      </c>
      <c r="I1413">
        <v>0</v>
      </c>
      <c r="J1413">
        <v>59978</v>
      </c>
      <c r="L1413">
        <v>33</v>
      </c>
      <c r="M1413">
        <v>18228</v>
      </c>
      <c r="N1413" t="s">
        <v>105</v>
      </c>
      <c r="O1413" t="s">
        <v>106</v>
      </c>
    </row>
    <row r="1414" spans="2:15" x14ac:dyDescent="0.25">
      <c r="B1414" t="s">
        <v>36</v>
      </c>
      <c r="C1414" s="4">
        <v>44880</v>
      </c>
      <c r="D1414">
        <v>11</v>
      </c>
      <c r="E1414" t="s">
        <v>16</v>
      </c>
      <c r="F1414" t="s">
        <v>17</v>
      </c>
      <c r="G1414" t="s">
        <v>124</v>
      </c>
      <c r="H1414">
        <v>0</v>
      </c>
      <c r="I1414">
        <v>59978</v>
      </c>
      <c r="J1414">
        <v>-59978</v>
      </c>
      <c r="L1414">
        <v>33</v>
      </c>
      <c r="M1414">
        <v>18228</v>
      </c>
      <c r="N1414" t="s">
        <v>105</v>
      </c>
      <c r="O1414" t="s">
        <v>106</v>
      </c>
    </row>
    <row r="1415" spans="2:15" x14ac:dyDescent="0.25">
      <c r="B1415" t="s">
        <v>36</v>
      </c>
      <c r="C1415" s="4">
        <v>44880</v>
      </c>
      <c r="D1415">
        <v>11</v>
      </c>
      <c r="E1415" t="s">
        <v>21</v>
      </c>
      <c r="F1415" t="s">
        <v>44</v>
      </c>
      <c r="G1415" t="s">
        <v>124</v>
      </c>
      <c r="H1415">
        <v>6500</v>
      </c>
      <c r="I1415">
        <v>0</v>
      </c>
      <c r="J1415">
        <v>6500</v>
      </c>
      <c r="L1415">
        <v>33</v>
      </c>
      <c r="M1415">
        <v>49032</v>
      </c>
      <c r="N1415" t="s">
        <v>65</v>
      </c>
      <c r="O1415" t="s">
        <v>66</v>
      </c>
    </row>
    <row r="1416" spans="2:15" x14ac:dyDescent="0.25">
      <c r="B1416" t="s">
        <v>36</v>
      </c>
      <c r="C1416" s="4">
        <v>44880</v>
      </c>
      <c r="D1416">
        <v>11</v>
      </c>
      <c r="E1416" t="s">
        <v>16</v>
      </c>
      <c r="F1416" t="s">
        <v>17</v>
      </c>
      <c r="G1416" t="s">
        <v>124</v>
      </c>
      <c r="H1416">
        <v>0</v>
      </c>
      <c r="I1416">
        <v>6500</v>
      </c>
      <c r="J1416">
        <v>-6500</v>
      </c>
      <c r="L1416">
        <v>33</v>
      </c>
      <c r="M1416">
        <v>49032</v>
      </c>
      <c r="N1416" t="s">
        <v>65</v>
      </c>
      <c r="O1416" t="s">
        <v>66</v>
      </c>
    </row>
    <row r="1417" spans="2:15" x14ac:dyDescent="0.25">
      <c r="B1417" t="s">
        <v>36</v>
      </c>
      <c r="C1417" s="4">
        <v>44880</v>
      </c>
      <c r="D1417">
        <v>11</v>
      </c>
      <c r="E1417" t="s">
        <v>21</v>
      </c>
      <c r="F1417" t="s">
        <v>44</v>
      </c>
      <c r="G1417" t="s">
        <v>124</v>
      </c>
      <c r="H1417">
        <v>7843</v>
      </c>
      <c r="I1417">
        <v>0</v>
      </c>
      <c r="J1417">
        <v>7843</v>
      </c>
      <c r="L1417">
        <v>33</v>
      </c>
      <c r="M1417">
        <v>710843</v>
      </c>
      <c r="N1417" t="s">
        <v>49</v>
      </c>
      <c r="O1417" t="s">
        <v>50</v>
      </c>
    </row>
    <row r="1418" spans="2:15" x14ac:dyDescent="0.25">
      <c r="B1418" t="s">
        <v>36</v>
      </c>
      <c r="C1418" s="4">
        <v>44880</v>
      </c>
      <c r="D1418">
        <v>11</v>
      </c>
      <c r="E1418" t="s">
        <v>16</v>
      </c>
      <c r="F1418" t="s">
        <v>17</v>
      </c>
      <c r="G1418" t="s">
        <v>124</v>
      </c>
      <c r="H1418">
        <v>0</v>
      </c>
      <c r="I1418">
        <v>7843</v>
      </c>
      <c r="J1418">
        <v>-7843</v>
      </c>
      <c r="L1418">
        <v>33</v>
      </c>
      <c r="M1418">
        <v>710843</v>
      </c>
      <c r="N1418" t="s">
        <v>49</v>
      </c>
      <c r="O1418" t="s">
        <v>50</v>
      </c>
    </row>
    <row r="1419" spans="2:15" x14ac:dyDescent="0.25">
      <c r="B1419" t="s">
        <v>36</v>
      </c>
      <c r="C1419" s="4">
        <v>44881</v>
      </c>
      <c r="D1419">
        <v>11</v>
      </c>
      <c r="E1419" t="s">
        <v>21</v>
      </c>
      <c r="F1419" t="s">
        <v>44</v>
      </c>
      <c r="G1419" t="s">
        <v>124</v>
      </c>
      <c r="H1419">
        <v>25352</v>
      </c>
      <c r="I1419">
        <v>0</v>
      </c>
      <c r="J1419">
        <v>25352</v>
      </c>
      <c r="L1419">
        <v>33</v>
      </c>
      <c r="M1419">
        <v>711415</v>
      </c>
      <c r="N1419" t="s">
        <v>49</v>
      </c>
      <c r="O1419" t="s">
        <v>50</v>
      </c>
    </row>
    <row r="1420" spans="2:15" x14ac:dyDescent="0.25">
      <c r="B1420" t="s">
        <v>36</v>
      </c>
      <c r="C1420" s="4">
        <v>44881</v>
      </c>
      <c r="D1420">
        <v>11</v>
      </c>
      <c r="E1420" t="s">
        <v>16</v>
      </c>
      <c r="F1420" t="s">
        <v>17</v>
      </c>
      <c r="G1420" t="s">
        <v>124</v>
      </c>
      <c r="H1420">
        <v>0</v>
      </c>
      <c r="I1420">
        <v>25352</v>
      </c>
      <c r="J1420">
        <v>-25352</v>
      </c>
      <c r="L1420">
        <v>33</v>
      </c>
      <c r="M1420">
        <v>711415</v>
      </c>
      <c r="N1420" t="s">
        <v>49</v>
      </c>
      <c r="O1420" t="s">
        <v>50</v>
      </c>
    </row>
    <row r="1421" spans="2:15" x14ac:dyDescent="0.25">
      <c r="B1421" t="s">
        <v>36</v>
      </c>
      <c r="C1421" s="4">
        <v>44882</v>
      </c>
      <c r="D1421">
        <v>11</v>
      </c>
      <c r="E1421" t="s">
        <v>21</v>
      </c>
      <c r="F1421" t="s">
        <v>44</v>
      </c>
      <c r="G1421" t="s">
        <v>124</v>
      </c>
      <c r="H1421">
        <v>128948</v>
      </c>
      <c r="I1421">
        <v>0</v>
      </c>
      <c r="J1421">
        <v>128948</v>
      </c>
      <c r="L1421">
        <v>33</v>
      </c>
      <c r="M1421">
        <v>408734</v>
      </c>
      <c r="N1421" t="s">
        <v>51</v>
      </c>
      <c r="O1421" t="s">
        <v>52</v>
      </c>
    </row>
    <row r="1422" spans="2:15" x14ac:dyDescent="0.25">
      <c r="B1422" t="s">
        <v>36</v>
      </c>
      <c r="C1422" s="4">
        <v>44882</v>
      </c>
      <c r="D1422">
        <v>11</v>
      </c>
      <c r="E1422" t="s">
        <v>16</v>
      </c>
      <c r="F1422" t="s">
        <v>17</v>
      </c>
      <c r="G1422" t="s">
        <v>124</v>
      </c>
      <c r="H1422">
        <v>0</v>
      </c>
      <c r="I1422">
        <v>128948</v>
      </c>
      <c r="J1422">
        <v>-128948</v>
      </c>
      <c r="L1422">
        <v>33</v>
      </c>
      <c r="M1422">
        <v>408734</v>
      </c>
      <c r="N1422" t="s">
        <v>51</v>
      </c>
      <c r="O1422" t="s">
        <v>52</v>
      </c>
    </row>
    <row r="1423" spans="2:15" x14ac:dyDescent="0.25">
      <c r="B1423" t="s">
        <v>36</v>
      </c>
      <c r="C1423" s="4">
        <v>44885</v>
      </c>
      <c r="D1423">
        <v>11</v>
      </c>
      <c r="E1423" t="s">
        <v>21</v>
      </c>
      <c r="F1423" t="s">
        <v>44</v>
      </c>
      <c r="G1423" t="s">
        <v>124</v>
      </c>
      <c r="H1423">
        <v>66224</v>
      </c>
      <c r="I1423">
        <v>0</v>
      </c>
      <c r="J1423">
        <v>66224</v>
      </c>
      <c r="L1423">
        <v>33</v>
      </c>
      <c r="M1423">
        <v>17721005</v>
      </c>
      <c r="N1423" t="s">
        <v>117</v>
      </c>
      <c r="O1423" t="s">
        <v>118</v>
      </c>
    </row>
    <row r="1424" spans="2:15" x14ac:dyDescent="0.25">
      <c r="B1424" t="s">
        <v>36</v>
      </c>
      <c r="C1424" s="4">
        <v>44885</v>
      </c>
      <c r="D1424">
        <v>11</v>
      </c>
      <c r="E1424" t="s">
        <v>16</v>
      </c>
      <c r="F1424" t="s">
        <v>17</v>
      </c>
      <c r="G1424" t="s">
        <v>124</v>
      </c>
      <c r="H1424">
        <v>0</v>
      </c>
      <c r="I1424">
        <v>66224</v>
      </c>
      <c r="J1424">
        <v>-66224</v>
      </c>
      <c r="L1424">
        <v>33</v>
      </c>
      <c r="M1424">
        <v>17721005</v>
      </c>
      <c r="N1424" t="s">
        <v>117</v>
      </c>
      <c r="O1424" t="s">
        <v>118</v>
      </c>
    </row>
    <row r="1425" spans="2:15" x14ac:dyDescent="0.25">
      <c r="B1425" t="s">
        <v>36</v>
      </c>
      <c r="C1425" s="4">
        <v>44881</v>
      </c>
      <c r="D1425">
        <v>11</v>
      </c>
      <c r="E1425" t="s">
        <v>21</v>
      </c>
      <c r="F1425" t="s">
        <v>44</v>
      </c>
      <c r="G1425" t="s">
        <v>124</v>
      </c>
      <c r="H1425">
        <v>42960</v>
      </c>
      <c r="I1425">
        <v>0</v>
      </c>
      <c r="J1425">
        <v>42960</v>
      </c>
      <c r="L1425">
        <v>33</v>
      </c>
      <c r="M1425">
        <v>10995693</v>
      </c>
      <c r="N1425" t="s">
        <v>57</v>
      </c>
      <c r="O1425" t="s">
        <v>58</v>
      </c>
    </row>
    <row r="1426" spans="2:15" x14ac:dyDescent="0.25">
      <c r="B1426" t="s">
        <v>36</v>
      </c>
      <c r="C1426" s="4">
        <v>44881</v>
      </c>
      <c r="D1426">
        <v>11</v>
      </c>
      <c r="E1426" t="s">
        <v>16</v>
      </c>
      <c r="F1426" t="s">
        <v>17</v>
      </c>
      <c r="G1426" t="s">
        <v>124</v>
      </c>
      <c r="H1426">
        <v>0</v>
      </c>
      <c r="I1426">
        <v>42960</v>
      </c>
      <c r="J1426">
        <v>-42960</v>
      </c>
      <c r="L1426">
        <v>33</v>
      </c>
      <c r="M1426">
        <v>10995693</v>
      </c>
      <c r="N1426" t="s">
        <v>57</v>
      </c>
      <c r="O1426" t="s">
        <v>58</v>
      </c>
    </row>
    <row r="1427" spans="2:15" x14ac:dyDescent="0.25">
      <c r="B1427" t="s">
        <v>36</v>
      </c>
      <c r="C1427" s="4">
        <v>44887</v>
      </c>
      <c r="D1427">
        <v>11</v>
      </c>
      <c r="E1427" t="s">
        <v>21</v>
      </c>
      <c r="F1427" t="s">
        <v>44</v>
      </c>
      <c r="G1427" t="s">
        <v>124</v>
      </c>
      <c r="H1427">
        <v>41969</v>
      </c>
      <c r="I1427">
        <v>0</v>
      </c>
      <c r="J1427">
        <v>41969</v>
      </c>
      <c r="L1427">
        <v>33</v>
      </c>
      <c r="M1427">
        <v>4147</v>
      </c>
      <c r="N1427" t="s">
        <v>59</v>
      </c>
      <c r="O1427" t="s">
        <v>60</v>
      </c>
    </row>
    <row r="1428" spans="2:15" x14ac:dyDescent="0.25">
      <c r="B1428" t="s">
        <v>36</v>
      </c>
      <c r="C1428" s="4">
        <v>44887</v>
      </c>
      <c r="D1428">
        <v>11</v>
      </c>
      <c r="E1428" t="s">
        <v>16</v>
      </c>
      <c r="F1428" t="s">
        <v>17</v>
      </c>
      <c r="G1428" t="s">
        <v>124</v>
      </c>
      <c r="H1428">
        <v>0</v>
      </c>
      <c r="I1428">
        <v>41969</v>
      </c>
      <c r="J1428">
        <v>-41969</v>
      </c>
      <c r="L1428">
        <v>33</v>
      </c>
      <c r="M1428">
        <v>4147</v>
      </c>
      <c r="N1428" t="s">
        <v>59</v>
      </c>
      <c r="O1428" t="s">
        <v>60</v>
      </c>
    </row>
    <row r="1429" spans="2:15" x14ac:dyDescent="0.25">
      <c r="B1429" t="s">
        <v>36</v>
      </c>
      <c r="C1429" s="4">
        <v>44887</v>
      </c>
      <c r="D1429">
        <v>11</v>
      </c>
      <c r="E1429" t="s">
        <v>21</v>
      </c>
      <c r="F1429" t="s">
        <v>44</v>
      </c>
      <c r="G1429" t="s">
        <v>124</v>
      </c>
      <c r="H1429">
        <v>5581</v>
      </c>
      <c r="I1429">
        <v>0</v>
      </c>
      <c r="J1429">
        <v>5581</v>
      </c>
      <c r="L1429">
        <v>33</v>
      </c>
      <c r="M1429">
        <v>712809</v>
      </c>
      <c r="N1429" t="s">
        <v>49</v>
      </c>
      <c r="O1429" t="s">
        <v>50</v>
      </c>
    </row>
    <row r="1430" spans="2:15" x14ac:dyDescent="0.25">
      <c r="B1430" t="s">
        <v>36</v>
      </c>
      <c r="C1430" s="4">
        <v>44887</v>
      </c>
      <c r="D1430">
        <v>11</v>
      </c>
      <c r="E1430" t="s">
        <v>16</v>
      </c>
      <c r="F1430" t="s">
        <v>17</v>
      </c>
      <c r="G1430" t="s">
        <v>124</v>
      </c>
      <c r="H1430">
        <v>0</v>
      </c>
      <c r="I1430">
        <v>5581</v>
      </c>
      <c r="J1430">
        <v>-5581</v>
      </c>
      <c r="L1430">
        <v>33</v>
      </c>
      <c r="M1430">
        <v>712809</v>
      </c>
      <c r="N1430" t="s">
        <v>49</v>
      </c>
      <c r="O1430" t="s">
        <v>50</v>
      </c>
    </row>
    <row r="1431" spans="2:15" x14ac:dyDescent="0.25">
      <c r="B1431" t="s">
        <v>36</v>
      </c>
      <c r="C1431" s="4">
        <v>44887</v>
      </c>
      <c r="D1431">
        <v>11</v>
      </c>
      <c r="E1431" t="s">
        <v>21</v>
      </c>
      <c r="F1431" t="s">
        <v>44</v>
      </c>
      <c r="G1431" t="s">
        <v>124</v>
      </c>
      <c r="H1431">
        <v>23600</v>
      </c>
      <c r="I1431">
        <v>0</v>
      </c>
      <c r="J1431">
        <v>23600</v>
      </c>
      <c r="L1431">
        <v>33</v>
      </c>
      <c r="M1431">
        <v>75</v>
      </c>
      <c r="N1431" t="s">
        <v>91</v>
      </c>
      <c r="O1431" t="s">
        <v>92</v>
      </c>
    </row>
    <row r="1432" spans="2:15" x14ac:dyDescent="0.25">
      <c r="B1432" t="s">
        <v>36</v>
      </c>
      <c r="C1432" s="4">
        <v>44887</v>
      </c>
      <c r="D1432">
        <v>11</v>
      </c>
      <c r="E1432" t="s">
        <v>16</v>
      </c>
      <c r="F1432" t="s">
        <v>17</v>
      </c>
      <c r="G1432" t="s">
        <v>124</v>
      </c>
      <c r="H1432">
        <v>0</v>
      </c>
      <c r="I1432">
        <v>23600</v>
      </c>
      <c r="J1432">
        <v>-23600</v>
      </c>
      <c r="L1432">
        <v>33</v>
      </c>
      <c r="M1432">
        <v>75</v>
      </c>
      <c r="N1432" t="s">
        <v>91</v>
      </c>
      <c r="O1432" t="s">
        <v>92</v>
      </c>
    </row>
    <row r="1433" spans="2:15" x14ac:dyDescent="0.25">
      <c r="B1433" t="s">
        <v>36</v>
      </c>
      <c r="C1433" s="4">
        <v>44888</v>
      </c>
      <c r="D1433">
        <v>11</v>
      </c>
      <c r="E1433" t="s">
        <v>21</v>
      </c>
      <c r="F1433" t="s">
        <v>44</v>
      </c>
      <c r="G1433" t="s">
        <v>124</v>
      </c>
      <c r="H1433">
        <v>18000</v>
      </c>
      <c r="I1433">
        <v>0</v>
      </c>
      <c r="J1433">
        <v>18000</v>
      </c>
      <c r="L1433">
        <v>33</v>
      </c>
      <c r="M1433">
        <v>168612</v>
      </c>
      <c r="N1433" t="s">
        <v>45</v>
      </c>
      <c r="O1433" t="s">
        <v>46</v>
      </c>
    </row>
    <row r="1434" spans="2:15" x14ac:dyDescent="0.25">
      <c r="B1434" t="s">
        <v>36</v>
      </c>
      <c r="C1434" s="4">
        <v>44888</v>
      </c>
      <c r="D1434">
        <v>11</v>
      </c>
      <c r="E1434" t="s">
        <v>16</v>
      </c>
      <c r="F1434" t="s">
        <v>17</v>
      </c>
      <c r="G1434" t="s">
        <v>124</v>
      </c>
      <c r="H1434">
        <v>0</v>
      </c>
      <c r="I1434">
        <v>18000</v>
      </c>
      <c r="J1434">
        <v>-18000</v>
      </c>
      <c r="L1434">
        <v>33</v>
      </c>
      <c r="M1434">
        <v>168612</v>
      </c>
      <c r="N1434" t="s">
        <v>45</v>
      </c>
      <c r="O1434" t="s">
        <v>46</v>
      </c>
    </row>
    <row r="1435" spans="2:15" x14ac:dyDescent="0.25">
      <c r="B1435" t="s">
        <v>36</v>
      </c>
      <c r="C1435" s="4">
        <v>44888</v>
      </c>
      <c r="D1435">
        <v>11</v>
      </c>
      <c r="E1435" t="s">
        <v>21</v>
      </c>
      <c r="F1435" t="s">
        <v>44</v>
      </c>
      <c r="G1435" t="s">
        <v>124</v>
      </c>
      <c r="H1435">
        <v>9006</v>
      </c>
      <c r="I1435">
        <v>0</v>
      </c>
      <c r="J1435">
        <v>9006</v>
      </c>
      <c r="L1435">
        <v>33</v>
      </c>
      <c r="M1435">
        <v>713174</v>
      </c>
      <c r="N1435" t="s">
        <v>49</v>
      </c>
      <c r="O1435" t="s">
        <v>50</v>
      </c>
    </row>
    <row r="1436" spans="2:15" x14ac:dyDescent="0.25">
      <c r="B1436" t="s">
        <v>36</v>
      </c>
      <c r="C1436" s="4">
        <v>44888</v>
      </c>
      <c r="D1436">
        <v>11</v>
      </c>
      <c r="E1436" t="s">
        <v>16</v>
      </c>
      <c r="F1436" t="s">
        <v>17</v>
      </c>
      <c r="G1436" t="s">
        <v>124</v>
      </c>
      <c r="H1436">
        <v>0</v>
      </c>
      <c r="I1436">
        <v>9006</v>
      </c>
      <c r="J1436">
        <v>-9006</v>
      </c>
      <c r="L1436">
        <v>33</v>
      </c>
      <c r="M1436">
        <v>713174</v>
      </c>
      <c r="N1436" t="s">
        <v>49</v>
      </c>
      <c r="O1436" t="s">
        <v>50</v>
      </c>
    </row>
    <row r="1437" spans="2:15" x14ac:dyDescent="0.25">
      <c r="B1437" t="s">
        <v>36</v>
      </c>
      <c r="C1437" s="4">
        <v>44888</v>
      </c>
      <c r="D1437">
        <v>11</v>
      </c>
      <c r="E1437" t="s">
        <v>21</v>
      </c>
      <c r="F1437" t="s">
        <v>44</v>
      </c>
      <c r="G1437" t="s">
        <v>124</v>
      </c>
      <c r="H1437">
        <v>43959</v>
      </c>
      <c r="I1437">
        <v>0</v>
      </c>
      <c r="J1437">
        <v>43959</v>
      </c>
      <c r="L1437">
        <v>33</v>
      </c>
      <c r="M1437">
        <v>4159</v>
      </c>
      <c r="N1437" t="s">
        <v>59</v>
      </c>
      <c r="O1437" t="s">
        <v>60</v>
      </c>
    </row>
    <row r="1438" spans="2:15" x14ac:dyDescent="0.25">
      <c r="B1438" t="s">
        <v>36</v>
      </c>
      <c r="C1438" s="4">
        <v>44888</v>
      </c>
      <c r="D1438">
        <v>11</v>
      </c>
      <c r="E1438" t="s">
        <v>16</v>
      </c>
      <c r="F1438" t="s">
        <v>17</v>
      </c>
      <c r="G1438" t="s">
        <v>124</v>
      </c>
      <c r="H1438">
        <v>0</v>
      </c>
      <c r="I1438">
        <v>43959</v>
      </c>
      <c r="J1438">
        <v>-43959</v>
      </c>
      <c r="L1438">
        <v>33</v>
      </c>
      <c r="M1438">
        <v>4159</v>
      </c>
      <c r="N1438" t="s">
        <v>59</v>
      </c>
      <c r="O1438" t="s">
        <v>60</v>
      </c>
    </row>
    <row r="1439" spans="2:15" x14ac:dyDescent="0.25">
      <c r="B1439" t="s">
        <v>36</v>
      </c>
      <c r="C1439" s="4">
        <v>44888</v>
      </c>
      <c r="D1439">
        <v>11</v>
      </c>
      <c r="E1439" t="s">
        <v>21</v>
      </c>
      <c r="F1439" t="s">
        <v>44</v>
      </c>
      <c r="G1439" t="s">
        <v>124</v>
      </c>
      <c r="H1439">
        <v>27906</v>
      </c>
      <c r="I1439">
        <v>0</v>
      </c>
      <c r="J1439">
        <v>27906</v>
      </c>
      <c r="L1439">
        <v>33</v>
      </c>
      <c r="M1439">
        <v>713217</v>
      </c>
      <c r="N1439" t="s">
        <v>49</v>
      </c>
      <c r="O1439" t="s">
        <v>50</v>
      </c>
    </row>
    <row r="1440" spans="2:15" x14ac:dyDescent="0.25">
      <c r="B1440" t="s">
        <v>36</v>
      </c>
      <c r="C1440" s="4">
        <v>44888</v>
      </c>
      <c r="D1440">
        <v>11</v>
      </c>
      <c r="E1440" t="s">
        <v>16</v>
      </c>
      <c r="F1440" t="s">
        <v>17</v>
      </c>
      <c r="G1440" t="s">
        <v>124</v>
      </c>
      <c r="H1440">
        <v>0</v>
      </c>
      <c r="I1440">
        <v>27906</v>
      </c>
      <c r="J1440">
        <v>-27906</v>
      </c>
      <c r="L1440">
        <v>33</v>
      </c>
      <c r="M1440">
        <v>713217</v>
      </c>
      <c r="N1440" t="s">
        <v>49</v>
      </c>
      <c r="O1440" t="s">
        <v>50</v>
      </c>
    </row>
    <row r="1441" spans="2:15" x14ac:dyDescent="0.25">
      <c r="B1441" t="s">
        <v>36</v>
      </c>
      <c r="C1441" s="4">
        <v>44889</v>
      </c>
      <c r="D1441">
        <v>11</v>
      </c>
      <c r="E1441" t="s">
        <v>21</v>
      </c>
      <c r="F1441" t="s">
        <v>44</v>
      </c>
      <c r="G1441" t="s">
        <v>124</v>
      </c>
      <c r="H1441">
        <v>304759</v>
      </c>
      <c r="I1441">
        <v>0</v>
      </c>
      <c r="J1441">
        <v>304759</v>
      </c>
      <c r="L1441">
        <v>33</v>
      </c>
      <c r="M1441">
        <v>713446</v>
      </c>
      <c r="N1441" t="s">
        <v>49</v>
      </c>
      <c r="O1441" t="s">
        <v>50</v>
      </c>
    </row>
    <row r="1442" spans="2:15" x14ac:dyDescent="0.25">
      <c r="B1442" t="s">
        <v>36</v>
      </c>
      <c r="C1442" s="4">
        <v>44889</v>
      </c>
      <c r="D1442">
        <v>11</v>
      </c>
      <c r="E1442" t="s">
        <v>16</v>
      </c>
      <c r="F1442" t="s">
        <v>17</v>
      </c>
      <c r="G1442" t="s">
        <v>124</v>
      </c>
      <c r="H1442">
        <v>0</v>
      </c>
      <c r="I1442">
        <v>304759</v>
      </c>
      <c r="J1442">
        <v>-304759</v>
      </c>
      <c r="L1442">
        <v>33</v>
      </c>
      <c r="M1442">
        <v>713446</v>
      </c>
      <c r="N1442" t="s">
        <v>49</v>
      </c>
      <c r="O1442" t="s">
        <v>50</v>
      </c>
    </row>
    <row r="1443" spans="2:15" x14ac:dyDescent="0.25">
      <c r="B1443" t="s">
        <v>36</v>
      </c>
      <c r="C1443" s="4">
        <v>44889</v>
      </c>
      <c r="D1443">
        <v>11</v>
      </c>
      <c r="E1443" t="s">
        <v>21</v>
      </c>
      <c r="F1443" t="s">
        <v>44</v>
      </c>
      <c r="G1443" t="s">
        <v>124</v>
      </c>
      <c r="H1443">
        <v>69020</v>
      </c>
      <c r="I1443">
        <v>0</v>
      </c>
      <c r="J1443">
        <v>69020</v>
      </c>
      <c r="L1443">
        <v>33</v>
      </c>
      <c r="M1443">
        <v>409669</v>
      </c>
      <c r="N1443" t="s">
        <v>51</v>
      </c>
      <c r="O1443" t="s">
        <v>52</v>
      </c>
    </row>
    <row r="1444" spans="2:15" x14ac:dyDescent="0.25">
      <c r="B1444" t="s">
        <v>36</v>
      </c>
      <c r="C1444" s="4">
        <v>44889</v>
      </c>
      <c r="D1444">
        <v>11</v>
      </c>
      <c r="E1444" t="s">
        <v>16</v>
      </c>
      <c r="F1444" t="s">
        <v>17</v>
      </c>
      <c r="G1444" t="s">
        <v>124</v>
      </c>
      <c r="H1444">
        <v>0</v>
      </c>
      <c r="I1444">
        <v>69020</v>
      </c>
      <c r="J1444">
        <v>-69020</v>
      </c>
      <c r="L1444">
        <v>33</v>
      </c>
      <c r="M1444">
        <v>409669</v>
      </c>
      <c r="N1444" t="s">
        <v>51</v>
      </c>
      <c r="O1444" t="s">
        <v>52</v>
      </c>
    </row>
    <row r="1445" spans="2:15" x14ac:dyDescent="0.25">
      <c r="B1445" t="s">
        <v>36</v>
      </c>
      <c r="C1445" s="4">
        <v>44889</v>
      </c>
      <c r="D1445">
        <v>11</v>
      </c>
      <c r="E1445" t="s">
        <v>21</v>
      </c>
      <c r="F1445" t="s">
        <v>44</v>
      </c>
      <c r="G1445" t="s">
        <v>124</v>
      </c>
      <c r="H1445">
        <v>42245</v>
      </c>
      <c r="I1445">
        <v>0</v>
      </c>
      <c r="J1445">
        <v>42245</v>
      </c>
      <c r="L1445">
        <v>33</v>
      </c>
      <c r="M1445">
        <v>409689</v>
      </c>
      <c r="N1445" t="s">
        <v>51</v>
      </c>
      <c r="O1445" t="s">
        <v>52</v>
      </c>
    </row>
    <row r="1446" spans="2:15" x14ac:dyDescent="0.25">
      <c r="B1446" t="s">
        <v>36</v>
      </c>
      <c r="C1446" s="4">
        <v>44889</v>
      </c>
      <c r="D1446">
        <v>11</v>
      </c>
      <c r="E1446" t="s">
        <v>16</v>
      </c>
      <c r="F1446" t="s">
        <v>17</v>
      </c>
      <c r="G1446" t="s">
        <v>124</v>
      </c>
      <c r="H1446">
        <v>0</v>
      </c>
      <c r="I1446">
        <v>42245</v>
      </c>
      <c r="J1446">
        <v>-42245</v>
      </c>
      <c r="L1446">
        <v>33</v>
      </c>
      <c r="M1446">
        <v>409689</v>
      </c>
      <c r="N1446" t="s">
        <v>51</v>
      </c>
      <c r="O1446" t="s">
        <v>52</v>
      </c>
    </row>
    <row r="1447" spans="2:15" x14ac:dyDescent="0.25">
      <c r="B1447" t="s">
        <v>36</v>
      </c>
      <c r="C1447" s="4">
        <v>44889</v>
      </c>
      <c r="D1447">
        <v>11</v>
      </c>
      <c r="E1447" t="s">
        <v>21</v>
      </c>
      <c r="F1447" t="s">
        <v>44</v>
      </c>
      <c r="G1447" t="s">
        <v>124</v>
      </c>
      <c r="H1447">
        <v>10282</v>
      </c>
      <c r="I1447">
        <v>0</v>
      </c>
      <c r="J1447">
        <v>10282</v>
      </c>
      <c r="L1447">
        <v>33</v>
      </c>
      <c r="M1447">
        <v>409726</v>
      </c>
      <c r="N1447" t="s">
        <v>51</v>
      </c>
      <c r="O1447" t="s">
        <v>52</v>
      </c>
    </row>
    <row r="1448" spans="2:15" x14ac:dyDescent="0.25">
      <c r="B1448" t="s">
        <v>36</v>
      </c>
      <c r="C1448" s="4">
        <v>44889</v>
      </c>
      <c r="D1448">
        <v>11</v>
      </c>
      <c r="E1448" t="s">
        <v>16</v>
      </c>
      <c r="F1448" t="s">
        <v>17</v>
      </c>
      <c r="G1448" t="s">
        <v>124</v>
      </c>
      <c r="H1448">
        <v>0</v>
      </c>
      <c r="I1448">
        <v>10282</v>
      </c>
      <c r="J1448">
        <v>-10282</v>
      </c>
      <c r="L1448">
        <v>33</v>
      </c>
      <c r="M1448">
        <v>409726</v>
      </c>
      <c r="N1448" t="s">
        <v>51</v>
      </c>
      <c r="O1448" t="s">
        <v>52</v>
      </c>
    </row>
    <row r="1449" spans="2:15" x14ac:dyDescent="0.25">
      <c r="B1449" t="s">
        <v>36</v>
      </c>
      <c r="C1449" s="4">
        <v>44890</v>
      </c>
      <c r="D1449">
        <v>11</v>
      </c>
      <c r="E1449" t="s">
        <v>21</v>
      </c>
      <c r="F1449" t="s">
        <v>44</v>
      </c>
      <c r="G1449" t="s">
        <v>124</v>
      </c>
      <c r="H1449">
        <v>38270</v>
      </c>
      <c r="I1449">
        <v>0</v>
      </c>
      <c r="J1449">
        <v>38270</v>
      </c>
      <c r="L1449">
        <v>33</v>
      </c>
      <c r="M1449">
        <v>410036</v>
      </c>
      <c r="N1449" t="s">
        <v>51</v>
      </c>
      <c r="O1449" t="s">
        <v>52</v>
      </c>
    </row>
    <row r="1450" spans="2:15" x14ac:dyDescent="0.25">
      <c r="B1450" t="s">
        <v>36</v>
      </c>
      <c r="C1450" s="4">
        <v>44890</v>
      </c>
      <c r="D1450">
        <v>11</v>
      </c>
      <c r="E1450" t="s">
        <v>16</v>
      </c>
      <c r="F1450" t="s">
        <v>17</v>
      </c>
      <c r="G1450" t="s">
        <v>124</v>
      </c>
      <c r="H1450">
        <v>0</v>
      </c>
      <c r="I1450">
        <v>38270</v>
      </c>
      <c r="J1450">
        <v>-38270</v>
      </c>
      <c r="L1450">
        <v>33</v>
      </c>
      <c r="M1450">
        <v>410036</v>
      </c>
      <c r="N1450" t="s">
        <v>51</v>
      </c>
      <c r="O1450" t="s">
        <v>52</v>
      </c>
    </row>
    <row r="1451" spans="2:15" x14ac:dyDescent="0.25">
      <c r="B1451" t="s">
        <v>36</v>
      </c>
      <c r="C1451" s="4">
        <v>44891</v>
      </c>
      <c r="D1451">
        <v>11</v>
      </c>
      <c r="E1451" t="s">
        <v>21</v>
      </c>
      <c r="F1451" t="s">
        <v>44</v>
      </c>
      <c r="G1451" t="s">
        <v>124</v>
      </c>
      <c r="H1451">
        <v>194922</v>
      </c>
      <c r="I1451">
        <v>0</v>
      </c>
      <c r="J1451">
        <v>194922</v>
      </c>
      <c r="L1451">
        <v>33</v>
      </c>
      <c r="M1451">
        <v>2008</v>
      </c>
      <c r="N1451" t="s">
        <v>77</v>
      </c>
      <c r="O1451" t="s">
        <v>78</v>
      </c>
    </row>
    <row r="1452" spans="2:15" x14ac:dyDescent="0.25">
      <c r="B1452" t="s">
        <v>36</v>
      </c>
      <c r="C1452" s="4">
        <v>44891</v>
      </c>
      <c r="D1452">
        <v>11</v>
      </c>
      <c r="E1452" t="s">
        <v>16</v>
      </c>
      <c r="F1452" t="s">
        <v>17</v>
      </c>
      <c r="G1452" t="s">
        <v>124</v>
      </c>
      <c r="H1452">
        <v>0</v>
      </c>
      <c r="I1452">
        <v>194922</v>
      </c>
      <c r="J1452">
        <v>-194922</v>
      </c>
      <c r="L1452">
        <v>33</v>
      </c>
      <c r="M1452">
        <v>2008</v>
      </c>
      <c r="N1452" t="s">
        <v>77</v>
      </c>
      <c r="O1452" t="s">
        <v>78</v>
      </c>
    </row>
    <row r="1453" spans="2:15" x14ac:dyDescent="0.25">
      <c r="B1453" t="s">
        <v>36</v>
      </c>
      <c r="C1453" s="4">
        <v>44892</v>
      </c>
      <c r="D1453">
        <v>11</v>
      </c>
      <c r="E1453" t="s">
        <v>21</v>
      </c>
      <c r="F1453" t="s">
        <v>44</v>
      </c>
      <c r="G1453" t="s">
        <v>124</v>
      </c>
      <c r="H1453">
        <v>116773</v>
      </c>
      <c r="I1453">
        <v>0</v>
      </c>
      <c r="J1453">
        <v>116773</v>
      </c>
      <c r="L1453">
        <v>33</v>
      </c>
      <c r="M1453">
        <v>17732836</v>
      </c>
      <c r="N1453" t="s">
        <v>117</v>
      </c>
      <c r="O1453" t="s">
        <v>118</v>
      </c>
    </row>
    <row r="1454" spans="2:15" x14ac:dyDescent="0.25">
      <c r="B1454" t="s">
        <v>36</v>
      </c>
      <c r="C1454" s="4">
        <v>44892</v>
      </c>
      <c r="D1454">
        <v>11</v>
      </c>
      <c r="E1454" t="s">
        <v>16</v>
      </c>
      <c r="F1454" t="s">
        <v>17</v>
      </c>
      <c r="G1454" t="s">
        <v>124</v>
      </c>
      <c r="H1454">
        <v>0</v>
      </c>
      <c r="I1454">
        <v>116773</v>
      </c>
      <c r="J1454">
        <v>-116773</v>
      </c>
      <c r="L1454">
        <v>33</v>
      </c>
      <c r="M1454">
        <v>17732836</v>
      </c>
      <c r="N1454" t="s">
        <v>117</v>
      </c>
      <c r="O1454" t="s">
        <v>118</v>
      </c>
    </row>
    <row r="1455" spans="2:15" x14ac:dyDescent="0.25">
      <c r="B1455" t="s">
        <v>36</v>
      </c>
      <c r="C1455" s="4">
        <v>44893</v>
      </c>
      <c r="D1455">
        <v>11</v>
      </c>
      <c r="E1455" t="s">
        <v>21</v>
      </c>
      <c r="F1455" t="s">
        <v>44</v>
      </c>
      <c r="G1455" t="s">
        <v>124</v>
      </c>
      <c r="H1455">
        <v>12990</v>
      </c>
      <c r="I1455">
        <v>0</v>
      </c>
      <c r="J1455">
        <v>12990</v>
      </c>
      <c r="L1455">
        <v>33</v>
      </c>
      <c r="M1455">
        <v>40011</v>
      </c>
      <c r="N1455" t="s">
        <v>81</v>
      </c>
      <c r="O1455" t="s">
        <v>82</v>
      </c>
    </row>
    <row r="1456" spans="2:15" x14ac:dyDescent="0.25">
      <c r="B1456" t="s">
        <v>36</v>
      </c>
      <c r="C1456" s="4">
        <v>44893</v>
      </c>
      <c r="D1456">
        <v>11</v>
      </c>
      <c r="E1456" t="s">
        <v>16</v>
      </c>
      <c r="F1456" t="s">
        <v>17</v>
      </c>
      <c r="G1456" t="s">
        <v>124</v>
      </c>
      <c r="H1456">
        <v>0</v>
      </c>
      <c r="I1456">
        <v>12990</v>
      </c>
      <c r="J1456">
        <v>-12990</v>
      </c>
      <c r="L1456">
        <v>33</v>
      </c>
      <c r="M1456">
        <v>40011</v>
      </c>
      <c r="N1456" t="s">
        <v>81</v>
      </c>
      <c r="O1456" t="s">
        <v>82</v>
      </c>
    </row>
    <row r="1457" spans="2:15" x14ac:dyDescent="0.25">
      <c r="B1457" t="s">
        <v>36</v>
      </c>
      <c r="C1457" s="4">
        <v>44893</v>
      </c>
      <c r="D1457">
        <v>11</v>
      </c>
      <c r="E1457" t="s">
        <v>21</v>
      </c>
      <c r="F1457" t="s">
        <v>44</v>
      </c>
      <c r="G1457" t="s">
        <v>124</v>
      </c>
      <c r="H1457">
        <v>67973</v>
      </c>
      <c r="I1457">
        <v>0</v>
      </c>
      <c r="J1457">
        <v>67973</v>
      </c>
      <c r="L1457">
        <v>33</v>
      </c>
      <c r="M1457">
        <v>410282</v>
      </c>
      <c r="N1457" t="s">
        <v>51</v>
      </c>
      <c r="O1457" t="s">
        <v>52</v>
      </c>
    </row>
    <row r="1458" spans="2:15" x14ac:dyDescent="0.25">
      <c r="B1458" t="s">
        <v>36</v>
      </c>
      <c r="C1458" s="4">
        <v>44893</v>
      </c>
      <c r="D1458">
        <v>11</v>
      </c>
      <c r="E1458" t="s">
        <v>16</v>
      </c>
      <c r="F1458" t="s">
        <v>17</v>
      </c>
      <c r="G1458" t="s">
        <v>124</v>
      </c>
      <c r="H1458">
        <v>0</v>
      </c>
      <c r="I1458">
        <v>67973</v>
      </c>
      <c r="J1458">
        <v>-67973</v>
      </c>
      <c r="L1458">
        <v>33</v>
      </c>
      <c r="M1458">
        <v>410282</v>
      </c>
      <c r="N1458" t="s">
        <v>51</v>
      </c>
      <c r="O1458" t="s">
        <v>52</v>
      </c>
    </row>
    <row r="1459" spans="2:15" x14ac:dyDescent="0.25">
      <c r="B1459" t="s">
        <v>36</v>
      </c>
      <c r="C1459" s="4">
        <v>44895</v>
      </c>
      <c r="D1459">
        <v>11</v>
      </c>
      <c r="E1459" t="s">
        <v>21</v>
      </c>
      <c r="F1459" t="s">
        <v>44</v>
      </c>
      <c r="G1459" t="s">
        <v>124</v>
      </c>
      <c r="H1459">
        <v>329749</v>
      </c>
      <c r="I1459">
        <v>0</v>
      </c>
      <c r="J1459">
        <v>329749</v>
      </c>
      <c r="L1459">
        <v>33</v>
      </c>
      <c r="M1459">
        <v>18545</v>
      </c>
      <c r="N1459" t="s">
        <v>105</v>
      </c>
      <c r="O1459" t="s">
        <v>106</v>
      </c>
    </row>
    <row r="1460" spans="2:15" x14ac:dyDescent="0.25">
      <c r="B1460" t="s">
        <v>36</v>
      </c>
      <c r="C1460" s="4">
        <v>44895</v>
      </c>
      <c r="D1460">
        <v>11</v>
      </c>
      <c r="E1460" t="s">
        <v>16</v>
      </c>
      <c r="F1460" t="s">
        <v>17</v>
      </c>
      <c r="G1460" t="s">
        <v>124</v>
      </c>
      <c r="H1460">
        <v>0</v>
      </c>
      <c r="I1460">
        <v>329749</v>
      </c>
      <c r="J1460">
        <v>-329749</v>
      </c>
      <c r="L1460">
        <v>33</v>
      </c>
      <c r="M1460">
        <v>18545</v>
      </c>
      <c r="N1460" t="s">
        <v>105</v>
      </c>
      <c r="O1460" t="s">
        <v>106</v>
      </c>
    </row>
    <row r="1461" spans="2:15" x14ac:dyDescent="0.25">
      <c r="B1461" t="s">
        <v>36</v>
      </c>
      <c r="C1461" s="4">
        <v>44859</v>
      </c>
      <c r="D1461">
        <v>11</v>
      </c>
      <c r="E1461" t="s">
        <v>21</v>
      </c>
      <c r="F1461" t="s">
        <v>44</v>
      </c>
      <c r="G1461" t="s">
        <v>124</v>
      </c>
      <c r="H1461">
        <v>119903</v>
      </c>
      <c r="I1461">
        <v>0</v>
      </c>
      <c r="J1461">
        <v>119903</v>
      </c>
      <c r="L1461">
        <v>34</v>
      </c>
      <c r="M1461">
        <v>129</v>
      </c>
      <c r="N1461" t="s">
        <v>71</v>
      </c>
      <c r="O1461" t="s">
        <v>72</v>
      </c>
    </row>
    <row r="1462" spans="2:15" x14ac:dyDescent="0.25">
      <c r="B1462" t="s">
        <v>36</v>
      </c>
      <c r="C1462" s="4">
        <v>44859</v>
      </c>
      <c r="D1462">
        <v>11</v>
      </c>
      <c r="E1462" t="s">
        <v>16</v>
      </c>
      <c r="F1462" t="s">
        <v>17</v>
      </c>
      <c r="G1462" t="s">
        <v>124</v>
      </c>
      <c r="H1462">
        <v>0</v>
      </c>
      <c r="I1462">
        <v>119903</v>
      </c>
      <c r="J1462">
        <v>-119903</v>
      </c>
      <c r="L1462">
        <v>34</v>
      </c>
      <c r="M1462">
        <v>129</v>
      </c>
      <c r="N1462" t="s">
        <v>71</v>
      </c>
      <c r="O1462" t="s">
        <v>72</v>
      </c>
    </row>
    <row r="1463" spans="2:15" x14ac:dyDescent="0.25">
      <c r="B1463" t="s">
        <v>36</v>
      </c>
      <c r="C1463" s="4">
        <v>44897</v>
      </c>
      <c r="D1463">
        <v>12</v>
      </c>
      <c r="E1463" t="s">
        <v>21</v>
      </c>
      <c r="F1463" t="s">
        <v>44</v>
      </c>
      <c r="G1463" t="s">
        <v>124</v>
      </c>
      <c r="H1463">
        <v>260179</v>
      </c>
      <c r="I1463">
        <v>0</v>
      </c>
      <c r="J1463">
        <v>260179</v>
      </c>
      <c r="L1463">
        <v>33</v>
      </c>
      <c r="M1463">
        <v>276490</v>
      </c>
      <c r="N1463" t="s">
        <v>111</v>
      </c>
      <c r="O1463" t="s">
        <v>119</v>
      </c>
    </row>
    <row r="1464" spans="2:15" x14ac:dyDescent="0.25">
      <c r="B1464" t="s">
        <v>36</v>
      </c>
      <c r="C1464" s="4">
        <v>44897</v>
      </c>
      <c r="D1464">
        <v>12</v>
      </c>
      <c r="E1464" t="s">
        <v>16</v>
      </c>
      <c r="F1464" t="s">
        <v>17</v>
      </c>
      <c r="G1464" t="s">
        <v>124</v>
      </c>
      <c r="H1464">
        <v>0</v>
      </c>
      <c r="I1464">
        <v>260179</v>
      </c>
      <c r="J1464">
        <v>-260179</v>
      </c>
      <c r="L1464">
        <v>33</v>
      </c>
      <c r="M1464">
        <v>276490</v>
      </c>
      <c r="N1464" t="s">
        <v>111</v>
      </c>
      <c r="O1464" t="s">
        <v>119</v>
      </c>
    </row>
    <row r="1465" spans="2:15" x14ac:dyDescent="0.25">
      <c r="B1465" t="s">
        <v>36</v>
      </c>
      <c r="C1465" s="4">
        <v>44897</v>
      </c>
      <c r="D1465">
        <v>12</v>
      </c>
      <c r="E1465" t="s">
        <v>21</v>
      </c>
      <c r="F1465" t="s">
        <v>44</v>
      </c>
      <c r="G1465" t="s">
        <v>124</v>
      </c>
      <c r="H1465">
        <v>106400</v>
      </c>
      <c r="I1465">
        <v>0</v>
      </c>
      <c r="J1465">
        <v>106400</v>
      </c>
      <c r="L1465">
        <v>33</v>
      </c>
      <c r="M1465">
        <v>18531</v>
      </c>
      <c r="N1465" t="s">
        <v>120</v>
      </c>
      <c r="O1465" t="s">
        <v>121</v>
      </c>
    </row>
    <row r="1466" spans="2:15" x14ac:dyDescent="0.25">
      <c r="B1466" t="s">
        <v>36</v>
      </c>
      <c r="C1466" s="4">
        <v>44897</v>
      </c>
      <c r="D1466">
        <v>12</v>
      </c>
      <c r="E1466" t="s">
        <v>16</v>
      </c>
      <c r="F1466" t="s">
        <v>17</v>
      </c>
      <c r="G1466" t="s">
        <v>124</v>
      </c>
      <c r="H1466">
        <v>0</v>
      </c>
      <c r="I1466">
        <v>106400</v>
      </c>
      <c r="J1466">
        <v>-106400</v>
      </c>
      <c r="L1466">
        <v>33</v>
      </c>
      <c r="M1466">
        <v>18531</v>
      </c>
      <c r="N1466" t="s">
        <v>120</v>
      </c>
      <c r="O1466" t="s">
        <v>121</v>
      </c>
    </row>
    <row r="1467" spans="2:15" x14ac:dyDescent="0.25">
      <c r="B1467" t="s">
        <v>36</v>
      </c>
      <c r="C1467" s="4">
        <v>44900</v>
      </c>
      <c r="D1467">
        <v>12</v>
      </c>
      <c r="E1467" t="s">
        <v>21</v>
      </c>
      <c r="F1467" t="s">
        <v>44</v>
      </c>
      <c r="G1467" t="s">
        <v>124</v>
      </c>
      <c r="H1467">
        <v>86846</v>
      </c>
      <c r="I1467">
        <v>0</v>
      </c>
      <c r="J1467">
        <v>86846</v>
      </c>
      <c r="L1467">
        <v>33</v>
      </c>
      <c r="M1467">
        <v>411576</v>
      </c>
      <c r="N1467" t="s">
        <v>51</v>
      </c>
      <c r="O1467" t="s">
        <v>52</v>
      </c>
    </row>
    <row r="1468" spans="2:15" x14ac:dyDescent="0.25">
      <c r="B1468" t="s">
        <v>36</v>
      </c>
      <c r="C1468" s="4">
        <v>44900</v>
      </c>
      <c r="D1468">
        <v>12</v>
      </c>
      <c r="E1468" t="s">
        <v>16</v>
      </c>
      <c r="F1468" t="s">
        <v>17</v>
      </c>
      <c r="G1468" t="s">
        <v>124</v>
      </c>
      <c r="H1468">
        <v>0</v>
      </c>
      <c r="I1468">
        <v>86846</v>
      </c>
      <c r="J1468">
        <v>-86846</v>
      </c>
      <c r="L1468">
        <v>33</v>
      </c>
      <c r="M1468">
        <v>411576</v>
      </c>
      <c r="N1468" t="s">
        <v>51</v>
      </c>
      <c r="O1468" t="s">
        <v>52</v>
      </c>
    </row>
    <row r="1469" spans="2:15" x14ac:dyDescent="0.25">
      <c r="B1469" t="s">
        <v>36</v>
      </c>
      <c r="C1469" s="4">
        <v>44900</v>
      </c>
      <c r="D1469">
        <v>12</v>
      </c>
      <c r="E1469" t="s">
        <v>21</v>
      </c>
      <c r="F1469" t="s">
        <v>44</v>
      </c>
      <c r="G1469" t="s">
        <v>124</v>
      </c>
      <c r="H1469">
        <v>91559</v>
      </c>
      <c r="I1469">
        <v>0</v>
      </c>
      <c r="J1469">
        <v>91559</v>
      </c>
      <c r="L1469">
        <v>33</v>
      </c>
      <c r="M1469">
        <v>411615</v>
      </c>
      <c r="N1469" t="s">
        <v>51</v>
      </c>
      <c r="O1469" t="s">
        <v>52</v>
      </c>
    </row>
    <row r="1470" spans="2:15" x14ac:dyDescent="0.25">
      <c r="B1470" t="s">
        <v>36</v>
      </c>
      <c r="C1470" s="4">
        <v>44900</v>
      </c>
      <c r="D1470">
        <v>12</v>
      </c>
      <c r="E1470" t="s">
        <v>16</v>
      </c>
      <c r="F1470" t="s">
        <v>17</v>
      </c>
      <c r="G1470" t="s">
        <v>124</v>
      </c>
      <c r="H1470">
        <v>0</v>
      </c>
      <c r="I1470">
        <v>91559</v>
      </c>
      <c r="J1470">
        <v>-91559</v>
      </c>
      <c r="L1470">
        <v>33</v>
      </c>
      <c r="M1470">
        <v>411615</v>
      </c>
      <c r="N1470" t="s">
        <v>51</v>
      </c>
      <c r="O1470" t="s">
        <v>52</v>
      </c>
    </row>
    <row r="1471" spans="2:15" x14ac:dyDescent="0.25">
      <c r="B1471" t="s">
        <v>36</v>
      </c>
      <c r="C1471" s="4">
        <v>44903</v>
      </c>
      <c r="D1471">
        <v>12</v>
      </c>
      <c r="E1471" t="s">
        <v>21</v>
      </c>
      <c r="F1471" t="s">
        <v>44</v>
      </c>
      <c r="G1471" t="s">
        <v>124</v>
      </c>
      <c r="H1471">
        <v>9800</v>
      </c>
      <c r="I1471">
        <v>0</v>
      </c>
      <c r="J1471">
        <v>9800</v>
      </c>
      <c r="L1471">
        <v>33</v>
      </c>
      <c r="M1471">
        <v>82</v>
      </c>
      <c r="N1471" t="s">
        <v>91</v>
      </c>
      <c r="O1471" t="s">
        <v>92</v>
      </c>
    </row>
    <row r="1472" spans="2:15" x14ac:dyDescent="0.25">
      <c r="B1472" t="s">
        <v>36</v>
      </c>
      <c r="C1472" s="4">
        <v>44903</v>
      </c>
      <c r="D1472">
        <v>12</v>
      </c>
      <c r="E1472" t="s">
        <v>16</v>
      </c>
      <c r="F1472" t="s">
        <v>17</v>
      </c>
      <c r="G1472" t="s">
        <v>124</v>
      </c>
      <c r="H1472">
        <v>0</v>
      </c>
      <c r="I1472">
        <v>9800</v>
      </c>
      <c r="J1472">
        <v>-9800</v>
      </c>
      <c r="L1472">
        <v>33</v>
      </c>
      <c r="M1472">
        <v>82</v>
      </c>
      <c r="N1472" t="s">
        <v>91</v>
      </c>
      <c r="O1472" t="s">
        <v>92</v>
      </c>
    </row>
    <row r="1473" spans="2:15" x14ac:dyDescent="0.25">
      <c r="B1473" t="s">
        <v>36</v>
      </c>
      <c r="C1473" s="4">
        <v>44908</v>
      </c>
      <c r="D1473">
        <v>12</v>
      </c>
      <c r="E1473" t="s">
        <v>21</v>
      </c>
      <c r="F1473" t="s">
        <v>44</v>
      </c>
      <c r="G1473" t="s">
        <v>124</v>
      </c>
      <c r="H1473">
        <v>685702</v>
      </c>
      <c r="I1473">
        <v>0</v>
      </c>
      <c r="J1473">
        <v>685702</v>
      </c>
      <c r="L1473">
        <v>33</v>
      </c>
      <c r="M1473">
        <v>718798</v>
      </c>
      <c r="N1473" t="s">
        <v>49</v>
      </c>
      <c r="O1473" t="s">
        <v>50</v>
      </c>
    </row>
    <row r="1474" spans="2:15" x14ac:dyDescent="0.25">
      <c r="B1474" t="s">
        <v>36</v>
      </c>
      <c r="C1474" s="4">
        <v>44908</v>
      </c>
      <c r="D1474">
        <v>12</v>
      </c>
      <c r="E1474" t="s">
        <v>16</v>
      </c>
      <c r="F1474" t="s">
        <v>17</v>
      </c>
      <c r="G1474" t="s">
        <v>124</v>
      </c>
      <c r="H1474">
        <v>0</v>
      </c>
      <c r="I1474">
        <v>685702</v>
      </c>
      <c r="J1474">
        <v>-685702</v>
      </c>
      <c r="L1474">
        <v>33</v>
      </c>
      <c r="M1474">
        <v>718798</v>
      </c>
      <c r="N1474" t="s">
        <v>49</v>
      </c>
      <c r="O1474" t="s">
        <v>50</v>
      </c>
    </row>
    <row r="1475" spans="2:15" x14ac:dyDescent="0.25">
      <c r="B1475" t="s">
        <v>36</v>
      </c>
      <c r="C1475" s="4">
        <v>44909</v>
      </c>
      <c r="D1475">
        <v>12</v>
      </c>
      <c r="E1475" t="s">
        <v>21</v>
      </c>
      <c r="F1475" t="s">
        <v>44</v>
      </c>
      <c r="G1475" t="s">
        <v>124</v>
      </c>
      <c r="H1475">
        <v>88893</v>
      </c>
      <c r="I1475">
        <v>0</v>
      </c>
      <c r="J1475">
        <v>88893</v>
      </c>
      <c r="L1475">
        <v>33</v>
      </c>
      <c r="M1475">
        <v>412972</v>
      </c>
      <c r="N1475" t="s">
        <v>51</v>
      </c>
      <c r="O1475" t="s">
        <v>52</v>
      </c>
    </row>
    <row r="1476" spans="2:15" x14ac:dyDescent="0.25">
      <c r="B1476" t="s">
        <v>36</v>
      </c>
      <c r="C1476" s="4">
        <v>44909</v>
      </c>
      <c r="D1476">
        <v>12</v>
      </c>
      <c r="E1476" t="s">
        <v>16</v>
      </c>
      <c r="F1476" t="s">
        <v>17</v>
      </c>
      <c r="G1476" t="s">
        <v>124</v>
      </c>
      <c r="H1476">
        <v>0</v>
      </c>
      <c r="I1476">
        <v>88893</v>
      </c>
      <c r="J1476">
        <v>-88893</v>
      </c>
      <c r="L1476">
        <v>33</v>
      </c>
      <c r="M1476">
        <v>412972</v>
      </c>
      <c r="N1476" t="s">
        <v>51</v>
      </c>
      <c r="O1476" t="s">
        <v>52</v>
      </c>
    </row>
    <row r="1477" spans="2:15" x14ac:dyDescent="0.25">
      <c r="B1477" t="s">
        <v>36</v>
      </c>
      <c r="C1477" s="4">
        <v>44910</v>
      </c>
      <c r="D1477">
        <v>12</v>
      </c>
      <c r="E1477" t="s">
        <v>21</v>
      </c>
      <c r="F1477" t="s">
        <v>44</v>
      </c>
      <c r="G1477" t="s">
        <v>124</v>
      </c>
      <c r="H1477">
        <v>186675</v>
      </c>
      <c r="I1477">
        <v>0</v>
      </c>
      <c r="J1477">
        <v>186675</v>
      </c>
      <c r="L1477">
        <v>33</v>
      </c>
      <c r="M1477">
        <v>413098</v>
      </c>
      <c r="N1477" t="s">
        <v>51</v>
      </c>
      <c r="O1477" t="s">
        <v>52</v>
      </c>
    </row>
    <row r="1478" spans="2:15" x14ac:dyDescent="0.25">
      <c r="B1478" t="s">
        <v>36</v>
      </c>
      <c r="C1478" s="4">
        <v>44910</v>
      </c>
      <c r="D1478">
        <v>12</v>
      </c>
      <c r="E1478" t="s">
        <v>16</v>
      </c>
      <c r="F1478" t="s">
        <v>17</v>
      </c>
      <c r="G1478" t="s">
        <v>124</v>
      </c>
      <c r="H1478">
        <v>0</v>
      </c>
      <c r="I1478">
        <v>186675</v>
      </c>
      <c r="J1478">
        <v>-186675</v>
      </c>
      <c r="L1478">
        <v>33</v>
      </c>
      <c r="M1478">
        <v>413098</v>
      </c>
      <c r="N1478" t="s">
        <v>51</v>
      </c>
      <c r="O1478" t="s">
        <v>52</v>
      </c>
    </row>
    <row r="1479" spans="2:15" x14ac:dyDescent="0.25">
      <c r="B1479" t="s">
        <v>36</v>
      </c>
      <c r="C1479" s="4">
        <v>44910</v>
      </c>
      <c r="D1479">
        <v>12</v>
      </c>
      <c r="E1479" t="s">
        <v>21</v>
      </c>
      <c r="F1479" t="s">
        <v>44</v>
      </c>
      <c r="G1479" t="s">
        <v>124</v>
      </c>
      <c r="H1479">
        <v>182923</v>
      </c>
      <c r="I1479">
        <v>0</v>
      </c>
      <c r="J1479">
        <v>182923</v>
      </c>
      <c r="L1479">
        <v>33</v>
      </c>
      <c r="M1479">
        <v>16223</v>
      </c>
      <c r="N1479" t="s">
        <v>61</v>
      </c>
      <c r="O1479" t="s">
        <v>62</v>
      </c>
    </row>
    <row r="1480" spans="2:15" x14ac:dyDescent="0.25">
      <c r="B1480" t="s">
        <v>36</v>
      </c>
      <c r="C1480" s="4">
        <v>44910</v>
      </c>
      <c r="D1480">
        <v>12</v>
      </c>
      <c r="E1480" t="s">
        <v>16</v>
      </c>
      <c r="F1480" t="s">
        <v>17</v>
      </c>
      <c r="G1480" t="s">
        <v>124</v>
      </c>
      <c r="H1480">
        <v>0</v>
      </c>
      <c r="I1480">
        <v>182923</v>
      </c>
      <c r="J1480">
        <v>-182923</v>
      </c>
      <c r="L1480">
        <v>33</v>
      </c>
      <c r="M1480">
        <v>16223</v>
      </c>
      <c r="N1480" t="s">
        <v>61</v>
      </c>
      <c r="O1480" t="s">
        <v>62</v>
      </c>
    </row>
    <row r="1481" spans="2:15" x14ac:dyDescent="0.25">
      <c r="B1481" t="s">
        <v>36</v>
      </c>
      <c r="C1481" s="4">
        <v>44910</v>
      </c>
      <c r="D1481">
        <v>12</v>
      </c>
      <c r="E1481" t="s">
        <v>21</v>
      </c>
      <c r="F1481" t="s">
        <v>44</v>
      </c>
      <c r="G1481" t="s">
        <v>124</v>
      </c>
      <c r="H1481">
        <v>13341</v>
      </c>
      <c r="I1481">
        <v>0</v>
      </c>
      <c r="J1481">
        <v>13341</v>
      </c>
      <c r="L1481">
        <v>33</v>
      </c>
      <c r="M1481">
        <v>371740</v>
      </c>
      <c r="N1481" t="s">
        <v>85</v>
      </c>
      <c r="O1481" t="s">
        <v>86</v>
      </c>
    </row>
    <row r="1482" spans="2:15" x14ac:dyDescent="0.25">
      <c r="B1482" t="s">
        <v>36</v>
      </c>
      <c r="C1482" s="4">
        <v>44910</v>
      </c>
      <c r="D1482">
        <v>12</v>
      </c>
      <c r="E1482" t="s">
        <v>16</v>
      </c>
      <c r="F1482" t="s">
        <v>17</v>
      </c>
      <c r="G1482" t="s">
        <v>124</v>
      </c>
      <c r="H1482">
        <v>0</v>
      </c>
      <c r="I1482">
        <v>13341</v>
      </c>
      <c r="J1482">
        <v>-13341</v>
      </c>
      <c r="L1482">
        <v>33</v>
      </c>
      <c r="M1482">
        <v>371740</v>
      </c>
      <c r="N1482" t="s">
        <v>85</v>
      </c>
      <c r="O1482" t="s">
        <v>86</v>
      </c>
    </row>
    <row r="1483" spans="2:15" x14ac:dyDescent="0.25">
      <c r="B1483" t="s">
        <v>36</v>
      </c>
      <c r="C1483" s="4">
        <v>44911</v>
      </c>
      <c r="D1483">
        <v>12</v>
      </c>
      <c r="E1483" t="s">
        <v>21</v>
      </c>
      <c r="F1483" t="s">
        <v>44</v>
      </c>
      <c r="G1483" t="s">
        <v>124</v>
      </c>
      <c r="H1483">
        <v>4000</v>
      </c>
      <c r="I1483">
        <v>0</v>
      </c>
      <c r="J1483">
        <v>4000</v>
      </c>
      <c r="L1483">
        <v>33</v>
      </c>
      <c r="M1483">
        <v>95</v>
      </c>
      <c r="N1483" t="s">
        <v>91</v>
      </c>
      <c r="O1483" t="s">
        <v>92</v>
      </c>
    </row>
    <row r="1484" spans="2:15" x14ac:dyDescent="0.25">
      <c r="B1484" t="s">
        <v>36</v>
      </c>
      <c r="C1484" s="4">
        <v>44911</v>
      </c>
      <c r="D1484">
        <v>12</v>
      </c>
      <c r="E1484" t="s">
        <v>16</v>
      </c>
      <c r="F1484" t="s">
        <v>17</v>
      </c>
      <c r="G1484" t="s">
        <v>124</v>
      </c>
      <c r="H1484">
        <v>0</v>
      </c>
      <c r="I1484">
        <v>4000</v>
      </c>
      <c r="J1484">
        <v>-4000</v>
      </c>
      <c r="L1484">
        <v>33</v>
      </c>
      <c r="M1484">
        <v>95</v>
      </c>
      <c r="N1484" t="s">
        <v>91</v>
      </c>
      <c r="O1484" t="s">
        <v>92</v>
      </c>
    </row>
    <row r="1485" spans="2:15" x14ac:dyDescent="0.25">
      <c r="B1485" t="s">
        <v>36</v>
      </c>
      <c r="C1485" s="4">
        <v>44911</v>
      </c>
      <c r="D1485">
        <v>12</v>
      </c>
      <c r="E1485" t="s">
        <v>21</v>
      </c>
      <c r="F1485" t="s">
        <v>44</v>
      </c>
      <c r="G1485" t="s">
        <v>124</v>
      </c>
      <c r="H1485">
        <v>166400</v>
      </c>
      <c r="I1485">
        <v>0</v>
      </c>
      <c r="J1485">
        <v>166400</v>
      </c>
      <c r="L1485">
        <v>33</v>
      </c>
      <c r="M1485">
        <v>18933</v>
      </c>
      <c r="N1485" t="s">
        <v>120</v>
      </c>
      <c r="O1485" t="s">
        <v>121</v>
      </c>
    </row>
    <row r="1486" spans="2:15" x14ac:dyDescent="0.25">
      <c r="B1486" t="s">
        <v>36</v>
      </c>
      <c r="C1486" s="4">
        <v>44911</v>
      </c>
      <c r="D1486">
        <v>12</v>
      </c>
      <c r="E1486" t="s">
        <v>16</v>
      </c>
      <c r="F1486" t="s">
        <v>17</v>
      </c>
      <c r="G1486" t="s">
        <v>124</v>
      </c>
      <c r="H1486">
        <v>0</v>
      </c>
      <c r="I1486">
        <v>166400</v>
      </c>
      <c r="J1486">
        <v>-166400</v>
      </c>
      <c r="L1486">
        <v>33</v>
      </c>
      <c r="M1486">
        <v>18933</v>
      </c>
      <c r="N1486" t="s">
        <v>120</v>
      </c>
      <c r="O1486" t="s">
        <v>121</v>
      </c>
    </row>
    <row r="1487" spans="2:15" x14ac:dyDescent="0.25">
      <c r="B1487" t="s">
        <v>36</v>
      </c>
      <c r="C1487" s="4">
        <v>44914</v>
      </c>
      <c r="D1487">
        <v>12</v>
      </c>
      <c r="E1487" t="s">
        <v>21</v>
      </c>
      <c r="F1487" t="s">
        <v>44</v>
      </c>
      <c r="G1487" t="s">
        <v>124</v>
      </c>
      <c r="H1487">
        <v>24681</v>
      </c>
      <c r="I1487">
        <v>0</v>
      </c>
      <c r="J1487">
        <v>24681</v>
      </c>
      <c r="L1487">
        <v>33</v>
      </c>
      <c r="M1487">
        <v>413568</v>
      </c>
      <c r="N1487" t="s">
        <v>51</v>
      </c>
      <c r="O1487" t="s">
        <v>52</v>
      </c>
    </row>
    <row r="1488" spans="2:15" x14ac:dyDescent="0.25">
      <c r="B1488" t="s">
        <v>36</v>
      </c>
      <c r="C1488" s="4">
        <v>44914</v>
      </c>
      <c r="D1488">
        <v>12</v>
      </c>
      <c r="E1488" t="s">
        <v>16</v>
      </c>
      <c r="F1488" t="s">
        <v>17</v>
      </c>
      <c r="G1488" t="s">
        <v>124</v>
      </c>
      <c r="H1488">
        <v>0</v>
      </c>
      <c r="I1488">
        <v>24681</v>
      </c>
      <c r="J1488">
        <v>-24681</v>
      </c>
      <c r="L1488">
        <v>33</v>
      </c>
      <c r="M1488">
        <v>413568</v>
      </c>
      <c r="N1488" t="s">
        <v>51</v>
      </c>
      <c r="O1488" t="s">
        <v>52</v>
      </c>
    </row>
    <row r="1489" spans="2:15" x14ac:dyDescent="0.25">
      <c r="B1489" t="s">
        <v>36</v>
      </c>
      <c r="C1489" s="4">
        <v>44915</v>
      </c>
      <c r="D1489">
        <v>12</v>
      </c>
      <c r="E1489" t="s">
        <v>21</v>
      </c>
      <c r="F1489" t="s">
        <v>44</v>
      </c>
      <c r="G1489" t="s">
        <v>124</v>
      </c>
      <c r="H1489">
        <v>13580</v>
      </c>
      <c r="I1489">
        <v>0</v>
      </c>
      <c r="J1489">
        <v>13580</v>
      </c>
      <c r="L1489">
        <v>33</v>
      </c>
      <c r="M1489">
        <v>41074</v>
      </c>
      <c r="N1489" t="s">
        <v>81</v>
      </c>
      <c r="O1489" t="s">
        <v>82</v>
      </c>
    </row>
    <row r="1490" spans="2:15" x14ac:dyDescent="0.25">
      <c r="B1490" t="s">
        <v>36</v>
      </c>
      <c r="C1490" s="4">
        <v>44915</v>
      </c>
      <c r="D1490">
        <v>12</v>
      </c>
      <c r="E1490" t="s">
        <v>16</v>
      </c>
      <c r="F1490" t="s">
        <v>17</v>
      </c>
      <c r="G1490" t="s">
        <v>124</v>
      </c>
      <c r="H1490">
        <v>0</v>
      </c>
      <c r="I1490">
        <v>13580</v>
      </c>
      <c r="J1490">
        <v>-13580</v>
      </c>
      <c r="L1490">
        <v>33</v>
      </c>
      <c r="M1490">
        <v>41074</v>
      </c>
      <c r="N1490" t="s">
        <v>81</v>
      </c>
      <c r="O1490" t="s">
        <v>82</v>
      </c>
    </row>
    <row r="1491" spans="2:15" x14ac:dyDescent="0.25">
      <c r="B1491" t="s">
        <v>36</v>
      </c>
      <c r="C1491" s="4">
        <v>44915</v>
      </c>
      <c r="D1491">
        <v>12</v>
      </c>
      <c r="E1491" t="s">
        <v>21</v>
      </c>
      <c r="F1491" t="s">
        <v>44</v>
      </c>
      <c r="G1491" t="s">
        <v>124</v>
      </c>
      <c r="H1491">
        <v>18336</v>
      </c>
      <c r="I1491">
        <v>0</v>
      </c>
      <c r="J1491">
        <v>18336</v>
      </c>
      <c r="L1491">
        <v>33</v>
      </c>
      <c r="M1491">
        <v>372228</v>
      </c>
      <c r="N1491" t="s">
        <v>85</v>
      </c>
      <c r="O1491" t="s">
        <v>86</v>
      </c>
    </row>
    <row r="1492" spans="2:15" x14ac:dyDescent="0.25">
      <c r="B1492" t="s">
        <v>36</v>
      </c>
      <c r="C1492" s="4">
        <v>44915</v>
      </c>
      <c r="D1492">
        <v>12</v>
      </c>
      <c r="E1492" t="s">
        <v>16</v>
      </c>
      <c r="F1492" t="s">
        <v>17</v>
      </c>
      <c r="G1492" t="s">
        <v>124</v>
      </c>
      <c r="H1492">
        <v>0</v>
      </c>
      <c r="I1492">
        <v>18336</v>
      </c>
      <c r="J1492">
        <v>-18336</v>
      </c>
      <c r="L1492">
        <v>33</v>
      </c>
      <c r="M1492">
        <v>372228</v>
      </c>
      <c r="N1492" t="s">
        <v>85</v>
      </c>
      <c r="O1492" t="s">
        <v>86</v>
      </c>
    </row>
    <row r="1493" spans="2:15" x14ac:dyDescent="0.25">
      <c r="B1493" t="s">
        <v>36</v>
      </c>
      <c r="C1493" s="4">
        <v>44915</v>
      </c>
      <c r="D1493">
        <v>12</v>
      </c>
      <c r="E1493" t="s">
        <v>21</v>
      </c>
      <c r="F1493" t="s">
        <v>44</v>
      </c>
      <c r="G1493" t="s">
        <v>124</v>
      </c>
      <c r="H1493">
        <v>53294</v>
      </c>
      <c r="I1493">
        <v>0</v>
      </c>
      <c r="J1493">
        <v>53294</v>
      </c>
      <c r="L1493">
        <v>33</v>
      </c>
      <c r="M1493">
        <v>720998</v>
      </c>
      <c r="N1493" t="s">
        <v>49</v>
      </c>
      <c r="O1493" t="s">
        <v>50</v>
      </c>
    </row>
    <row r="1494" spans="2:15" x14ac:dyDescent="0.25">
      <c r="B1494" t="s">
        <v>36</v>
      </c>
      <c r="C1494" s="4">
        <v>44915</v>
      </c>
      <c r="D1494">
        <v>12</v>
      </c>
      <c r="E1494" t="s">
        <v>16</v>
      </c>
      <c r="F1494" t="s">
        <v>17</v>
      </c>
      <c r="G1494" t="s">
        <v>124</v>
      </c>
      <c r="H1494">
        <v>0</v>
      </c>
      <c r="I1494">
        <v>53294</v>
      </c>
      <c r="J1494">
        <v>-53294</v>
      </c>
      <c r="L1494">
        <v>33</v>
      </c>
      <c r="M1494">
        <v>720998</v>
      </c>
      <c r="N1494" t="s">
        <v>49</v>
      </c>
      <c r="O1494" t="s">
        <v>50</v>
      </c>
    </row>
    <row r="1495" spans="2:15" x14ac:dyDescent="0.25">
      <c r="B1495" t="s">
        <v>36</v>
      </c>
      <c r="C1495" s="4">
        <v>44911</v>
      </c>
      <c r="D1495">
        <v>12</v>
      </c>
      <c r="E1495" t="s">
        <v>21</v>
      </c>
      <c r="F1495" t="s">
        <v>44</v>
      </c>
      <c r="G1495" t="s">
        <v>124</v>
      </c>
      <c r="H1495">
        <v>42960</v>
      </c>
      <c r="I1495">
        <v>0</v>
      </c>
      <c r="J1495">
        <v>42960</v>
      </c>
      <c r="L1495">
        <v>33</v>
      </c>
      <c r="M1495">
        <v>11161003</v>
      </c>
      <c r="N1495" t="s">
        <v>57</v>
      </c>
      <c r="O1495" t="s">
        <v>58</v>
      </c>
    </row>
    <row r="1496" spans="2:15" x14ac:dyDescent="0.25">
      <c r="B1496" t="s">
        <v>36</v>
      </c>
      <c r="C1496" s="4">
        <v>44911</v>
      </c>
      <c r="D1496">
        <v>12</v>
      </c>
      <c r="E1496" t="s">
        <v>16</v>
      </c>
      <c r="F1496" t="s">
        <v>17</v>
      </c>
      <c r="G1496" t="s">
        <v>124</v>
      </c>
      <c r="H1496">
        <v>0</v>
      </c>
      <c r="I1496">
        <v>42960</v>
      </c>
      <c r="J1496">
        <v>-42960</v>
      </c>
      <c r="L1496">
        <v>33</v>
      </c>
      <c r="M1496">
        <v>11161003</v>
      </c>
      <c r="N1496" t="s">
        <v>57</v>
      </c>
      <c r="O1496" t="s">
        <v>58</v>
      </c>
    </row>
    <row r="1497" spans="2:15" x14ac:dyDescent="0.25">
      <c r="B1497" t="s">
        <v>36</v>
      </c>
      <c r="C1497" s="4">
        <v>44916</v>
      </c>
      <c r="D1497">
        <v>12</v>
      </c>
      <c r="E1497" t="s">
        <v>21</v>
      </c>
      <c r="F1497" t="s">
        <v>44</v>
      </c>
      <c r="G1497" t="s">
        <v>124</v>
      </c>
      <c r="H1497">
        <v>50266</v>
      </c>
      <c r="I1497">
        <v>0</v>
      </c>
      <c r="J1497">
        <v>50266</v>
      </c>
      <c r="L1497">
        <v>33</v>
      </c>
      <c r="M1497">
        <v>414101</v>
      </c>
      <c r="N1497" t="s">
        <v>51</v>
      </c>
      <c r="O1497" t="s">
        <v>52</v>
      </c>
    </row>
    <row r="1498" spans="2:15" x14ac:dyDescent="0.25">
      <c r="B1498" t="s">
        <v>36</v>
      </c>
      <c r="C1498" s="4">
        <v>44916</v>
      </c>
      <c r="D1498">
        <v>12</v>
      </c>
      <c r="E1498" t="s">
        <v>16</v>
      </c>
      <c r="F1498" t="s">
        <v>17</v>
      </c>
      <c r="G1498" t="s">
        <v>124</v>
      </c>
      <c r="H1498">
        <v>0</v>
      </c>
      <c r="I1498">
        <v>50266</v>
      </c>
      <c r="J1498">
        <v>-50266</v>
      </c>
      <c r="L1498">
        <v>33</v>
      </c>
      <c r="M1498">
        <v>414101</v>
      </c>
      <c r="N1498" t="s">
        <v>51</v>
      </c>
      <c r="O1498" t="s">
        <v>52</v>
      </c>
    </row>
    <row r="1499" spans="2:15" x14ac:dyDescent="0.25">
      <c r="B1499" t="s">
        <v>36</v>
      </c>
      <c r="C1499" s="4">
        <v>44917</v>
      </c>
      <c r="D1499">
        <v>12</v>
      </c>
      <c r="E1499" t="s">
        <v>21</v>
      </c>
      <c r="F1499" t="s">
        <v>44</v>
      </c>
      <c r="G1499" t="s">
        <v>124</v>
      </c>
      <c r="H1499">
        <v>14453</v>
      </c>
      <c r="I1499">
        <v>0</v>
      </c>
      <c r="J1499">
        <v>14453</v>
      </c>
      <c r="L1499">
        <v>33</v>
      </c>
      <c r="M1499">
        <v>721598</v>
      </c>
      <c r="N1499" t="s">
        <v>49</v>
      </c>
      <c r="O1499" t="s">
        <v>50</v>
      </c>
    </row>
    <row r="1500" spans="2:15" x14ac:dyDescent="0.25">
      <c r="B1500" t="s">
        <v>36</v>
      </c>
      <c r="C1500" s="4">
        <v>44917</v>
      </c>
      <c r="D1500">
        <v>12</v>
      </c>
      <c r="E1500" t="s">
        <v>16</v>
      </c>
      <c r="F1500" t="s">
        <v>17</v>
      </c>
      <c r="G1500" t="s">
        <v>124</v>
      </c>
      <c r="H1500">
        <v>0</v>
      </c>
      <c r="I1500">
        <v>14453</v>
      </c>
      <c r="J1500">
        <v>-14453</v>
      </c>
      <c r="L1500">
        <v>33</v>
      </c>
      <c r="M1500">
        <v>721598</v>
      </c>
      <c r="N1500" t="s">
        <v>49</v>
      </c>
      <c r="O1500" t="s">
        <v>50</v>
      </c>
    </row>
    <row r="1501" spans="2:15" x14ac:dyDescent="0.25">
      <c r="B1501" t="s">
        <v>36</v>
      </c>
      <c r="C1501" s="4">
        <v>44918</v>
      </c>
      <c r="D1501">
        <v>12</v>
      </c>
      <c r="E1501" t="s">
        <v>21</v>
      </c>
      <c r="F1501" t="s">
        <v>44</v>
      </c>
      <c r="G1501" t="s">
        <v>124</v>
      </c>
      <c r="H1501">
        <v>10800</v>
      </c>
      <c r="I1501">
        <v>0</v>
      </c>
      <c r="J1501">
        <v>10800</v>
      </c>
      <c r="L1501">
        <v>33</v>
      </c>
      <c r="M1501">
        <v>13043</v>
      </c>
      <c r="N1501" t="s">
        <v>101</v>
      </c>
      <c r="O1501" t="s">
        <v>102</v>
      </c>
    </row>
    <row r="1502" spans="2:15" x14ac:dyDescent="0.25">
      <c r="B1502" t="s">
        <v>36</v>
      </c>
      <c r="C1502" s="4">
        <v>44918</v>
      </c>
      <c r="D1502">
        <v>12</v>
      </c>
      <c r="E1502" t="s">
        <v>16</v>
      </c>
      <c r="F1502" t="s">
        <v>17</v>
      </c>
      <c r="G1502" t="s">
        <v>124</v>
      </c>
      <c r="H1502">
        <v>0</v>
      </c>
      <c r="I1502">
        <v>10800</v>
      </c>
      <c r="J1502">
        <v>-10800</v>
      </c>
      <c r="L1502">
        <v>33</v>
      </c>
      <c r="M1502">
        <v>13043</v>
      </c>
      <c r="N1502" t="s">
        <v>101</v>
      </c>
      <c r="O1502" t="s">
        <v>102</v>
      </c>
    </row>
    <row r="1503" spans="2:15" x14ac:dyDescent="0.25">
      <c r="B1503" t="s">
        <v>36</v>
      </c>
      <c r="C1503" s="4">
        <v>44918</v>
      </c>
      <c r="D1503">
        <v>12</v>
      </c>
      <c r="E1503" t="s">
        <v>21</v>
      </c>
      <c r="F1503" t="s">
        <v>44</v>
      </c>
      <c r="G1503" t="s">
        <v>124</v>
      </c>
      <c r="H1503">
        <v>17400</v>
      </c>
      <c r="I1503">
        <v>0</v>
      </c>
      <c r="J1503">
        <v>17400</v>
      </c>
      <c r="L1503">
        <v>33</v>
      </c>
      <c r="M1503">
        <v>171191</v>
      </c>
      <c r="N1503" t="s">
        <v>45</v>
      </c>
      <c r="O1503" t="s">
        <v>46</v>
      </c>
    </row>
    <row r="1504" spans="2:15" x14ac:dyDescent="0.25">
      <c r="B1504" t="s">
        <v>36</v>
      </c>
      <c r="C1504" s="4">
        <v>44918</v>
      </c>
      <c r="D1504">
        <v>12</v>
      </c>
      <c r="E1504" t="s">
        <v>16</v>
      </c>
      <c r="F1504" t="s">
        <v>17</v>
      </c>
      <c r="G1504" t="s">
        <v>124</v>
      </c>
      <c r="H1504">
        <v>0</v>
      </c>
      <c r="I1504">
        <v>17400</v>
      </c>
      <c r="J1504">
        <v>-17400</v>
      </c>
      <c r="L1504">
        <v>33</v>
      </c>
      <c r="M1504">
        <v>171191</v>
      </c>
      <c r="N1504" t="s">
        <v>45</v>
      </c>
      <c r="O1504" t="s">
        <v>46</v>
      </c>
    </row>
    <row r="1505" spans="2:15" x14ac:dyDescent="0.25">
      <c r="B1505" t="s">
        <v>36</v>
      </c>
      <c r="C1505" s="4">
        <v>44922</v>
      </c>
      <c r="D1505">
        <v>12</v>
      </c>
      <c r="E1505" t="s">
        <v>21</v>
      </c>
      <c r="F1505" t="s">
        <v>44</v>
      </c>
      <c r="G1505" t="s">
        <v>124</v>
      </c>
      <c r="H1505">
        <v>99460</v>
      </c>
      <c r="I1505">
        <v>0</v>
      </c>
      <c r="J1505">
        <v>99460</v>
      </c>
      <c r="L1505">
        <v>33</v>
      </c>
      <c r="M1505">
        <v>414387</v>
      </c>
      <c r="N1505" t="s">
        <v>51</v>
      </c>
      <c r="O1505" t="s">
        <v>52</v>
      </c>
    </row>
    <row r="1506" spans="2:15" x14ac:dyDescent="0.25">
      <c r="B1506" t="s">
        <v>36</v>
      </c>
      <c r="C1506" s="4">
        <v>44922</v>
      </c>
      <c r="D1506">
        <v>12</v>
      </c>
      <c r="E1506" t="s">
        <v>16</v>
      </c>
      <c r="F1506" t="s">
        <v>17</v>
      </c>
      <c r="G1506" t="s">
        <v>124</v>
      </c>
      <c r="H1506">
        <v>0</v>
      </c>
      <c r="I1506">
        <v>99460</v>
      </c>
      <c r="J1506">
        <v>-99460</v>
      </c>
      <c r="L1506">
        <v>33</v>
      </c>
      <c r="M1506">
        <v>414387</v>
      </c>
      <c r="N1506" t="s">
        <v>51</v>
      </c>
      <c r="O1506" t="s">
        <v>52</v>
      </c>
    </row>
    <row r="1507" spans="2:15" x14ac:dyDescent="0.25">
      <c r="B1507" t="s">
        <v>36</v>
      </c>
      <c r="C1507" s="4">
        <v>44922</v>
      </c>
      <c r="D1507">
        <v>12</v>
      </c>
      <c r="E1507" t="s">
        <v>21</v>
      </c>
      <c r="F1507" t="s">
        <v>44</v>
      </c>
      <c r="G1507" t="s">
        <v>124</v>
      </c>
      <c r="H1507">
        <v>49932</v>
      </c>
      <c r="I1507">
        <v>0</v>
      </c>
      <c r="J1507">
        <v>49932</v>
      </c>
      <c r="L1507">
        <v>33</v>
      </c>
      <c r="M1507">
        <v>414388</v>
      </c>
      <c r="N1507" t="s">
        <v>51</v>
      </c>
      <c r="O1507" t="s">
        <v>52</v>
      </c>
    </row>
    <row r="1508" spans="2:15" x14ac:dyDescent="0.25">
      <c r="B1508" t="s">
        <v>36</v>
      </c>
      <c r="C1508" s="4">
        <v>44922</v>
      </c>
      <c r="D1508">
        <v>12</v>
      </c>
      <c r="E1508" t="s">
        <v>16</v>
      </c>
      <c r="F1508" t="s">
        <v>17</v>
      </c>
      <c r="G1508" t="s">
        <v>124</v>
      </c>
      <c r="H1508">
        <v>0</v>
      </c>
      <c r="I1508">
        <v>49932</v>
      </c>
      <c r="J1508">
        <v>-49932</v>
      </c>
      <c r="L1508">
        <v>33</v>
      </c>
      <c r="M1508">
        <v>414388</v>
      </c>
      <c r="N1508" t="s">
        <v>51</v>
      </c>
      <c r="O1508" t="s">
        <v>52</v>
      </c>
    </row>
    <row r="1509" spans="2:15" x14ac:dyDescent="0.25">
      <c r="B1509" t="s">
        <v>36</v>
      </c>
      <c r="C1509" s="4">
        <v>44922</v>
      </c>
      <c r="D1509">
        <v>12</v>
      </c>
      <c r="E1509" t="s">
        <v>21</v>
      </c>
      <c r="F1509" t="s">
        <v>44</v>
      </c>
      <c r="G1509" t="s">
        <v>124</v>
      </c>
      <c r="H1509">
        <v>78254</v>
      </c>
      <c r="I1509">
        <v>0</v>
      </c>
      <c r="J1509">
        <v>78254</v>
      </c>
      <c r="L1509">
        <v>33</v>
      </c>
      <c r="M1509">
        <v>414390</v>
      </c>
      <c r="N1509" t="s">
        <v>51</v>
      </c>
      <c r="O1509" t="s">
        <v>52</v>
      </c>
    </row>
    <row r="1510" spans="2:15" x14ac:dyDescent="0.25">
      <c r="B1510" t="s">
        <v>36</v>
      </c>
      <c r="C1510" s="4">
        <v>44922</v>
      </c>
      <c r="D1510">
        <v>12</v>
      </c>
      <c r="E1510" t="s">
        <v>16</v>
      </c>
      <c r="F1510" t="s">
        <v>17</v>
      </c>
      <c r="G1510" t="s">
        <v>124</v>
      </c>
      <c r="H1510">
        <v>0</v>
      </c>
      <c r="I1510">
        <v>78254</v>
      </c>
      <c r="J1510">
        <v>-78254</v>
      </c>
      <c r="L1510">
        <v>33</v>
      </c>
      <c r="M1510">
        <v>414390</v>
      </c>
      <c r="N1510" t="s">
        <v>51</v>
      </c>
      <c r="O1510" t="s">
        <v>52</v>
      </c>
    </row>
    <row r="1511" spans="2:15" x14ac:dyDescent="0.25">
      <c r="B1511" t="s">
        <v>36</v>
      </c>
      <c r="C1511" s="4">
        <v>44923</v>
      </c>
      <c r="D1511">
        <v>12</v>
      </c>
      <c r="E1511" t="s">
        <v>21</v>
      </c>
      <c r="F1511" t="s">
        <v>44</v>
      </c>
      <c r="G1511" t="s">
        <v>124</v>
      </c>
      <c r="H1511">
        <v>9800</v>
      </c>
      <c r="I1511">
        <v>0</v>
      </c>
      <c r="J1511">
        <v>9800</v>
      </c>
      <c r="L1511">
        <v>33</v>
      </c>
      <c r="M1511">
        <v>106</v>
      </c>
      <c r="N1511" t="s">
        <v>91</v>
      </c>
      <c r="O1511" t="s">
        <v>92</v>
      </c>
    </row>
    <row r="1512" spans="2:15" x14ac:dyDescent="0.25">
      <c r="B1512" t="s">
        <v>36</v>
      </c>
      <c r="C1512" s="4">
        <v>44923</v>
      </c>
      <c r="D1512">
        <v>12</v>
      </c>
      <c r="E1512" t="s">
        <v>16</v>
      </c>
      <c r="F1512" t="s">
        <v>17</v>
      </c>
      <c r="G1512" t="s">
        <v>124</v>
      </c>
      <c r="H1512">
        <v>0</v>
      </c>
      <c r="I1512">
        <v>9800</v>
      </c>
      <c r="J1512">
        <v>-9800</v>
      </c>
      <c r="L1512">
        <v>33</v>
      </c>
      <c r="M1512">
        <v>106</v>
      </c>
      <c r="N1512" t="s">
        <v>91</v>
      </c>
      <c r="O1512" t="s">
        <v>92</v>
      </c>
    </row>
    <row r="1513" spans="2:15" x14ac:dyDescent="0.25">
      <c r="B1513" t="s">
        <v>36</v>
      </c>
      <c r="C1513" s="4">
        <v>44923</v>
      </c>
      <c r="D1513">
        <v>12</v>
      </c>
      <c r="E1513" t="s">
        <v>21</v>
      </c>
      <c r="F1513" t="s">
        <v>44</v>
      </c>
      <c r="G1513" t="s">
        <v>124</v>
      </c>
      <c r="H1513">
        <v>218210</v>
      </c>
      <c r="I1513">
        <v>0</v>
      </c>
      <c r="J1513">
        <v>218210</v>
      </c>
      <c r="L1513">
        <v>33</v>
      </c>
      <c r="M1513">
        <v>30672</v>
      </c>
      <c r="N1513" t="s">
        <v>122</v>
      </c>
      <c r="O1513" t="s">
        <v>123</v>
      </c>
    </row>
    <row r="1514" spans="2:15" x14ac:dyDescent="0.25">
      <c r="B1514" t="s">
        <v>36</v>
      </c>
      <c r="C1514" s="4">
        <v>44923</v>
      </c>
      <c r="D1514">
        <v>12</v>
      </c>
      <c r="E1514" t="s">
        <v>16</v>
      </c>
      <c r="F1514" t="s">
        <v>17</v>
      </c>
      <c r="G1514" t="s">
        <v>124</v>
      </c>
      <c r="H1514">
        <v>0</v>
      </c>
      <c r="I1514">
        <v>218210</v>
      </c>
      <c r="J1514">
        <v>-218210</v>
      </c>
      <c r="L1514">
        <v>33</v>
      </c>
      <c r="M1514">
        <v>30672</v>
      </c>
      <c r="N1514" t="s">
        <v>122</v>
      </c>
      <c r="O1514" t="s">
        <v>123</v>
      </c>
    </row>
    <row r="1515" spans="2:15" x14ac:dyDescent="0.25">
      <c r="B1515" t="s">
        <v>36</v>
      </c>
      <c r="C1515" s="4">
        <v>44924</v>
      </c>
      <c r="D1515">
        <v>12</v>
      </c>
      <c r="E1515" t="s">
        <v>21</v>
      </c>
      <c r="F1515" t="s">
        <v>44</v>
      </c>
      <c r="G1515" t="s">
        <v>124</v>
      </c>
      <c r="H1515">
        <v>233050</v>
      </c>
      <c r="I1515">
        <v>0</v>
      </c>
      <c r="J1515">
        <v>233050</v>
      </c>
      <c r="L1515">
        <v>33</v>
      </c>
      <c r="M1515">
        <v>414853</v>
      </c>
      <c r="N1515" t="s">
        <v>51</v>
      </c>
      <c r="O1515" t="s">
        <v>52</v>
      </c>
    </row>
    <row r="1516" spans="2:15" x14ac:dyDescent="0.25">
      <c r="B1516" t="s">
        <v>36</v>
      </c>
      <c r="C1516" s="4">
        <v>44924</v>
      </c>
      <c r="D1516">
        <v>12</v>
      </c>
      <c r="E1516" t="s">
        <v>16</v>
      </c>
      <c r="F1516" t="s">
        <v>17</v>
      </c>
      <c r="G1516" t="s">
        <v>124</v>
      </c>
      <c r="H1516">
        <v>0</v>
      </c>
      <c r="I1516">
        <v>233050</v>
      </c>
      <c r="J1516">
        <v>-233050</v>
      </c>
      <c r="L1516">
        <v>33</v>
      </c>
      <c r="M1516">
        <v>414853</v>
      </c>
      <c r="N1516" t="s">
        <v>51</v>
      </c>
      <c r="O1516" t="s">
        <v>52</v>
      </c>
    </row>
    <row r="1517" spans="2:15" x14ac:dyDescent="0.25">
      <c r="B1517" t="s">
        <v>36</v>
      </c>
      <c r="C1517" s="4">
        <v>44924</v>
      </c>
      <c r="D1517">
        <v>12</v>
      </c>
      <c r="E1517" t="s">
        <v>21</v>
      </c>
      <c r="F1517" t="s">
        <v>44</v>
      </c>
      <c r="G1517" t="s">
        <v>124</v>
      </c>
      <c r="H1517">
        <v>43233</v>
      </c>
      <c r="I1517">
        <v>0</v>
      </c>
      <c r="J1517">
        <v>43233</v>
      </c>
      <c r="L1517">
        <v>33</v>
      </c>
      <c r="M1517">
        <v>414992</v>
      </c>
      <c r="N1517" t="s">
        <v>51</v>
      </c>
      <c r="O1517" t="s">
        <v>52</v>
      </c>
    </row>
    <row r="1518" spans="2:15" x14ac:dyDescent="0.25">
      <c r="B1518" t="s">
        <v>36</v>
      </c>
      <c r="C1518" s="4">
        <v>44924</v>
      </c>
      <c r="D1518">
        <v>12</v>
      </c>
      <c r="E1518" t="s">
        <v>16</v>
      </c>
      <c r="F1518" t="s">
        <v>17</v>
      </c>
      <c r="G1518" t="s">
        <v>124</v>
      </c>
      <c r="H1518">
        <v>0</v>
      </c>
      <c r="I1518">
        <v>43233</v>
      </c>
      <c r="J1518">
        <v>-43233</v>
      </c>
      <c r="L1518">
        <v>33</v>
      </c>
      <c r="M1518">
        <v>414992</v>
      </c>
      <c r="N1518" t="s">
        <v>51</v>
      </c>
      <c r="O1518" t="s">
        <v>52</v>
      </c>
    </row>
    <row r="1519" spans="2:15" x14ac:dyDescent="0.25">
      <c r="B1519" t="s">
        <v>36</v>
      </c>
      <c r="C1519" s="4">
        <v>44925</v>
      </c>
      <c r="D1519">
        <v>12</v>
      </c>
      <c r="E1519" t="s">
        <v>21</v>
      </c>
      <c r="F1519" t="s">
        <v>44</v>
      </c>
      <c r="G1519" t="s">
        <v>124</v>
      </c>
      <c r="H1519">
        <v>108874</v>
      </c>
      <c r="I1519">
        <v>0</v>
      </c>
      <c r="J1519">
        <v>108874</v>
      </c>
      <c r="L1519">
        <v>33</v>
      </c>
      <c r="M1519">
        <v>17958884</v>
      </c>
      <c r="N1519" t="s">
        <v>117</v>
      </c>
      <c r="O1519" t="s">
        <v>118</v>
      </c>
    </row>
    <row r="1520" spans="2:15" x14ac:dyDescent="0.25">
      <c r="B1520" t="s">
        <v>36</v>
      </c>
      <c r="C1520" s="4">
        <v>44925</v>
      </c>
      <c r="D1520">
        <v>12</v>
      </c>
      <c r="E1520" t="s">
        <v>16</v>
      </c>
      <c r="F1520" t="s">
        <v>17</v>
      </c>
      <c r="G1520" t="s">
        <v>124</v>
      </c>
      <c r="H1520">
        <v>0</v>
      </c>
      <c r="I1520">
        <v>108874</v>
      </c>
      <c r="J1520">
        <v>-108874</v>
      </c>
      <c r="L1520">
        <v>33</v>
      </c>
      <c r="M1520">
        <v>17958884</v>
      </c>
      <c r="N1520" t="s">
        <v>117</v>
      </c>
      <c r="O1520" t="s">
        <v>118</v>
      </c>
    </row>
    <row r="1521" spans="2:15" x14ac:dyDescent="0.25">
      <c r="B1521" t="s">
        <v>36</v>
      </c>
      <c r="C1521" s="4">
        <v>44887</v>
      </c>
      <c r="D1521">
        <v>12</v>
      </c>
      <c r="E1521" t="s">
        <v>21</v>
      </c>
      <c r="F1521" t="s">
        <v>44</v>
      </c>
      <c r="G1521" t="s">
        <v>124</v>
      </c>
      <c r="H1521">
        <v>121100</v>
      </c>
      <c r="I1521">
        <v>0</v>
      </c>
      <c r="J1521">
        <v>121100</v>
      </c>
      <c r="L1521">
        <v>34</v>
      </c>
      <c r="M1521">
        <v>135</v>
      </c>
      <c r="N1521" t="s">
        <v>71</v>
      </c>
      <c r="O1521" t="s">
        <v>72</v>
      </c>
    </row>
    <row r="1522" spans="2:15" x14ac:dyDescent="0.25">
      <c r="B1522" t="s">
        <v>36</v>
      </c>
      <c r="C1522" s="4">
        <v>44887</v>
      </c>
      <c r="D1522">
        <v>12</v>
      </c>
      <c r="E1522" t="s">
        <v>16</v>
      </c>
      <c r="F1522" t="s">
        <v>17</v>
      </c>
      <c r="G1522" t="s">
        <v>124</v>
      </c>
      <c r="H1522">
        <v>0</v>
      </c>
      <c r="I1522">
        <v>121100</v>
      </c>
      <c r="J1522">
        <v>-121100</v>
      </c>
      <c r="L1522">
        <v>34</v>
      </c>
      <c r="M1522">
        <v>135</v>
      </c>
      <c r="N1522" t="s">
        <v>71</v>
      </c>
      <c r="O1522" t="s">
        <v>72</v>
      </c>
    </row>
    <row r="1523" spans="2:15" x14ac:dyDescent="0.25">
      <c r="B1523" t="s">
        <v>36</v>
      </c>
      <c r="C1523" s="4">
        <v>44916</v>
      </c>
      <c r="D1523">
        <v>12</v>
      </c>
      <c r="E1523" t="s">
        <v>21</v>
      </c>
      <c r="F1523" t="s">
        <v>44</v>
      </c>
      <c r="G1523" t="s">
        <v>124</v>
      </c>
      <c r="H1523">
        <v>121839</v>
      </c>
      <c r="I1523">
        <v>0</v>
      </c>
      <c r="J1523">
        <v>121839</v>
      </c>
      <c r="L1523">
        <v>34</v>
      </c>
      <c r="M1523">
        <v>155</v>
      </c>
      <c r="N1523" t="s">
        <v>71</v>
      </c>
      <c r="O1523" t="s">
        <v>72</v>
      </c>
    </row>
    <row r="1524" spans="2:15" x14ac:dyDescent="0.25">
      <c r="B1524" t="s">
        <v>36</v>
      </c>
      <c r="C1524" s="4">
        <v>44916</v>
      </c>
      <c r="D1524">
        <v>12</v>
      </c>
      <c r="E1524" t="s">
        <v>16</v>
      </c>
      <c r="F1524" t="s">
        <v>17</v>
      </c>
      <c r="G1524" t="s">
        <v>124</v>
      </c>
      <c r="H1524">
        <v>0</v>
      </c>
      <c r="I1524">
        <v>121839</v>
      </c>
      <c r="J1524">
        <v>-121839</v>
      </c>
      <c r="L1524">
        <v>34</v>
      </c>
      <c r="M1524">
        <v>155</v>
      </c>
      <c r="N1524" t="s">
        <v>71</v>
      </c>
      <c r="O1524" t="s">
        <v>72</v>
      </c>
    </row>
    <row r="1525" spans="2:15" x14ac:dyDescent="0.25">
      <c r="B1525" t="s">
        <v>15</v>
      </c>
      <c r="C1525" s="4">
        <v>44564</v>
      </c>
      <c r="D1525">
        <v>1</v>
      </c>
      <c r="E1525" t="s">
        <v>16</v>
      </c>
      <c r="F1525" t="s">
        <v>125</v>
      </c>
      <c r="G1525" t="s">
        <v>126</v>
      </c>
      <c r="H1525">
        <v>464171</v>
      </c>
      <c r="I1525">
        <v>0</v>
      </c>
      <c r="J1525">
        <v>464171</v>
      </c>
      <c r="L1525">
        <v>33</v>
      </c>
      <c r="M1525">
        <v>441</v>
      </c>
      <c r="N1525" t="s">
        <v>127</v>
      </c>
      <c r="O1525" t="s">
        <v>128</v>
      </c>
    </row>
    <row r="1526" spans="2:15" x14ac:dyDescent="0.25">
      <c r="B1526" t="s">
        <v>15</v>
      </c>
      <c r="C1526" s="4">
        <v>44564</v>
      </c>
      <c r="D1526">
        <v>1</v>
      </c>
      <c r="E1526" t="s">
        <v>21</v>
      </c>
      <c r="F1526" t="s">
        <v>129</v>
      </c>
      <c r="G1526" t="s">
        <v>126</v>
      </c>
      <c r="H1526">
        <v>0</v>
      </c>
      <c r="I1526">
        <v>74111</v>
      </c>
      <c r="J1526">
        <v>-74111</v>
      </c>
      <c r="L1526">
        <v>33</v>
      </c>
      <c r="M1526">
        <v>441</v>
      </c>
      <c r="N1526" t="s">
        <v>127</v>
      </c>
      <c r="O1526" t="s">
        <v>128</v>
      </c>
    </row>
    <row r="1527" spans="2:15" x14ac:dyDescent="0.25">
      <c r="B1527" t="s">
        <v>15</v>
      </c>
      <c r="C1527" s="4">
        <v>44564</v>
      </c>
      <c r="D1527">
        <v>1</v>
      </c>
      <c r="E1527" t="s">
        <v>130</v>
      </c>
      <c r="F1527" t="s">
        <v>131</v>
      </c>
      <c r="G1527" t="s">
        <v>126</v>
      </c>
      <c r="H1527">
        <v>0</v>
      </c>
      <c r="I1527">
        <v>390060</v>
      </c>
      <c r="J1527">
        <v>-390060</v>
      </c>
      <c r="L1527">
        <v>33</v>
      </c>
      <c r="M1527">
        <v>441</v>
      </c>
      <c r="N1527" t="s">
        <v>127</v>
      </c>
      <c r="O1527" t="s">
        <v>128</v>
      </c>
    </row>
    <row r="1528" spans="2:15" x14ac:dyDescent="0.25">
      <c r="B1528" t="s">
        <v>15</v>
      </c>
      <c r="C1528" s="4">
        <v>44564</v>
      </c>
      <c r="D1528">
        <v>1</v>
      </c>
      <c r="E1528" t="s">
        <v>16</v>
      </c>
      <c r="F1528" t="s">
        <v>125</v>
      </c>
      <c r="G1528" t="s">
        <v>126</v>
      </c>
      <c r="H1528">
        <v>170658</v>
      </c>
      <c r="I1528">
        <v>0</v>
      </c>
      <c r="J1528">
        <v>170658</v>
      </c>
      <c r="L1528">
        <v>33</v>
      </c>
      <c r="M1528">
        <v>442</v>
      </c>
      <c r="N1528" t="s">
        <v>132</v>
      </c>
      <c r="O1528" t="s">
        <v>133</v>
      </c>
    </row>
    <row r="1529" spans="2:15" x14ac:dyDescent="0.25">
      <c r="B1529" t="s">
        <v>15</v>
      </c>
      <c r="C1529" s="4">
        <v>44564</v>
      </c>
      <c r="D1529">
        <v>1</v>
      </c>
      <c r="E1529" t="s">
        <v>21</v>
      </c>
      <c r="F1529" t="s">
        <v>129</v>
      </c>
      <c r="G1529" t="s">
        <v>126</v>
      </c>
      <c r="H1529">
        <v>0</v>
      </c>
      <c r="I1529">
        <v>27248</v>
      </c>
      <c r="J1529">
        <v>-27248</v>
      </c>
      <c r="L1529">
        <v>33</v>
      </c>
      <c r="M1529">
        <v>442</v>
      </c>
      <c r="N1529" t="s">
        <v>132</v>
      </c>
      <c r="O1529" t="s">
        <v>133</v>
      </c>
    </row>
    <row r="1530" spans="2:15" x14ac:dyDescent="0.25">
      <c r="B1530" t="s">
        <v>15</v>
      </c>
      <c r="C1530" s="4">
        <v>44564</v>
      </c>
      <c r="D1530">
        <v>1</v>
      </c>
      <c r="E1530" t="s">
        <v>130</v>
      </c>
      <c r="F1530" t="s">
        <v>131</v>
      </c>
      <c r="G1530" t="s">
        <v>126</v>
      </c>
      <c r="H1530">
        <v>0</v>
      </c>
      <c r="I1530">
        <v>143410</v>
      </c>
      <c r="J1530">
        <v>-143410</v>
      </c>
      <c r="L1530">
        <v>33</v>
      </c>
      <c r="M1530">
        <v>442</v>
      </c>
      <c r="N1530" t="s">
        <v>132</v>
      </c>
      <c r="O1530" t="s">
        <v>133</v>
      </c>
    </row>
    <row r="1531" spans="2:15" x14ac:dyDescent="0.25">
      <c r="B1531" t="s">
        <v>15</v>
      </c>
      <c r="C1531" s="4">
        <v>44564</v>
      </c>
      <c r="D1531">
        <v>1</v>
      </c>
      <c r="E1531" t="s">
        <v>16</v>
      </c>
      <c r="F1531" t="s">
        <v>125</v>
      </c>
      <c r="G1531" t="s">
        <v>126</v>
      </c>
      <c r="H1531">
        <v>395830</v>
      </c>
      <c r="I1531">
        <v>0</v>
      </c>
      <c r="J1531">
        <v>395830</v>
      </c>
      <c r="L1531">
        <v>33</v>
      </c>
      <c r="M1531">
        <v>443</v>
      </c>
      <c r="N1531" t="s">
        <v>134</v>
      </c>
      <c r="O1531" t="s">
        <v>135</v>
      </c>
    </row>
    <row r="1532" spans="2:15" x14ac:dyDescent="0.25">
      <c r="B1532" t="s">
        <v>15</v>
      </c>
      <c r="C1532" s="4">
        <v>44564</v>
      </c>
      <c r="D1532">
        <v>1</v>
      </c>
      <c r="E1532" t="s">
        <v>21</v>
      </c>
      <c r="F1532" t="s">
        <v>129</v>
      </c>
      <c r="G1532" t="s">
        <v>126</v>
      </c>
      <c r="H1532">
        <v>0</v>
      </c>
      <c r="I1532">
        <v>63200</v>
      </c>
      <c r="J1532">
        <v>-63200</v>
      </c>
      <c r="L1532">
        <v>33</v>
      </c>
      <c r="M1532">
        <v>443</v>
      </c>
      <c r="N1532" t="s">
        <v>134</v>
      </c>
      <c r="O1532" t="s">
        <v>135</v>
      </c>
    </row>
    <row r="1533" spans="2:15" x14ac:dyDescent="0.25">
      <c r="B1533" t="s">
        <v>15</v>
      </c>
      <c r="C1533" s="4">
        <v>44564</v>
      </c>
      <c r="D1533">
        <v>1</v>
      </c>
      <c r="E1533" t="s">
        <v>130</v>
      </c>
      <c r="F1533" t="s">
        <v>131</v>
      </c>
      <c r="G1533" t="s">
        <v>126</v>
      </c>
      <c r="H1533">
        <v>0</v>
      </c>
      <c r="I1533">
        <v>332630</v>
      </c>
      <c r="J1533">
        <v>-332630</v>
      </c>
      <c r="L1533">
        <v>33</v>
      </c>
      <c r="M1533">
        <v>443</v>
      </c>
      <c r="N1533" t="s">
        <v>134</v>
      </c>
      <c r="O1533" t="s">
        <v>135</v>
      </c>
    </row>
    <row r="1534" spans="2:15" x14ac:dyDescent="0.25">
      <c r="B1534" t="s">
        <v>15</v>
      </c>
      <c r="C1534" s="4">
        <v>44564</v>
      </c>
      <c r="D1534">
        <v>1</v>
      </c>
      <c r="E1534" t="s">
        <v>16</v>
      </c>
      <c r="F1534" t="s">
        <v>125</v>
      </c>
      <c r="G1534" t="s">
        <v>126</v>
      </c>
      <c r="H1534">
        <v>338793</v>
      </c>
      <c r="I1534">
        <v>0</v>
      </c>
      <c r="J1534">
        <v>338793</v>
      </c>
      <c r="L1534">
        <v>33</v>
      </c>
      <c r="M1534">
        <v>445</v>
      </c>
      <c r="N1534" t="s">
        <v>136</v>
      </c>
      <c r="O1534" t="s">
        <v>137</v>
      </c>
    </row>
    <row r="1535" spans="2:15" x14ac:dyDescent="0.25">
      <c r="B1535" t="s">
        <v>15</v>
      </c>
      <c r="C1535" s="4">
        <v>44564</v>
      </c>
      <c r="D1535">
        <v>1</v>
      </c>
      <c r="E1535" t="s">
        <v>21</v>
      </c>
      <c r="F1535" t="s">
        <v>129</v>
      </c>
      <c r="G1535" t="s">
        <v>126</v>
      </c>
      <c r="H1535">
        <v>0</v>
      </c>
      <c r="I1535">
        <v>54093</v>
      </c>
      <c r="J1535">
        <v>-54093</v>
      </c>
      <c r="L1535">
        <v>33</v>
      </c>
      <c r="M1535">
        <v>445</v>
      </c>
      <c r="N1535" t="s">
        <v>136</v>
      </c>
      <c r="O1535" t="s">
        <v>137</v>
      </c>
    </row>
    <row r="1536" spans="2:15" x14ac:dyDescent="0.25">
      <c r="B1536" t="s">
        <v>15</v>
      </c>
      <c r="C1536" s="4">
        <v>44564</v>
      </c>
      <c r="D1536">
        <v>1</v>
      </c>
      <c r="E1536" t="s">
        <v>130</v>
      </c>
      <c r="F1536" t="s">
        <v>131</v>
      </c>
      <c r="G1536" t="s">
        <v>126</v>
      </c>
      <c r="H1536">
        <v>0</v>
      </c>
      <c r="I1536">
        <v>284700</v>
      </c>
      <c r="J1536">
        <v>-284700</v>
      </c>
      <c r="L1536">
        <v>33</v>
      </c>
      <c r="M1536">
        <v>445</v>
      </c>
      <c r="N1536" t="s">
        <v>136</v>
      </c>
      <c r="O1536" t="s">
        <v>137</v>
      </c>
    </row>
    <row r="1537" spans="2:15" x14ac:dyDescent="0.25">
      <c r="B1537" t="s">
        <v>15</v>
      </c>
      <c r="C1537" s="4">
        <v>44571</v>
      </c>
      <c r="D1537">
        <v>1</v>
      </c>
      <c r="E1537" t="s">
        <v>16</v>
      </c>
      <c r="F1537" t="s">
        <v>125</v>
      </c>
      <c r="G1537" t="s">
        <v>126</v>
      </c>
      <c r="H1537">
        <v>35700</v>
      </c>
      <c r="I1537">
        <v>0</v>
      </c>
      <c r="J1537">
        <v>35700</v>
      </c>
      <c r="L1537">
        <v>33</v>
      </c>
      <c r="M1537">
        <v>446</v>
      </c>
      <c r="N1537" t="s">
        <v>138</v>
      </c>
      <c r="O1537" t="s">
        <v>139</v>
      </c>
    </row>
    <row r="1538" spans="2:15" x14ac:dyDescent="0.25">
      <c r="B1538" t="s">
        <v>15</v>
      </c>
      <c r="C1538" s="4">
        <v>44571</v>
      </c>
      <c r="D1538">
        <v>1</v>
      </c>
      <c r="E1538" t="s">
        <v>21</v>
      </c>
      <c r="F1538" t="s">
        <v>129</v>
      </c>
      <c r="G1538" t="s">
        <v>126</v>
      </c>
      <c r="H1538">
        <v>0</v>
      </c>
      <c r="I1538">
        <v>5700</v>
      </c>
      <c r="J1538">
        <v>-5700</v>
      </c>
      <c r="L1538">
        <v>33</v>
      </c>
      <c r="M1538">
        <v>446</v>
      </c>
      <c r="N1538" t="s">
        <v>138</v>
      </c>
      <c r="O1538" t="s">
        <v>139</v>
      </c>
    </row>
    <row r="1539" spans="2:15" x14ac:dyDescent="0.25">
      <c r="B1539" t="s">
        <v>15</v>
      </c>
      <c r="C1539" s="4">
        <v>44571</v>
      </c>
      <c r="D1539">
        <v>1</v>
      </c>
      <c r="E1539" t="s">
        <v>130</v>
      </c>
      <c r="F1539" t="s">
        <v>131</v>
      </c>
      <c r="G1539" t="s">
        <v>126</v>
      </c>
      <c r="H1539">
        <v>0</v>
      </c>
      <c r="I1539">
        <v>30000</v>
      </c>
      <c r="J1539">
        <v>-30000</v>
      </c>
      <c r="L1539">
        <v>33</v>
      </c>
      <c r="M1539">
        <v>446</v>
      </c>
      <c r="N1539" t="s">
        <v>138</v>
      </c>
      <c r="O1539" t="s">
        <v>139</v>
      </c>
    </row>
    <row r="1540" spans="2:15" x14ac:dyDescent="0.25">
      <c r="B1540" t="s">
        <v>15</v>
      </c>
      <c r="C1540" s="4">
        <v>44575</v>
      </c>
      <c r="D1540">
        <v>1</v>
      </c>
      <c r="E1540" t="s">
        <v>16</v>
      </c>
      <c r="F1540" t="s">
        <v>125</v>
      </c>
      <c r="G1540" t="s">
        <v>126</v>
      </c>
      <c r="H1540">
        <v>104720</v>
      </c>
      <c r="I1540">
        <v>0</v>
      </c>
      <c r="J1540">
        <v>104720</v>
      </c>
      <c r="L1540">
        <v>33</v>
      </c>
      <c r="M1540">
        <v>451</v>
      </c>
      <c r="N1540" t="s">
        <v>140</v>
      </c>
      <c r="O1540" t="s">
        <v>141</v>
      </c>
    </row>
    <row r="1541" spans="2:15" x14ac:dyDescent="0.25">
      <c r="B1541" t="s">
        <v>15</v>
      </c>
      <c r="C1541" s="4">
        <v>44575</v>
      </c>
      <c r="D1541">
        <v>1</v>
      </c>
      <c r="E1541" t="s">
        <v>21</v>
      </c>
      <c r="F1541" t="s">
        <v>129</v>
      </c>
      <c r="G1541" t="s">
        <v>126</v>
      </c>
      <c r="H1541">
        <v>0</v>
      </c>
      <c r="I1541">
        <v>16720</v>
      </c>
      <c r="J1541">
        <v>-16720</v>
      </c>
      <c r="L1541">
        <v>33</v>
      </c>
      <c r="M1541">
        <v>451</v>
      </c>
      <c r="N1541" t="s">
        <v>140</v>
      </c>
      <c r="O1541" t="s">
        <v>141</v>
      </c>
    </row>
    <row r="1542" spans="2:15" x14ac:dyDescent="0.25">
      <c r="B1542" t="s">
        <v>15</v>
      </c>
      <c r="C1542" s="4">
        <v>44575</v>
      </c>
      <c r="D1542">
        <v>1</v>
      </c>
      <c r="E1542" t="s">
        <v>130</v>
      </c>
      <c r="F1542" t="s">
        <v>131</v>
      </c>
      <c r="G1542" t="s">
        <v>126</v>
      </c>
      <c r="H1542">
        <v>0</v>
      </c>
      <c r="I1542">
        <v>88000</v>
      </c>
      <c r="J1542">
        <v>-88000</v>
      </c>
      <c r="L1542">
        <v>33</v>
      </c>
      <c r="M1542">
        <v>451</v>
      </c>
      <c r="N1542" t="s">
        <v>140</v>
      </c>
      <c r="O1542" t="s">
        <v>141</v>
      </c>
    </row>
    <row r="1543" spans="2:15" x14ac:dyDescent="0.25">
      <c r="B1543" t="s">
        <v>15</v>
      </c>
      <c r="C1543" s="4">
        <v>44575</v>
      </c>
      <c r="D1543">
        <v>1</v>
      </c>
      <c r="E1543" t="s">
        <v>16</v>
      </c>
      <c r="F1543" t="s">
        <v>125</v>
      </c>
      <c r="G1543" t="s">
        <v>126</v>
      </c>
      <c r="H1543">
        <v>224910</v>
      </c>
      <c r="I1543">
        <v>0</v>
      </c>
      <c r="J1543">
        <v>224910</v>
      </c>
      <c r="L1543">
        <v>33</v>
      </c>
      <c r="M1543">
        <v>452</v>
      </c>
      <c r="N1543" t="s">
        <v>140</v>
      </c>
      <c r="O1543" t="s">
        <v>141</v>
      </c>
    </row>
    <row r="1544" spans="2:15" x14ac:dyDescent="0.25">
      <c r="B1544" t="s">
        <v>15</v>
      </c>
      <c r="C1544" s="4">
        <v>44575</v>
      </c>
      <c r="D1544">
        <v>1</v>
      </c>
      <c r="E1544" t="s">
        <v>21</v>
      </c>
      <c r="F1544" t="s">
        <v>129</v>
      </c>
      <c r="G1544" t="s">
        <v>126</v>
      </c>
      <c r="H1544">
        <v>0</v>
      </c>
      <c r="I1544">
        <v>35910</v>
      </c>
      <c r="J1544">
        <v>-35910</v>
      </c>
      <c r="L1544">
        <v>33</v>
      </c>
      <c r="M1544">
        <v>452</v>
      </c>
      <c r="N1544" t="s">
        <v>140</v>
      </c>
      <c r="O1544" t="s">
        <v>141</v>
      </c>
    </row>
    <row r="1545" spans="2:15" x14ac:dyDescent="0.25">
      <c r="B1545" t="s">
        <v>15</v>
      </c>
      <c r="C1545" s="4">
        <v>44575</v>
      </c>
      <c r="D1545">
        <v>1</v>
      </c>
      <c r="E1545" t="s">
        <v>130</v>
      </c>
      <c r="F1545" t="s">
        <v>131</v>
      </c>
      <c r="G1545" t="s">
        <v>126</v>
      </c>
      <c r="H1545">
        <v>0</v>
      </c>
      <c r="I1545">
        <v>189000</v>
      </c>
      <c r="J1545">
        <v>-189000</v>
      </c>
      <c r="L1545">
        <v>33</v>
      </c>
      <c r="M1545">
        <v>452</v>
      </c>
      <c r="N1545" t="s">
        <v>140</v>
      </c>
      <c r="O1545" t="s">
        <v>141</v>
      </c>
    </row>
    <row r="1546" spans="2:15" x14ac:dyDescent="0.25">
      <c r="B1546" t="s">
        <v>15</v>
      </c>
      <c r="C1546" s="4">
        <v>44578</v>
      </c>
      <c r="D1546">
        <v>1</v>
      </c>
      <c r="E1546" t="s">
        <v>16</v>
      </c>
      <c r="F1546" t="s">
        <v>125</v>
      </c>
      <c r="G1546" t="s">
        <v>126</v>
      </c>
      <c r="H1546">
        <v>3535728</v>
      </c>
      <c r="I1546">
        <v>0</v>
      </c>
      <c r="J1546">
        <v>3535728</v>
      </c>
      <c r="L1546">
        <v>33</v>
      </c>
      <c r="M1546">
        <v>453</v>
      </c>
      <c r="N1546" t="s">
        <v>142</v>
      </c>
      <c r="O1546" t="s">
        <v>143</v>
      </c>
    </row>
    <row r="1547" spans="2:15" x14ac:dyDescent="0.25">
      <c r="B1547" t="s">
        <v>15</v>
      </c>
      <c r="C1547" s="4">
        <v>44578</v>
      </c>
      <c r="D1547">
        <v>1</v>
      </c>
      <c r="E1547" t="s">
        <v>21</v>
      </c>
      <c r="F1547" t="s">
        <v>129</v>
      </c>
      <c r="G1547" t="s">
        <v>126</v>
      </c>
      <c r="H1547">
        <v>0</v>
      </c>
      <c r="I1547">
        <v>564528</v>
      </c>
      <c r="J1547">
        <v>-564528</v>
      </c>
      <c r="L1547">
        <v>33</v>
      </c>
      <c r="M1547">
        <v>453</v>
      </c>
      <c r="N1547" t="s">
        <v>142</v>
      </c>
      <c r="O1547" t="s">
        <v>143</v>
      </c>
    </row>
    <row r="1548" spans="2:15" x14ac:dyDescent="0.25">
      <c r="B1548" t="s">
        <v>15</v>
      </c>
      <c r="C1548" s="4">
        <v>44578</v>
      </c>
      <c r="D1548">
        <v>1</v>
      </c>
      <c r="E1548" t="s">
        <v>130</v>
      </c>
      <c r="F1548" t="s">
        <v>131</v>
      </c>
      <c r="G1548" t="s">
        <v>126</v>
      </c>
      <c r="H1548">
        <v>0</v>
      </c>
      <c r="I1548">
        <v>2971200</v>
      </c>
      <c r="J1548">
        <v>-2971200</v>
      </c>
      <c r="L1548">
        <v>33</v>
      </c>
      <c r="M1548">
        <v>453</v>
      </c>
      <c r="N1548" t="s">
        <v>142</v>
      </c>
      <c r="O1548" t="s">
        <v>143</v>
      </c>
    </row>
    <row r="1549" spans="2:15" x14ac:dyDescent="0.25">
      <c r="B1549" t="s">
        <v>15</v>
      </c>
      <c r="C1549" s="4">
        <v>44578</v>
      </c>
      <c r="D1549">
        <v>1</v>
      </c>
      <c r="E1549" t="s">
        <v>16</v>
      </c>
      <c r="F1549" t="s">
        <v>125</v>
      </c>
      <c r="G1549" t="s">
        <v>126</v>
      </c>
      <c r="H1549">
        <v>940100</v>
      </c>
      <c r="I1549">
        <v>0</v>
      </c>
      <c r="J1549">
        <v>940100</v>
      </c>
      <c r="L1549">
        <v>33</v>
      </c>
      <c r="M1549">
        <v>454</v>
      </c>
      <c r="N1549" t="s">
        <v>142</v>
      </c>
      <c r="O1549" t="s">
        <v>143</v>
      </c>
    </row>
    <row r="1550" spans="2:15" x14ac:dyDescent="0.25">
      <c r="B1550" t="s">
        <v>15</v>
      </c>
      <c r="C1550" s="4">
        <v>44578</v>
      </c>
      <c r="D1550">
        <v>1</v>
      </c>
      <c r="E1550" t="s">
        <v>21</v>
      </c>
      <c r="F1550" t="s">
        <v>129</v>
      </c>
      <c r="G1550" t="s">
        <v>126</v>
      </c>
      <c r="H1550">
        <v>0</v>
      </c>
      <c r="I1550">
        <v>150100</v>
      </c>
      <c r="J1550">
        <v>-150100</v>
      </c>
      <c r="L1550">
        <v>33</v>
      </c>
      <c r="M1550">
        <v>454</v>
      </c>
      <c r="N1550" t="s">
        <v>142</v>
      </c>
      <c r="O1550" t="s">
        <v>143</v>
      </c>
    </row>
    <row r="1551" spans="2:15" x14ac:dyDescent="0.25">
      <c r="B1551" t="s">
        <v>15</v>
      </c>
      <c r="C1551" s="4">
        <v>44578</v>
      </c>
      <c r="D1551">
        <v>1</v>
      </c>
      <c r="E1551" t="s">
        <v>130</v>
      </c>
      <c r="F1551" t="s">
        <v>131</v>
      </c>
      <c r="G1551" t="s">
        <v>126</v>
      </c>
      <c r="H1551">
        <v>0</v>
      </c>
      <c r="I1551">
        <v>790000</v>
      </c>
      <c r="J1551">
        <v>-790000</v>
      </c>
      <c r="L1551">
        <v>33</v>
      </c>
      <c r="M1551">
        <v>454</v>
      </c>
      <c r="N1551" t="s">
        <v>142</v>
      </c>
      <c r="O1551" t="s">
        <v>143</v>
      </c>
    </row>
    <row r="1552" spans="2:15" x14ac:dyDescent="0.25">
      <c r="B1552" t="s">
        <v>15</v>
      </c>
      <c r="C1552" s="4">
        <v>44585</v>
      </c>
      <c r="D1552">
        <v>1</v>
      </c>
      <c r="E1552" t="s">
        <v>16</v>
      </c>
      <c r="F1552" t="s">
        <v>125</v>
      </c>
      <c r="G1552" t="s">
        <v>126</v>
      </c>
      <c r="H1552">
        <v>385132</v>
      </c>
      <c r="I1552">
        <v>0</v>
      </c>
      <c r="J1552">
        <v>385132</v>
      </c>
      <c r="L1552">
        <v>33</v>
      </c>
      <c r="M1552">
        <v>455</v>
      </c>
      <c r="N1552" t="s">
        <v>144</v>
      </c>
      <c r="O1552" t="s">
        <v>145</v>
      </c>
    </row>
    <row r="1553" spans="2:15" x14ac:dyDescent="0.25">
      <c r="B1553" t="s">
        <v>15</v>
      </c>
      <c r="C1553" s="4">
        <v>44585</v>
      </c>
      <c r="D1553">
        <v>1</v>
      </c>
      <c r="E1553" t="s">
        <v>21</v>
      </c>
      <c r="F1553" t="s">
        <v>129</v>
      </c>
      <c r="G1553" t="s">
        <v>126</v>
      </c>
      <c r="H1553">
        <v>0</v>
      </c>
      <c r="I1553">
        <v>61492</v>
      </c>
      <c r="J1553">
        <v>-61492</v>
      </c>
      <c r="L1553">
        <v>33</v>
      </c>
      <c r="M1553">
        <v>455</v>
      </c>
      <c r="N1553" t="s">
        <v>144</v>
      </c>
      <c r="O1553" t="s">
        <v>145</v>
      </c>
    </row>
    <row r="1554" spans="2:15" x14ac:dyDescent="0.25">
      <c r="B1554" t="s">
        <v>15</v>
      </c>
      <c r="C1554" s="4">
        <v>44585</v>
      </c>
      <c r="D1554">
        <v>1</v>
      </c>
      <c r="E1554" t="s">
        <v>130</v>
      </c>
      <c r="F1554" t="s">
        <v>131</v>
      </c>
      <c r="G1554" t="s">
        <v>126</v>
      </c>
      <c r="H1554">
        <v>0</v>
      </c>
      <c r="I1554">
        <v>323640</v>
      </c>
      <c r="J1554">
        <v>-323640</v>
      </c>
      <c r="L1554">
        <v>33</v>
      </c>
      <c r="M1554">
        <v>455</v>
      </c>
      <c r="N1554" t="s">
        <v>144</v>
      </c>
      <c r="O1554" t="s">
        <v>145</v>
      </c>
    </row>
    <row r="1555" spans="2:15" x14ac:dyDescent="0.25">
      <c r="B1555" t="s">
        <v>15</v>
      </c>
      <c r="C1555" s="4">
        <v>44592</v>
      </c>
      <c r="D1555">
        <v>1</v>
      </c>
      <c r="E1555" t="s">
        <v>16</v>
      </c>
      <c r="F1555" t="s">
        <v>125</v>
      </c>
      <c r="G1555" t="s">
        <v>126</v>
      </c>
      <c r="H1555">
        <v>279293</v>
      </c>
      <c r="I1555">
        <v>0</v>
      </c>
      <c r="J1555">
        <v>279293</v>
      </c>
      <c r="L1555">
        <v>33</v>
      </c>
      <c r="M1555">
        <v>456</v>
      </c>
      <c r="N1555" t="s">
        <v>146</v>
      </c>
      <c r="O1555" t="s">
        <v>147</v>
      </c>
    </row>
    <row r="1556" spans="2:15" x14ac:dyDescent="0.25">
      <c r="B1556" t="s">
        <v>15</v>
      </c>
      <c r="C1556" s="4">
        <v>44592</v>
      </c>
      <c r="D1556">
        <v>1</v>
      </c>
      <c r="E1556" t="s">
        <v>21</v>
      </c>
      <c r="F1556" t="s">
        <v>129</v>
      </c>
      <c r="G1556" t="s">
        <v>126</v>
      </c>
      <c r="H1556">
        <v>0</v>
      </c>
      <c r="I1556">
        <v>44593</v>
      </c>
      <c r="J1556">
        <v>-44593</v>
      </c>
      <c r="L1556">
        <v>33</v>
      </c>
      <c r="M1556">
        <v>456</v>
      </c>
      <c r="N1556" t="s">
        <v>146</v>
      </c>
      <c r="O1556" t="s">
        <v>147</v>
      </c>
    </row>
    <row r="1557" spans="2:15" x14ac:dyDescent="0.25">
      <c r="B1557" t="s">
        <v>15</v>
      </c>
      <c r="C1557" s="4">
        <v>44592</v>
      </c>
      <c r="D1557">
        <v>1</v>
      </c>
      <c r="E1557" t="s">
        <v>130</v>
      </c>
      <c r="F1557" t="s">
        <v>131</v>
      </c>
      <c r="G1557" t="s">
        <v>126</v>
      </c>
      <c r="H1557">
        <v>0</v>
      </c>
      <c r="I1557">
        <v>234700</v>
      </c>
      <c r="J1557">
        <v>-234700</v>
      </c>
      <c r="L1557">
        <v>33</v>
      </c>
      <c r="M1557">
        <v>456</v>
      </c>
      <c r="N1557" t="s">
        <v>146</v>
      </c>
      <c r="O1557" t="s">
        <v>147</v>
      </c>
    </row>
    <row r="1558" spans="2:15" x14ac:dyDescent="0.25">
      <c r="B1558" t="s">
        <v>15</v>
      </c>
      <c r="C1558" s="4">
        <v>44564</v>
      </c>
      <c r="D1558">
        <v>1</v>
      </c>
      <c r="E1558" t="s">
        <v>16</v>
      </c>
      <c r="F1558" t="s">
        <v>125</v>
      </c>
      <c r="G1558" t="s">
        <v>126</v>
      </c>
      <c r="H1558">
        <v>0</v>
      </c>
      <c r="I1558">
        <v>464171</v>
      </c>
      <c r="J1558">
        <v>-464171</v>
      </c>
      <c r="L1558">
        <v>61</v>
      </c>
      <c r="M1558">
        <v>21</v>
      </c>
      <c r="N1558" t="s">
        <v>148</v>
      </c>
      <c r="O1558" t="s">
        <v>149</v>
      </c>
    </row>
    <row r="1559" spans="2:15" x14ac:dyDescent="0.25">
      <c r="B1559" t="s">
        <v>15</v>
      </c>
      <c r="C1559" s="4">
        <v>44564</v>
      </c>
      <c r="D1559">
        <v>1</v>
      </c>
      <c r="E1559" t="s">
        <v>21</v>
      </c>
      <c r="F1559" t="s">
        <v>129</v>
      </c>
      <c r="G1559" t="s">
        <v>126</v>
      </c>
      <c r="H1559">
        <v>74111</v>
      </c>
      <c r="I1559">
        <v>0</v>
      </c>
      <c r="J1559">
        <v>74111</v>
      </c>
      <c r="L1559">
        <v>61</v>
      </c>
      <c r="M1559">
        <v>21</v>
      </c>
      <c r="N1559" t="s">
        <v>148</v>
      </c>
      <c r="O1559" t="s">
        <v>149</v>
      </c>
    </row>
    <row r="1560" spans="2:15" x14ac:dyDescent="0.25">
      <c r="B1560" t="s">
        <v>15</v>
      </c>
      <c r="C1560" s="4">
        <v>44564</v>
      </c>
      <c r="D1560">
        <v>1</v>
      </c>
      <c r="E1560" t="s">
        <v>130</v>
      </c>
      <c r="F1560" t="s">
        <v>131</v>
      </c>
      <c r="G1560" t="s">
        <v>126</v>
      </c>
      <c r="H1560">
        <v>390060</v>
      </c>
      <c r="I1560">
        <v>0</v>
      </c>
      <c r="J1560">
        <v>390060</v>
      </c>
      <c r="L1560">
        <v>61</v>
      </c>
      <c r="M1560">
        <v>21</v>
      </c>
      <c r="N1560" t="s">
        <v>148</v>
      </c>
      <c r="O1560" t="s">
        <v>149</v>
      </c>
    </row>
    <row r="1561" spans="2:15" x14ac:dyDescent="0.25">
      <c r="B1561" t="s">
        <v>15</v>
      </c>
      <c r="C1561" s="4">
        <v>44596</v>
      </c>
      <c r="D1561">
        <v>2</v>
      </c>
      <c r="E1561" t="s">
        <v>16</v>
      </c>
      <c r="F1561" t="s">
        <v>125</v>
      </c>
      <c r="G1561" t="s">
        <v>126</v>
      </c>
      <c r="H1561">
        <v>291550</v>
      </c>
      <c r="I1561">
        <v>0</v>
      </c>
      <c r="J1561">
        <v>291550</v>
      </c>
      <c r="L1561">
        <v>33</v>
      </c>
      <c r="M1561">
        <v>457</v>
      </c>
      <c r="N1561" t="s">
        <v>150</v>
      </c>
      <c r="O1561" t="s">
        <v>151</v>
      </c>
    </row>
    <row r="1562" spans="2:15" x14ac:dyDescent="0.25">
      <c r="B1562" t="s">
        <v>15</v>
      </c>
      <c r="C1562" s="4">
        <v>44596</v>
      </c>
      <c r="D1562">
        <v>2</v>
      </c>
      <c r="E1562" t="s">
        <v>21</v>
      </c>
      <c r="F1562" t="s">
        <v>129</v>
      </c>
      <c r="G1562" t="s">
        <v>126</v>
      </c>
      <c r="H1562">
        <v>0</v>
      </c>
      <c r="I1562">
        <v>46550</v>
      </c>
      <c r="J1562">
        <v>-46550</v>
      </c>
      <c r="L1562">
        <v>33</v>
      </c>
      <c r="M1562">
        <v>457</v>
      </c>
      <c r="N1562" t="s">
        <v>150</v>
      </c>
      <c r="O1562" t="s">
        <v>151</v>
      </c>
    </row>
    <row r="1563" spans="2:15" x14ac:dyDescent="0.25">
      <c r="B1563" t="s">
        <v>15</v>
      </c>
      <c r="C1563" s="4">
        <v>44596</v>
      </c>
      <c r="D1563">
        <v>2</v>
      </c>
      <c r="E1563" t="s">
        <v>130</v>
      </c>
      <c r="F1563" t="s">
        <v>131</v>
      </c>
      <c r="G1563" t="s">
        <v>126</v>
      </c>
      <c r="H1563">
        <v>0</v>
      </c>
      <c r="I1563">
        <v>245000</v>
      </c>
      <c r="J1563">
        <v>-245000</v>
      </c>
      <c r="L1563">
        <v>33</v>
      </c>
      <c r="M1563">
        <v>457</v>
      </c>
      <c r="N1563" t="s">
        <v>150</v>
      </c>
      <c r="O1563" t="s">
        <v>151</v>
      </c>
    </row>
    <row r="1564" spans="2:15" x14ac:dyDescent="0.25">
      <c r="B1564" t="s">
        <v>15</v>
      </c>
      <c r="C1564" s="4">
        <v>44596</v>
      </c>
      <c r="D1564">
        <v>2</v>
      </c>
      <c r="E1564" t="s">
        <v>16</v>
      </c>
      <c r="F1564" t="s">
        <v>125</v>
      </c>
      <c r="G1564" t="s">
        <v>126</v>
      </c>
      <c r="H1564">
        <v>291550</v>
      </c>
      <c r="I1564">
        <v>0</v>
      </c>
      <c r="J1564">
        <v>291550</v>
      </c>
      <c r="L1564">
        <v>33</v>
      </c>
      <c r="M1564">
        <v>458</v>
      </c>
      <c r="N1564" t="s">
        <v>150</v>
      </c>
      <c r="O1564" t="s">
        <v>151</v>
      </c>
    </row>
    <row r="1565" spans="2:15" x14ac:dyDescent="0.25">
      <c r="B1565" t="s">
        <v>15</v>
      </c>
      <c r="C1565" s="4">
        <v>44596</v>
      </c>
      <c r="D1565">
        <v>2</v>
      </c>
      <c r="E1565" t="s">
        <v>21</v>
      </c>
      <c r="F1565" t="s">
        <v>129</v>
      </c>
      <c r="G1565" t="s">
        <v>126</v>
      </c>
      <c r="H1565">
        <v>0</v>
      </c>
      <c r="I1565">
        <v>46550</v>
      </c>
      <c r="J1565">
        <v>-46550</v>
      </c>
      <c r="L1565">
        <v>33</v>
      </c>
      <c r="M1565">
        <v>458</v>
      </c>
      <c r="N1565" t="s">
        <v>150</v>
      </c>
      <c r="O1565" t="s">
        <v>151</v>
      </c>
    </row>
    <row r="1566" spans="2:15" x14ac:dyDescent="0.25">
      <c r="B1566" t="s">
        <v>15</v>
      </c>
      <c r="C1566" s="4">
        <v>44596</v>
      </c>
      <c r="D1566">
        <v>2</v>
      </c>
      <c r="E1566" t="s">
        <v>130</v>
      </c>
      <c r="F1566" t="s">
        <v>131</v>
      </c>
      <c r="G1566" t="s">
        <v>126</v>
      </c>
      <c r="H1566">
        <v>0</v>
      </c>
      <c r="I1566">
        <v>245000</v>
      </c>
      <c r="J1566">
        <v>-245000</v>
      </c>
      <c r="L1566">
        <v>33</v>
      </c>
      <c r="M1566">
        <v>458</v>
      </c>
      <c r="N1566" t="s">
        <v>150</v>
      </c>
      <c r="O1566" t="s">
        <v>151</v>
      </c>
    </row>
    <row r="1567" spans="2:15" x14ac:dyDescent="0.25">
      <c r="B1567" t="s">
        <v>15</v>
      </c>
      <c r="C1567" s="4">
        <v>44596</v>
      </c>
      <c r="D1567">
        <v>2</v>
      </c>
      <c r="E1567" t="s">
        <v>16</v>
      </c>
      <c r="F1567" t="s">
        <v>125</v>
      </c>
      <c r="G1567" t="s">
        <v>126</v>
      </c>
      <c r="H1567">
        <v>338793</v>
      </c>
      <c r="I1567">
        <v>0</v>
      </c>
      <c r="J1567">
        <v>338793</v>
      </c>
      <c r="L1567">
        <v>33</v>
      </c>
      <c r="M1567">
        <v>459</v>
      </c>
      <c r="N1567" t="s">
        <v>136</v>
      </c>
      <c r="O1567" t="s">
        <v>137</v>
      </c>
    </row>
    <row r="1568" spans="2:15" x14ac:dyDescent="0.25">
      <c r="B1568" t="s">
        <v>15</v>
      </c>
      <c r="C1568" s="4">
        <v>44596</v>
      </c>
      <c r="D1568">
        <v>2</v>
      </c>
      <c r="E1568" t="s">
        <v>21</v>
      </c>
      <c r="F1568" t="s">
        <v>129</v>
      </c>
      <c r="G1568" t="s">
        <v>126</v>
      </c>
      <c r="H1568">
        <v>0</v>
      </c>
      <c r="I1568">
        <v>54093</v>
      </c>
      <c r="J1568">
        <v>-54093</v>
      </c>
      <c r="L1568">
        <v>33</v>
      </c>
      <c r="M1568">
        <v>459</v>
      </c>
      <c r="N1568" t="s">
        <v>136</v>
      </c>
      <c r="O1568" t="s">
        <v>137</v>
      </c>
    </row>
    <row r="1569" spans="2:15" x14ac:dyDescent="0.25">
      <c r="B1569" t="s">
        <v>15</v>
      </c>
      <c r="C1569" s="4">
        <v>44596</v>
      </c>
      <c r="D1569">
        <v>2</v>
      </c>
      <c r="E1569" t="s">
        <v>130</v>
      </c>
      <c r="F1569" t="s">
        <v>131</v>
      </c>
      <c r="G1569" t="s">
        <v>126</v>
      </c>
      <c r="H1569">
        <v>0</v>
      </c>
      <c r="I1569">
        <v>284700</v>
      </c>
      <c r="J1569">
        <v>-284700</v>
      </c>
      <c r="L1569">
        <v>33</v>
      </c>
      <c r="M1569">
        <v>459</v>
      </c>
      <c r="N1569" t="s">
        <v>136</v>
      </c>
      <c r="O1569" t="s">
        <v>137</v>
      </c>
    </row>
    <row r="1570" spans="2:15" x14ac:dyDescent="0.25">
      <c r="B1570" t="s">
        <v>15</v>
      </c>
      <c r="C1570" s="4">
        <v>44608</v>
      </c>
      <c r="D1570">
        <v>2</v>
      </c>
      <c r="E1570" t="s">
        <v>16</v>
      </c>
      <c r="F1570" t="s">
        <v>125</v>
      </c>
      <c r="G1570" t="s">
        <v>126</v>
      </c>
      <c r="H1570">
        <v>108290</v>
      </c>
      <c r="I1570">
        <v>0</v>
      </c>
      <c r="J1570">
        <v>108290</v>
      </c>
      <c r="L1570">
        <v>33</v>
      </c>
      <c r="M1570">
        <v>460</v>
      </c>
      <c r="N1570" t="s">
        <v>140</v>
      </c>
      <c r="O1570" t="s">
        <v>141</v>
      </c>
    </row>
    <row r="1571" spans="2:15" x14ac:dyDescent="0.25">
      <c r="B1571" t="s">
        <v>15</v>
      </c>
      <c r="C1571" s="4">
        <v>44608</v>
      </c>
      <c r="D1571">
        <v>2</v>
      </c>
      <c r="E1571" t="s">
        <v>21</v>
      </c>
      <c r="F1571" t="s">
        <v>129</v>
      </c>
      <c r="G1571" t="s">
        <v>126</v>
      </c>
      <c r="H1571">
        <v>0</v>
      </c>
      <c r="I1571">
        <v>17290</v>
      </c>
      <c r="J1571">
        <v>-17290</v>
      </c>
      <c r="L1571">
        <v>33</v>
      </c>
      <c r="M1571">
        <v>460</v>
      </c>
      <c r="N1571" t="s">
        <v>140</v>
      </c>
      <c r="O1571" t="s">
        <v>141</v>
      </c>
    </row>
    <row r="1572" spans="2:15" x14ac:dyDescent="0.25">
      <c r="B1572" t="s">
        <v>15</v>
      </c>
      <c r="C1572" s="4">
        <v>44608</v>
      </c>
      <c r="D1572">
        <v>2</v>
      </c>
      <c r="E1572" t="s">
        <v>130</v>
      </c>
      <c r="F1572" t="s">
        <v>131</v>
      </c>
      <c r="G1572" t="s">
        <v>126</v>
      </c>
      <c r="H1572">
        <v>0</v>
      </c>
      <c r="I1572">
        <v>91000</v>
      </c>
      <c r="J1572">
        <v>-91000</v>
      </c>
      <c r="L1572">
        <v>33</v>
      </c>
      <c r="M1572">
        <v>460</v>
      </c>
      <c r="N1572" t="s">
        <v>140</v>
      </c>
      <c r="O1572" t="s">
        <v>141</v>
      </c>
    </row>
    <row r="1573" spans="2:15" x14ac:dyDescent="0.25">
      <c r="B1573" t="s">
        <v>15</v>
      </c>
      <c r="C1573" s="4">
        <v>44609</v>
      </c>
      <c r="D1573">
        <v>2</v>
      </c>
      <c r="E1573" t="s">
        <v>16</v>
      </c>
      <c r="F1573" t="s">
        <v>125</v>
      </c>
      <c r="G1573" t="s">
        <v>126</v>
      </c>
      <c r="H1573">
        <v>146810</v>
      </c>
      <c r="I1573">
        <v>0</v>
      </c>
      <c r="J1573">
        <v>146810</v>
      </c>
      <c r="L1573">
        <v>33</v>
      </c>
      <c r="M1573">
        <v>461</v>
      </c>
      <c r="N1573" t="s">
        <v>152</v>
      </c>
      <c r="O1573" t="s">
        <v>153</v>
      </c>
    </row>
    <row r="1574" spans="2:15" x14ac:dyDescent="0.25">
      <c r="B1574" t="s">
        <v>15</v>
      </c>
      <c r="C1574" s="4">
        <v>44609</v>
      </c>
      <c r="D1574">
        <v>2</v>
      </c>
      <c r="E1574" t="s">
        <v>21</v>
      </c>
      <c r="F1574" t="s">
        <v>129</v>
      </c>
      <c r="G1574" t="s">
        <v>126</v>
      </c>
      <c r="H1574">
        <v>0</v>
      </c>
      <c r="I1574">
        <v>23440</v>
      </c>
      <c r="J1574">
        <v>-23440</v>
      </c>
      <c r="L1574">
        <v>33</v>
      </c>
      <c r="M1574">
        <v>461</v>
      </c>
      <c r="N1574" t="s">
        <v>152</v>
      </c>
      <c r="O1574" t="s">
        <v>153</v>
      </c>
    </row>
    <row r="1575" spans="2:15" x14ac:dyDescent="0.25">
      <c r="B1575" t="s">
        <v>15</v>
      </c>
      <c r="C1575" s="4">
        <v>44609</v>
      </c>
      <c r="D1575">
        <v>2</v>
      </c>
      <c r="E1575" t="s">
        <v>130</v>
      </c>
      <c r="F1575" t="s">
        <v>131</v>
      </c>
      <c r="G1575" t="s">
        <v>126</v>
      </c>
      <c r="H1575">
        <v>0</v>
      </c>
      <c r="I1575">
        <v>123370</v>
      </c>
      <c r="J1575">
        <v>-123370</v>
      </c>
      <c r="L1575">
        <v>33</v>
      </c>
      <c r="M1575">
        <v>461</v>
      </c>
      <c r="N1575" t="s">
        <v>152</v>
      </c>
      <c r="O1575" t="s">
        <v>153</v>
      </c>
    </row>
    <row r="1576" spans="2:15" x14ac:dyDescent="0.25">
      <c r="B1576" t="s">
        <v>15</v>
      </c>
      <c r="C1576" s="4">
        <v>44609</v>
      </c>
      <c r="D1576">
        <v>2</v>
      </c>
      <c r="E1576" t="s">
        <v>16</v>
      </c>
      <c r="F1576" t="s">
        <v>125</v>
      </c>
      <c r="G1576" t="s">
        <v>126</v>
      </c>
      <c r="H1576">
        <v>45172</v>
      </c>
      <c r="I1576">
        <v>0</v>
      </c>
      <c r="J1576">
        <v>45172</v>
      </c>
      <c r="L1576">
        <v>33</v>
      </c>
      <c r="M1576">
        <v>462</v>
      </c>
      <c r="N1576" t="s">
        <v>154</v>
      </c>
      <c r="O1576" t="s">
        <v>155</v>
      </c>
    </row>
    <row r="1577" spans="2:15" x14ac:dyDescent="0.25">
      <c r="B1577" t="s">
        <v>15</v>
      </c>
      <c r="C1577" s="4">
        <v>44609</v>
      </c>
      <c r="D1577">
        <v>2</v>
      </c>
      <c r="E1577" t="s">
        <v>21</v>
      </c>
      <c r="F1577" t="s">
        <v>129</v>
      </c>
      <c r="G1577" t="s">
        <v>126</v>
      </c>
      <c r="H1577">
        <v>0</v>
      </c>
      <c r="I1577">
        <v>7212</v>
      </c>
      <c r="J1577">
        <v>-7212</v>
      </c>
      <c r="L1577">
        <v>33</v>
      </c>
      <c r="M1577">
        <v>462</v>
      </c>
      <c r="N1577" t="s">
        <v>154</v>
      </c>
      <c r="O1577" t="s">
        <v>155</v>
      </c>
    </row>
    <row r="1578" spans="2:15" x14ac:dyDescent="0.25">
      <c r="B1578" t="s">
        <v>15</v>
      </c>
      <c r="C1578" s="4">
        <v>44609</v>
      </c>
      <c r="D1578">
        <v>2</v>
      </c>
      <c r="E1578" t="s">
        <v>130</v>
      </c>
      <c r="F1578" t="s">
        <v>131</v>
      </c>
      <c r="G1578" t="s">
        <v>126</v>
      </c>
      <c r="H1578">
        <v>0</v>
      </c>
      <c r="I1578">
        <v>37960</v>
      </c>
      <c r="J1578">
        <v>-37960</v>
      </c>
      <c r="L1578">
        <v>33</v>
      </c>
      <c r="M1578">
        <v>462</v>
      </c>
      <c r="N1578" t="s">
        <v>154</v>
      </c>
      <c r="O1578" t="s">
        <v>155</v>
      </c>
    </row>
    <row r="1579" spans="2:15" x14ac:dyDescent="0.25">
      <c r="B1579" t="s">
        <v>15</v>
      </c>
      <c r="C1579" s="4">
        <v>44617</v>
      </c>
      <c r="D1579">
        <v>2</v>
      </c>
      <c r="E1579" t="s">
        <v>16</v>
      </c>
      <c r="F1579" t="s">
        <v>125</v>
      </c>
      <c r="G1579" t="s">
        <v>126</v>
      </c>
      <c r="H1579">
        <v>2705893</v>
      </c>
      <c r="I1579">
        <v>0</v>
      </c>
      <c r="J1579">
        <v>2705893</v>
      </c>
      <c r="L1579">
        <v>33</v>
      </c>
      <c r="M1579">
        <v>463</v>
      </c>
      <c r="N1579" t="s">
        <v>156</v>
      </c>
      <c r="O1579" t="s">
        <v>157</v>
      </c>
    </row>
    <row r="1580" spans="2:15" x14ac:dyDescent="0.25">
      <c r="B1580" t="s">
        <v>15</v>
      </c>
      <c r="C1580" s="4">
        <v>44617</v>
      </c>
      <c r="D1580">
        <v>2</v>
      </c>
      <c r="E1580" t="s">
        <v>21</v>
      </c>
      <c r="F1580" t="s">
        <v>129</v>
      </c>
      <c r="G1580" t="s">
        <v>126</v>
      </c>
      <c r="H1580">
        <v>0</v>
      </c>
      <c r="I1580">
        <v>432033</v>
      </c>
      <c r="J1580">
        <v>-432033</v>
      </c>
      <c r="L1580">
        <v>33</v>
      </c>
      <c r="M1580">
        <v>463</v>
      </c>
      <c r="N1580" t="s">
        <v>156</v>
      </c>
      <c r="O1580" t="s">
        <v>157</v>
      </c>
    </row>
    <row r="1581" spans="2:15" x14ac:dyDescent="0.25">
      <c r="B1581" t="s">
        <v>15</v>
      </c>
      <c r="C1581" s="4">
        <v>44617</v>
      </c>
      <c r="D1581">
        <v>2</v>
      </c>
      <c r="E1581" t="s">
        <v>130</v>
      </c>
      <c r="F1581" t="s">
        <v>131</v>
      </c>
      <c r="G1581" t="s">
        <v>126</v>
      </c>
      <c r="H1581">
        <v>0</v>
      </c>
      <c r="I1581">
        <v>2273860</v>
      </c>
      <c r="J1581">
        <v>-2273860</v>
      </c>
      <c r="L1581">
        <v>33</v>
      </c>
      <c r="M1581">
        <v>463</v>
      </c>
      <c r="N1581" t="s">
        <v>156</v>
      </c>
      <c r="O1581" t="s">
        <v>157</v>
      </c>
    </row>
    <row r="1582" spans="2:15" x14ac:dyDescent="0.25">
      <c r="B1582" t="s">
        <v>15</v>
      </c>
      <c r="C1582" s="4">
        <v>44620</v>
      </c>
      <c r="D1582">
        <v>2</v>
      </c>
      <c r="E1582" t="s">
        <v>16</v>
      </c>
      <c r="F1582" t="s">
        <v>125</v>
      </c>
      <c r="G1582" t="s">
        <v>126</v>
      </c>
      <c r="H1582">
        <v>135517</v>
      </c>
      <c r="I1582">
        <v>0</v>
      </c>
      <c r="J1582">
        <v>135517</v>
      </c>
      <c r="L1582">
        <v>33</v>
      </c>
      <c r="M1582">
        <v>464</v>
      </c>
      <c r="N1582" t="s">
        <v>154</v>
      </c>
      <c r="O1582" t="s">
        <v>155</v>
      </c>
    </row>
    <row r="1583" spans="2:15" x14ac:dyDescent="0.25">
      <c r="B1583" t="s">
        <v>15</v>
      </c>
      <c r="C1583" s="4">
        <v>44620</v>
      </c>
      <c r="D1583">
        <v>2</v>
      </c>
      <c r="E1583" t="s">
        <v>21</v>
      </c>
      <c r="F1583" t="s">
        <v>129</v>
      </c>
      <c r="G1583" t="s">
        <v>126</v>
      </c>
      <c r="H1583">
        <v>0</v>
      </c>
      <c r="I1583">
        <v>21637</v>
      </c>
      <c r="J1583">
        <v>-21637</v>
      </c>
      <c r="L1583">
        <v>33</v>
      </c>
      <c r="M1583">
        <v>464</v>
      </c>
      <c r="N1583" t="s">
        <v>154</v>
      </c>
      <c r="O1583" t="s">
        <v>155</v>
      </c>
    </row>
    <row r="1584" spans="2:15" x14ac:dyDescent="0.25">
      <c r="B1584" t="s">
        <v>15</v>
      </c>
      <c r="C1584" s="4">
        <v>44620</v>
      </c>
      <c r="D1584">
        <v>2</v>
      </c>
      <c r="E1584" t="s">
        <v>130</v>
      </c>
      <c r="F1584" t="s">
        <v>131</v>
      </c>
      <c r="G1584" t="s">
        <v>126</v>
      </c>
      <c r="H1584">
        <v>0</v>
      </c>
      <c r="I1584">
        <v>113880</v>
      </c>
      <c r="J1584">
        <v>-113880</v>
      </c>
      <c r="L1584">
        <v>33</v>
      </c>
      <c r="M1584">
        <v>464</v>
      </c>
      <c r="N1584" t="s">
        <v>154</v>
      </c>
      <c r="O1584" t="s">
        <v>155</v>
      </c>
    </row>
    <row r="1585" spans="2:15" x14ac:dyDescent="0.25">
      <c r="B1585" t="s">
        <v>15</v>
      </c>
      <c r="C1585" s="4">
        <v>44620</v>
      </c>
      <c r="D1585">
        <v>2</v>
      </c>
      <c r="E1585" t="s">
        <v>16</v>
      </c>
      <c r="F1585" t="s">
        <v>125</v>
      </c>
      <c r="G1585" t="s">
        <v>126</v>
      </c>
      <c r="H1585">
        <v>192566</v>
      </c>
      <c r="I1585">
        <v>0</v>
      </c>
      <c r="J1585">
        <v>192566</v>
      </c>
      <c r="L1585">
        <v>33</v>
      </c>
      <c r="M1585">
        <v>465</v>
      </c>
      <c r="N1585" t="s">
        <v>158</v>
      </c>
      <c r="O1585" t="s">
        <v>159</v>
      </c>
    </row>
    <row r="1586" spans="2:15" x14ac:dyDescent="0.25">
      <c r="B1586" t="s">
        <v>15</v>
      </c>
      <c r="C1586" s="4">
        <v>44620</v>
      </c>
      <c r="D1586">
        <v>2</v>
      </c>
      <c r="E1586" t="s">
        <v>21</v>
      </c>
      <c r="F1586" t="s">
        <v>129</v>
      </c>
      <c r="G1586" t="s">
        <v>126</v>
      </c>
      <c r="H1586">
        <v>0</v>
      </c>
      <c r="I1586">
        <v>30746</v>
      </c>
      <c r="J1586">
        <v>-30746</v>
      </c>
      <c r="L1586">
        <v>33</v>
      </c>
      <c r="M1586">
        <v>465</v>
      </c>
      <c r="N1586" t="s">
        <v>158</v>
      </c>
      <c r="O1586" t="s">
        <v>159</v>
      </c>
    </row>
    <row r="1587" spans="2:15" x14ac:dyDescent="0.25">
      <c r="B1587" t="s">
        <v>15</v>
      </c>
      <c r="C1587" s="4">
        <v>44620</v>
      </c>
      <c r="D1587">
        <v>2</v>
      </c>
      <c r="E1587" t="s">
        <v>130</v>
      </c>
      <c r="F1587" t="s">
        <v>131</v>
      </c>
      <c r="G1587" t="s">
        <v>126</v>
      </c>
      <c r="H1587">
        <v>0</v>
      </c>
      <c r="I1587">
        <v>161820</v>
      </c>
      <c r="J1587">
        <v>-161820</v>
      </c>
      <c r="L1587">
        <v>33</v>
      </c>
      <c r="M1587">
        <v>465</v>
      </c>
      <c r="N1587" t="s">
        <v>158</v>
      </c>
      <c r="O1587" t="s">
        <v>159</v>
      </c>
    </row>
    <row r="1588" spans="2:15" x14ac:dyDescent="0.25">
      <c r="B1588" t="s">
        <v>15</v>
      </c>
      <c r="C1588" s="4">
        <v>44624</v>
      </c>
      <c r="D1588">
        <v>3</v>
      </c>
      <c r="E1588" t="s">
        <v>16</v>
      </c>
      <c r="F1588" t="s">
        <v>125</v>
      </c>
      <c r="G1588" t="s">
        <v>126</v>
      </c>
      <c r="H1588">
        <v>141467</v>
      </c>
      <c r="I1588">
        <v>0</v>
      </c>
      <c r="J1588">
        <v>141467</v>
      </c>
      <c r="L1588">
        <v>33</v>
      </c>
      <c r="M1588">
        <v>466</v>
      </c>
      <c r="N1588" t="s">
        <v>160</v>
      </c>
      <c r="O1588" t="s">
        <v>161</v>
      </c>
    </row>
    <row r="1589" spans="2:15" x14ac:dyDescent="0.25">
      <c r="B1589" t="s">
        <v>15</v>
      </c>
      <c r="C1589" s="4">
        <v>44624</v>
      </c>
      <c r="D1589">
        <v>3</v>
      </c>
      <c r="E1589" t="s">
        <v>21</v>
      </c>
      <c r="F1589" t="s">
        <v>129</v>
      </c>
      <c r="G1589" t="s">
        <v>126</v>
      </c>
      <c r="H1589">
        <v>0</v>
      </c>
      <c r="I1589">
        <v>22587</v>
      </c>
      <c r="J1589">
        <v>-22587</v>
      </c>
      <c r="L1589">
        <v>33</v>
      </c>
      <c r="M1589">
        <v>466</v>
      </c>
      <c r="N1589" t="s">
        <v>160</v>
      </c>
      <c r="O1589" t="s">
        <v>161</v>
      </c>
    </row>
    <row r="1590" spans="2:15" x14ac:dyDescent="0.25">
      <c r="B1590" t="s">
        <v>15</v>
      </c>
      <c r="C1590" s="4">
        <v>44624</v>
      </c>
      <c r="D1590">
        <v>3</v>
      </c>
      <c r="E1590" t="s">
        <v>130</v>
      </c>
      <c r="F1590" t="s">
        <v>131</v>
      </c>
      <c r="G1590" t="s">
        <v>126</v>
      </c>
      <c r="H1590">
        <v>0</v>
      </c>
      <c r="I1590">
        <v>118880</v>
      </c>
      <c r="J1590">
        <v>-118880</v>
      </c>
      <c r="L1590">
        <v>33</v>
      </c>
      <c r="M1590">
        <v>466</v>
      </c>
      <c r="N1590" t="s">
        <v>160</v>
      </c>
      <c r="O1590" t="s">
        <v>161</v>
      </c>
    </row>
    <row r="1591" spans="2:15" x14ac:dyDescent="0.25">
      <c r="B1591" t="s">
        <v>15</v>
      </c>
      <c r="C1591" s="4">
        <v>44627</v>
      </c>
      <c r="D1591">
        <v>3</v>
      </c>
      <c r="E1591" t="s">
        <v>16</v>
      </c>
      <c r="F1591" t="s">
        <v>125</v>
      </c>
      <c r="G1591" t="s">
        <v>126</v>
      </c>
      <c r="H1591">
        <v>176715</v>
      </c>
      <c r="I1591">
        <v>0</v>
      </c>
      <c r="J1591">
        <v>176715</v>
      </c>
      <c r="L1591">
        <v>33</v>
      </c>
      <c r="M1591">
        <v>467</v>
      </c>
      <c r="N1591" t="s">
        <v>162</v>
      </c>
      <c r="O1591" t="s">
        <v>163</v>
      </c>
    </row>
    <row r="1592" spans="2:15" x14ac:dyDescent="0.25">
      <c r="B1592" t="s">
        <v>15</v>
      </c>
      <c r="C1592" s="4">
        <v>44627</v>
      </c>
      <c r="D1592">
        <v>3</v>
      </c>
      <c r="E1592" t="s">
        <v>21</v>
      </c>
      <c r="F1592" t="s">
        <v>129</v>
      </c>
      <c r="G1592" t="s">
        <v>126</v>
      </c>
      <c r="H1592">
        <v>0</v>
      </c>
      <c r="I1592">
        <v>28215</v>
      </c>
      <c r="J1592">
        <v>-28215</v>
      </c>
      <c r="L1592">
        <v>33</v>
      </c>
      <c r="M1592">
        <v>467</v>
      </c>
      <c r="N1592" t="s">
        <v>162</v>
      </c>
      <c r="O1592" t="s">
        <v>163</v>
      </c>
    </row>
    <row r="1593" spans="2:15" x14ac:dyDescent="0.25">
      <c r="B1593" t="s">
        <v>15</v>
      </c>
      <c r="C1593" s="4">
        <v>44627</v>
      </c>
      <c r="D1593">
        <v>3</v>
      </c>
      <c r="E1593" t="s">
        <v>130</v>
      </c>
      <c r="F1593" t="s">
        <v>131</v>
      </c>
      <c r="G1593" t="s">
        <v>126</v>
      </c>
      <c r="H1593">
        <v>0</v>
      </c>
      <c r="I1593">
        <v>148500</v>
      </c>
      <c r="J1593">
        <v>-148500</v>
      </c>
      <c r="L1593">
        <v>33</v>
      </c>
      <c r="M1593">
        <v>467</v>
      </c>
      <c r="N1593" t="s">
        <v>162</v>
      </c>
      <c r="O1593" t="s">
        <v>163</v>
      </c>
    </row>
    <row r="1594" spans="2:15" x14ac:dyDescent="0.25">
      <c r="B1594" t="s">
        <v>15</v>
      </c>
      <c r="C1594" s="4">
        <v>44635</v>
      </c>
      <c r="D1594">
        <v>3</v>
      </c>
      <c r="E1594" t="s">
        <v>16</v>
      </c>
      <c r="F1594" t="s">
        <v>125</v>
      </c>
      <c r="G1594" t="s">
        <v>126</v>
      </c>
      <c r="H1594">
        <v>64117</v>
      </c>
      <c r="I1594">
        <v>0</v>
      </c>
      <c r="J1594">
        <v>64117</v>
      </c>
      <c r="L1594">
        <v>33</v>
      </c>
      <c r="M1594">
        <v>468</v>
      </c>
      <c r="N1594" t="s">
        <v>164</v>
      </c>
      <c r="O1594" t="s">
        <v>165</v>
      </c>
    </row>
    <row r="1595" spans="2:15" x14ac:dyDescent="0.25">
      <c r="B1595" t="s">
        <v>15</v>
      </c>
      <c r="C1595" s="4">
        <v>44635</v>
      </c>
      <c r="D1595">
        <v>3</v>
      </c>
      <c r="E1595" t="s">
        <v>21</v>
      </c>
      <c r="F1595" t="s">
        <v>129</v>
      </c>
      <c r="G1595" t="s">
        <v>126</v>
      </c>
      <c r="H1595">
        <v>0</v>
      </c>
      <c r="I1595">
        <v>10237</v>
      </c>
      <c r="J1595">
        <v>-10237</v>
      </c>
      <c r="L1595">
        <v>33</v>
      </c>
      <c r="M1595">
        <v>468</v>
      </c>
      <c r="N1595" t="s">
        <v>164</v>
      </c>
      <c r="O1595" t="s">
        <v>165</v>
      </c>
    </row>
    <row r="1596" spans="2:15" x14ac:dyDescent="0.25">
      <c r="B1596" t="s">
        <v>15</v>
      </c>
      <c r="C1596" s="4">
        <v>44635</v>
      </c>
      <c r="D1596">
        <v>3</v>
      </c>
      <c r="E1596" t="s">
        <v>130</v>
      </c>
      <c r="F1596" t="s">
        <v>131</v>
      </c>
      <c r="G1596" t="s">
        <v>126</v>
      </c>
      <c r="H1596">
        <v>0</v>
      </c>
      <c r="I1596">
        <v>53880</v>
      </c>
      <c r="J1596">
        <v>-53880</v>
      </c>
      <c r="L1596">
        <v>33</v>
      </c>
      <c r="M1596">
        <v>468</v>
      </c>
      <c r="N1596" t="s">
        <v>164</v>
      </c>
      <c r="O1596" t="s">
        <v>165</v>
      </c>
    </row>
    <row r="1597" spans="2:15" x14ac:dyDescent="0.25">
      <c r="B1597" t="s">
        <v>15</v>
      </c>
      <c r="C1597" s="4">
        <v>44635</v>
      </c>
      <c r="D1597">
        <v>3</v>
      </c>
      <c r="E1597" t="s">
        <v>16</v>
      </c>
      <c r="F1597" t="s">
        <v>125</v>
      </c>
      <c r="G1597" t="s">
        <v>126</v>
      </c>
      <c r="H1597">
        <v>94962</v>
      </c>
      <c r="I1597">
        <v>0</v>
      </c>
      <c r="J1597">
        <v>94962</v>
      </c>
      <c r="L1597">
        <v>33</v>
      </c>
      <c r="M1597">
        <v>469</v>
      </c>
      <c r="N1597" t="s">
        <v>146</v>
      </c>
      <c r="O1597" t="s">
        <v>147</v>
      </c>
    </row>
    <row r="1598" spans="2:15" x14ac:dyDescent="0.25">
      <c r="B1598" t="s">
        <v>15</v>
      </c>
      <c r="C1598" s="4">
        <v>44635</v>
      </c>
      <c r="D1598">
        <v>3</v>
      </c>
      <c r="E1598" t="s">
        <v>21</v>
      </c>
      <c r="F1598" t="s">
        <v>129</v>
      </c>
      <c r="G1598" t="s">
        <v>126</v>
      </c>
      <c r="H1598">
        <v>0</v>
      </c>
      <c r="I1598">
        <v>15162</v>
      </c>
      <c r="J1598">
        <v>-15162</v>
      </c>
      <c r="L1598">
        <v>33</v>
      </c>
      <c r="M1598">
        <v>469</v>
      </c>
      <c r="N1598" t="s">
        <v>146</v>
      </c>
      <c r="O1598" t="s">
        <v>147</v>
      </c>
    </row>
    <row r="1599" spans="2:15" x14ac:dyDescent="0.25">
      <c r="B1599" t="s">
        <v>15</v>
      </c>
      <c r="C1599" s="4">
        <v>44635</v>
      </c>
      <c r="D1599">
        <v>3</v>
      </c>
      <c r="E1599" t="s">
        <v>130</v>
      </c>
      <c r="F1599" t="s">
        <v>131</v>
      </c>
      <c r="G1599" t="s">
        <v>126</v>
      </c>
      <c r="H1599">
        <v>0</v>
      </c>
      <c r="I1599">
        <v>79800</v>
      </c>
      <c r="J1599">
        <v>-79800</v>
      </c>
      <c r="L1599">
        <v>33</v>
      </c>
      <c r="M1599">
        <v>469</v>
      </c>
      <c r="N1599" t="s">
        <v>146</v>
      </c>
      <c r="O1599" t="s">
        <v>147</v>
      </c>
    </row>
    <row r="1600" spans="2:15" x14ac:dyDescent="0.25">
      <c r="B1600" t="s">
        <v>15</v>
      </c>
      <c r="C1600" s="4">
        <v>44637</v>
      </c>
      <c r="D1600">
        <v>3</v>
      </c>
      <c r="E1600" t="s">
        <v>16</v>
      </c>
      <c r="F1600" t="s">
        <v>125</v>
      </c>
      <c r="G1600" t="s">
        <v>126</v>
      </c>
      <c r="H1600">
        <v>102935</v>
      </c>
      <c r="I1600">
        <v>0</v>
      </c>
      <c r="J1600">
        <v>102935</v>
      </c>
      <c r="L1600">
        <v>33</v>
      </c>
      <c r="M1600">
        <v>470</v>
      </c>
      <c r="N1600" t="s">
        <v>166</v>
      </c>
      <c r="O1600" t="s">
        <v>167</v>
      </c>
    </row>
    <row r="1601" spans="2:15" x14ac:dyDescent="0.25">
      <c r="B1601" t="s">
        <v>15</v>
      </c>
      <c r="C1601" s="4">
        <v>44637</v>
      </c>
      <c r="D1601">
        <v>3</v>
      </c>
      <c r="E1601" t="s">
        <v>21</v>
      </c>
      <c r="F1601" t="s">
        <v>129</v>
      </c>
      <c r="G1601" t="s">
        <v>126</v>
      </c>
      <c r="H1601">
        <v>0</v>
      </c>
      <c r="I1601">
        <v>16435</v>
      </c>
      <c r="J1601">
        <v>-16435</v>
      </c>
      <c r="L1601">
        <v>33</v>
      </c>
      <c r="M1601">
        <v>470</v>
      </c>
      <c r="N1601" t="s">
        <v>166</v>
      </c>
      <c r="O1601" t="s">
        <v>167</v>
      </c>
    </row>
    <row r="1602" spans="2:15" x14ac:dyDescent="0.25">
      <c r="B1602" t="s">
        <v>15</v>
      </c>
      <c r="C1602" s="4">
        <v>44637</v>
      </c>
      <c r="D1602">
        <v>3</v>
      </c>
      <c r="E1602" t="s">
        <v>130</v>
      </c>
      <c r="F1602" t="s">
        <v>131</v>
      </c>
      <c r="G1602" t="s">
        <v>126</v>
      </c>
      <c r="H1602">
        <v>0</v>
      </c>
      <c r="I1602">
        <v>86500</v>
      </c>
      <c r="J1602">
        <v>-86500</v>
      </c>
      <c r="L1602">
        <v>33</v>
      </c>
      <c r="M1602">
        <v>470</v>
      </c>
      <c r="N1602" t="s">
        <v>166</v>
      </c>
      <c r="O1602" t="s">
        <v>167</v>
      </c>
    </row>
    <row r="1603" spans="2:15" x14ac:dyDescent="0.25">
      <c r="B1603" t="s">
        <v>15</v>
      </c>
      <c r="C1603" s="4">
        <v>44638</v>
      </c>
      <c r="D1603">
        <v>3</v>
      </c>
      <c r="E1603" t="s">
        <v>16</v>
      </c>
      <c r="F1603" t="s">
        <v>125</v>
      </c>
      <c r="G1603" t="s">
        <v>126</v>
      </c>
      <c r="H1603">
        <v>212058</v>
      </c>
      <c r="I1603">
        <v>0</v>
      </c>
      <c r="J1603">
        <v>212058</v>
      </c>
      <c r="L1603">
        <v>33</v>
      </c>
      <c r="M1603">
        <v>471</v>
      </c>
      <c r="N1603" t="s">
        <v>168</v>
      </c>
      <c r="O1603" t="s">
        <v>169</v>
      </c>
    </row>
    <row r="1604" spans="2:15" x14ac:dyDescent="0.25">
      <c r="B1604" t="s">
        <v>15</v>
      </c>
      <c r="C1604" s="4">
        <v>44638</v>
      </c>
      <c r="D1604">
        <v>3</v>
      </c>
      <c r="E1604" t="s">
        <v>21</v>
      </c>
      <c r="F1604" t="s">
        <v>129</v>
      </c>
      <c r="G1604" t="s">
        <v>126</v>
      </c>
      <c r="H1604">
        <v>0</v>
      </c>
      <c r="I1604">
        <v>33858</v>
      </c>
      <c r="J1604">
        <v>-33858</v>
      </c>
      <c r="L1604">
        <v>33</v>
      </c>
      <c r="M1604">
        <v>471</v>
      </c>
      <c r="N1604" t="s">
        <v>168</v>
      </c>
      <c r="O1604" t="s">
        <v>169</v>
      </c>
    </row>
    <row r="1605" spans="2:15" x14ac:dyDescent="0.25">
      <c r="B1605" t="s">
        <v>15</v>
      </c>
      <c r="C1605" s="4">
        <v>44638</v>
      </c>
      <c r="D1605">
        <v>3</v>
      </c>
      <c r="E1605" t="s">
        <v>130</v>
      </c>
      <c r="F1605" t="s">
        <v>131</v>
      </c>
      <c r="G1605" t="s">
        <v>126</v>
      </c>
      <c r="H1605">
        <v>0</v>
      </c>
      <c r="I1605">
        <v>178200</v>
      </c>
      <c r="J1605">
        <v>-178200</v>
      </c>
      <c r="L1605">
        <v>33</v>
      </c>
      <c r="M1605">
        <v>471</v>
      </c>
      <c r="N1605" t="s">
        <v>168</v>
      </c>
      <c r="O1605" t="s">
        <v>169</v>
      </c>
    </row>
    <row r="1606" spans="2:15" x14ac:dyDescent="0.25">
      <c r="B1606" t="s">
        <v>15</v>
      </c>
      <c r="C1606" s="4">
        <v>44642</v>
      </c>
      <c r="D1606">
        <v>3</v>
      </c>
      <c r="E1606" t="s">
        <v>16</v>
      </c>
      <c r="F1606" t="s">
        <v>125</v>
      </c>
      <c r="G1606" t="s">
        <v>126</v>
      </c>
      <c r="H1606">
        <v>203490</v>
      </c>
      <c r="I1606">
        <v>0</v>
      </c>
      <c r="J1606">
        <v>203490</v>
      </c>
      <c r="L1606">
        <v>33</v>
      </c>
      <c r="M1606">
        <v>472</v>
      </c>
      <c r="N1606" t="s">
        <v>170</v>
      </c>
      <c r="O1606" t="s">
        <v>171</v>
      </c>
    </row>
    <row r="1607" spans="2:15" x14ac:dyDescent="0.25">
      <c r="B1607" t="s">
        <v>15</v>
      </c>
      <c r="C1607" s="4">
        <v>44642</v>
      </c>
      <c r="D1607">
        <v>3</v>
      </c>
      <c r="E1607" t="s">
        <v>21</v>
      </c>
      <c r="F1607" t="s">
        <v>129</v>
      </c>
      <c r="G1607" t="s">
        <v>126</v>
      </c>
      <c r="H1607">
        <v>0</v>
      </c>
      <c r="I1607">
        <v>32490</v>
      </c>
      <c r="J1607">
        <v>-32490</v>
      </c>
      <c r="L1607">
        <v>33</v>
      </c>
      <c r="M1607">
        <v>472</v>
      </c>
      <c r="N1607" t="s">
        <v>170</v>
      </c>
      <c r="O1607" t="s">
        <v>171</v>
      </c>
    </row>
    <row r="1608" spans="2:15" x14ac:dyDescent="0.25">
      <c r="B1608" t="s">
        <v>15</v>
      </c>
      <c r="C1608" s="4">
        <v>44642</v>
      </c>
      <c r="D1608">
        <v>3</v>
      </c>
      <c r="E1608" t="s">
        <v>130</v>
      </c>
      <c r="F1608" t="s">
        <v>131</v>
      </c>
      <c r="G1608" t="s">
        <v>126</v>
      </c>
      <c r="H1608">
        <v>0</v>
      </c>
      <c r="I1608">
        <v>171000</v>
      </c>
      <c r="J1608">
        <v>-171000</v>
      </c>
      <c r="L1608">
        <v>33</v>
      </c>
      <c r="M1608">
        <v>472</v>
      </c>
      <c r="N1608" t="s">
        <v>170</v>
      </c>
      <c r="O1608" t="s">
        <v>171</v>
      </c>
    </row>
    <row r="1609" spans="2:15" x14ac:dyDescent="0.25">
      <c r="B1609" t="s">
        <v>15</v>
      </c>
      <c r="C1609" s="4">
        <v>44645</v>
      </c>
      <c r="D1609">
        <v>3</v>
      </c>
      <c r="E1609" t="s">
        <v>16</v>
      </c>
      <c r="F1609" t="s">
        <v>125</v>
      </c>
      <c r="G1609" t="s">
        <v>126</v>
      </c>
      <c r="H1609">
        <v>200848</v>
      </c>
      <c r="I1609">
        <v>0</v>
      </c>
      <c r="J1609">
        <v>200848</v>
      </c>
      <c r="L1609">
        <v>33</v>
      </c>
      <c r="M1609">
        <v>474</v>
      </c>
      <c r="N1609" t="s">
        <v>172</v>
      </c>
      <c r="O1609" t="s">
        <v>173</v>
      </c>
    </row>
    <row r="1610" spans="2:15" x14ac:dyDescent="0.25">
      <c r="B1610" t="s">
        <v>15</v>
      </c>
      <c r="C1610" s="4">
        <v>44645</v>
      </c>
      <c r="D1610">
        <v>3</v>
      </c>
      <c r="E1610" t="s">
        <v>21</v>
      </c>
      <c r="F1610" t="s">
        <v>129</v>
      </c>
      <c r="G1610" t="s">
        <v>126</v>
      </c>
      <c r="H1610">
        <v>0</v>
      </c>
      <c r="I1610">
        <v>32068</v>
      </c>
      <c r="J1610">
        <v>-32068</v>
      </c>
      <c r="L1610">
        <v>33</v>
      </c>
      <c r="M1610">
        <v>474</v>
      </c>
      <c r="N1610" t="s">
        <v>172</v>
      </c>
      <c r="O1610" t="s">
        <v>173</v>
      </c>
    </row>
    <row r="1611" spans="2:15" x14ac:dyDescent="0.25">
      <c r="B1611" t="s">
        <v>15</v>
      </c>
      <c r="C1611" s="4">
        <v>44645</v>
      </c>
      <c r="D1611">
        <v>3</v>
      </c>
      <c r="E1611" t="s">
        <v>130</v>
      </c>
      <c r="F1611" t="s">
        <v>131</v>
      </c>
      <c r="G1611" t="s">
        <v>126</v>
      </c>
      <c r="H1611">
        <v>0</v>
      </c>
      <c r="I1611">
        <v>168780</v>
      </c>
      <c r="J1611">
        <v>-168780</v>
      </c>
      <c r="L1611">
        <v>33</v>
      </c>
      <c r="M1611">
        <v>474</v>
      </c>
      <c r="N1611" t="s">
        <v>172</v>
      </c>
      <c r="O1611" t="s">
        <v>173</v>
      </c>
    </row>
    <row r="1612" spans="2:15" x14ac:dyDescent="0.25">
      <c r="B1612" t="s">
        <v>15</v>
      </c>
      <c r="C1612" s="4">
        <v>44645</v>
      </c>
      <c r="D1612">
        <v>3</v>
      </c>
      <c r="E1612" t="s">
        <v>16</v>
      </c>
      <c r="F1612" t="s">
        <v>125</v>
      </c>
      <c r="G1612" t="s">
        <v>126</v>
      </c>
      <c r="H1612">
        <v>188496</v>
      </c>
      <c r="I1612">
        <v>0</v>
      </c>
      <c r="J1612">
        <v>188496</v>
      </c>
      <c r="L1612">
        <v>33</v>
      </c>
      <c r="M1612">
        <v>475</v>
      </c>
      <c r="N1612" t="s">
        <v>154</v>
      </c>
      <c r="O1612" t="s">
        <v>155</v>
      </c>
    </row>
    <row r="1613" spans="2:15" x14ac:dyDescent="0.25">
      <c r="B1613" t="s">
        <v>15</v>
      </c>
      <c r="C1613" s="4">
        <v>44645</v>
      </c>
      <c r="D1613">
        <v>3</v>
      </c>
      <c r="E1613" t="s">
        <v>21</v>
      </c>
      <c r="F1613" t="s">
        <v>129</v>
      </c>
      <c r="G1613" t="s">
        <v>126</v>
      </c>
      <c r="H1613">
        <v>0</v>
      </c>
      <c r="I1613">
        <v>30096</v>
      </c>
      <c r="J1613">
        <v>-30096</v>
      </c>
      <c r="L1613">
        <v>33</v>
      </c>
      <c r="M1613">
        <v>475</v>
      </c>
      <c r="N1613" t="s">
        <v>154</v>
      </c>
      <c r="O1613" t="s">
        <v>155</v>
      </c>
    </row>
    <row r="1614" spans="2:15" x14ac:dyDescent="0.25">
      <c r="B1614" t="s">
        <v>15</v>
      </c>
      <c r="C1614" s="4">
        <v>44645</v>
      </c>
      <c r="D1614">
        <v>3</v>
      </c>
      <c r="E1614" t="s">
        <v>130</v>
      </c>
      <c r="F1614" t="s">
        <v>131</v>
      </c>
      <c r="G1614" t="s">
        <v>126</v>
      </c>
      <c r="H1614">
        <v>0</v>
      </c>
      <c r="I1614">
        <v>158400</v>
      </c>
      <c r="J1614">
        <v>-158400</v>
      </c>
      <c r="L1614">
        <v>33</v>
      </c>
      <c r="M1614">
        <v>475</v>
      </c>
      <c r="N1614" t="s">
        <v>154</v>
      </c>
      <c r="O1614" t="s">
        <v>155</v>
      </c>
    </row>
    <row r="1615" spans="2:15" x14ac:dyDescent="0.25">
      <c r="B1615" t="s">
        <v>15</v>
      </c>
      <c r="C1615" s="4">
        <v>44645</v>
      </c>
      <c r="D1615">
        <v>3</v>
      </c>
      <c r="E1615" t="s">
        <v>16</v>
      </c>
      <c r="F1615" t="s">
        <v>125</v>
      </c>
      <c r="G1615" t="s">
        <v>126</v>
      </c>
      <c r="H1615">
        <v>164934</v>
      </c>
      <c r="I1615">
        <v>0</v>
      </c>
      <c r="J1615">
        <v>164934</v>
      </c>
      <c r="L1615">
        <v>33</v>
      </c>
      <c r="M1615">
        <v>476</v>
      </c>
      <c r="N1615" t="s">
        <v>154</v>
      </c>
      <c r="O1615" t="s">
        <v>155</v>
      </c>
    </row>
    <row r="1616" spans="2:15" x14ac:dyDescent="0.25">
      <c r="B1616" t="s">
        <v>15</v>
      </c>
      <c r="C1616" s="4">
        <v>44645</v>
      </c>
      <c r="D1616">
        <v>3</v>
      </c>
      <c r="E1616" t="s">
        <v>21</v>
      </c>
      <c r="F1616" t="s">
        <v>129</v>
      </c>
      <c r="G1616" t="s">
        <v>126</v>
      </c>
      <c r="H1616">
        <v>0</v>
      </c>
      <c r="I1616">
        <v>26334</v>
      </c>
      <c r="J1616">
        <v>-26334</v>
      </c>
      <c r="L1616">
        <v>33</v>
      </c>
      <c r="M1616">
        <v>476</v>
      </c>
      <c r="N1616" t="s">
        <v>154</v>
      </c>
      <c r="O1616" t="s">
        <v>155</v>
      </c>
    </row>
    <row r="1617" spans="2:15" x14ac:dyDescent="0.25">
      <c r="B1617" t="s">
        <v>15</v>
      </c>
      <c r="C1617" s="4">
        <v>44645</v>
      </c>
      <c r="D1617">
        <v>3</v>
      </c>
      <c r="E1617" t="s">
        <v>130</v>
      </c>
      <c r="F1617" t="s">
        <v>131</v>
      </c>
      <c r="G1617" t="s">
        <v>126</v>
      </c>
      <c r="H1617">
        <v>0</v>
      </c>
      <c r="I1617">
        <v>138600</v>
      </c>
      <c r="J1617">
        <v>-138600</v>
      </c>
      <c r="L1617">
        <v>33</v>
      </c>
      <c r="M1617">
        <v>476</v>
      </c>
      <c r="N1617" t="s">
        <v>154</v>
      </c>
      <c r="O1617" t="s">
        <v>155</v>
      </c>
    </row>
    <row r="1618" spans="2:15" x14ac:dyDescent="0.25">
      <c r="B1618" t="s">
        <v>15</v>
      </c>
      <c r="C1618" s="4">
        <v>44645</v>
      </c>
      <c r="D1618">
        <v>3</v>
      </c>
      <c r="E1618" t="s">
        <v>16</v>
      </c>
      <c r="F1618" t="s">
        <v>125</v>
      </c>
      <c r="G1618" t="s">
        <v>126</v>
      </c>
      <c r="H1618">
        <v>47124</v>
      </c>
      <c r="I1618">
        <v>0</v>
      </c>
      <c r="J1618">
        <v>47124</v>
      </c>
      <c r="L1618">
        <v>33</v>
      </c>
      <c r="M1618">
        <v>477</v>
      </c>
      <c r="N1618" t="s">
        <v>154</v>
      </c>
      <c r="O1618" t="s">
        <v>155</v>
      </c>
    </row>
    <row r="1619" spans="2:15" x14ac:dyDescent="0.25">
      <c r="B1619" t="s">
        <v>15</v>
      </c>
      <c r="C1619" s="4">
        <v>44645</v>
      </c>
      <c r="D1619">
        <v>3</v>
      </c>
      <c r="E1619" t="s">
        <v>21</v>
      </c>
      <c r="F1619" t="s">
        <v>129</v>
      </c>
      <c r="G1619" t="s">
        <v>126</v>
      </c>
      <c r="H1619">
        <v>0</v>
      </c>
      <c r="I1619">
        <v>7524</v>
      </c>
      <c r="J1619">
        <v>-7524</v>
      </c>
      <c r="L1619">
        <v>33</v>
      </c>
      <c r="M1619">
        <v>477</v>
      </c>
      <c r="N1619" t="s">
        <v>154</v>
      </c>
      <c r="O1619" t="s">
        <v>155</v>
      </c>
    </row>
    <row r="1620" spans="2:15" x14ac:dyDescent="0.25">
      <c r="B1620" t="s">
        <v>15</v>
      </c>
      <c r="C1620" s="4">
        <v>44645</v>
      </c>
      <c r="D1620">
        <v>3</v>
      </c>
      <c r="E1620" t="s">
        <v>130</v>
      </c>
      <c r="F1620" t="s">
        <v>131</v>
      </c>
      <c r="G1620" t="s">
        <v>126</v>
      </c>
      <c r="H1620">
        <v>0</v>
      </c>
      <c r="I1620">
        <v>39600</v>
      </c>
      <c r="J1620">
        <v>-39600</v>
      </c>
      <c r="L1620">
        <v>33</v>
      </c>
      <c r="M1620">
        <v>477</v>
      </c>
      <c r="N1620" t="s">
        <v>154</v>
      </c>
      <c r="O1620" t="s">
        <v>155</v>
      </c>
    </row>
    <row r="1621" spans="2:15" x14ac:dyDescent="0.25">
      <c r="B1621" t="s">
        <v>15</v>
      </c>
      <c r="C1621" s="4">
        <v>44645</v>
      </c>
      <c r="D1621">
        <v>3</v>
      </c>
      <c r="E1621" t="s">
        <v>16</v>
      </c>
      <c r="F1621" t="s">
        <v>125</v>
      </c>
      <c r="G1621" t="s">
        <v>126</v>
      </c>
      <c r="H1621">
        <v>141372</v>
      </c>
      <c r="I1621">
        <v>0</v>
      </c>
      <c r="J1621">
        <v>141372</v>
      </c>
      <c r="L1621">
        <v>33</v>
      </c>
      <c r="M1621">
        <v>478</v>
      </c>
      <c r="N1621" t="s">
        <v>154</v>
      </c>
      <c r="O1621" t="s">
        <v>155</v>
      </c>
    </row>
    <row r="1622" spans="2:15" x14ac:dyDescent="0.25">
      <c r="B1622" t="s">
        <v>15</v>
      </c>
      <c r="C1622" s="4">
        <v>44645</v>
      </c>
      <c r="D1622">
        <v>3</v>
      </c>
      <c r="E1622" t="s">
        <v>21</v>
      </c>
      <c r="F1622" t="s">
        <v>129</v>
      </c>
      <c r="G1622" t="s">
        <v>126</v>
      </c>
      <c r="H1622">
        <v>0</v>
      </c>
      <c r="I1622">
        <v>22572</v>
      </c>
      <c r="J1622">
        <v>-22572</v>
      </c>
      <c r="L1622">
        <v>33</v>
      </c>
      <c r="M1622">
        <v>478</v>
      </c>
      <c r="N1622" t="s">
        <v>154</v>
      </c>
      <c r="O1622" t="s">
        <v>155</v>
      </c>
    </row>
    <row r="1623" spans="2:15" x14ac:dyDescent="0.25">
      <c r="B1623" t="s">
        <v>15</v>
      </c>
      <c r="C1623" s="4">
        <v>44645</v>
      </c>
      <c r="D1623">
        <v>3</v>
      </c>
      <c r="E1623" t="s">
        <v>130</v>
      </c>
      <c r="F1623" t="s">
        <v>131</v>
      </c>
      <c r="G1623" t="s">
        <v>126</v>
      </c>
      <c r="H1623">
        <v>0</v>
      </c>
      <c r="I1623">
        <v>118800</v>
      </c>
      <c r="J1623">
        <v>-118800</v>
      </c>
      <c r="L1623">
        <v>33</v>
      </c>
      <c r="M1623">
        <v>478</v>
      </c>
      <c r="N1623" t="s">
        <v>154</v>
      </c>
      <c r="O1623" t="s">
        <v>155</v>
      </c>
    </row>
    <row r="1624" spans="2:15" x14ac:dyDescent="0.25">
      <c r="B1624" t="s">
        <v>15</v>
      </c>
      <c r="C1624" s="4">
        <v>44645</v>
      </c>
      <c r="D1624">
        <v>3</v>
      </c>
      <c r="E1624" t="s">
        <v>16</v>
      </c>
      <c r="F1624" t="s">
        <v>125</v>
      </c>
      <c r="G1624" t="s">
        <v>126</v>
      </c>
      <c r="H1624">
        <v>70686</v>
      </c>
      <c r="I1624">
        <v>0</v>
      </c>
      <c r="J1624">
        <v>70686</v>
      </c>
      <c r="L1624">
        <v>33</v>
      </c>
      <c r="M1624">
        <v>479</v>
      </c>
      <c r="N1624" t="s">
        <v>154</v>
      </c>
      <c r="O1624" t="s">
        <v>155</v>
      </c>
    </row>
    <row r="1625" spans="2:15" x14ac:dyDescent="0.25">
      <c r="B1625" t="s">
        <v>15</v>
      </c>
      <c r="C1625" s="4">
        <v>44645</v>
      </c>
      <c r="D1625">
        <v>3</v>
      </c>
      <c r="E1625" t="s">
        <v>21</v>
      </c>
      <c r="F1625" t="s">
        <v>129</v>
      </c>
      <c r="G1625" t="s">
        <v>126</v>
      </c>
      <c r="H1625">
        <v>0</v>
      </c>
      <c r="I1625">
        <v>11286</v>
      </c>
      <c r="J1625">
        <v>-11286</v>
      </c>
      <c r="L1625">
        <v>33</v>
      </c>
      <c r="M1625">
        <v>479</v>
      </c>
      <c r="N1625" t="s">
        <v>154</v>
      </c>
      <c r="O1625" t="s">
        <v>155</v>
      </c>
    </row>
    <row r="1626" spans="2:15" x14ac:dyDescent="0.25">
      <c r="B1626" t="s">
        <v>15</v>
      </c>
      <c r="C1626" s="4">
        <v>44645</v>
      </c>
      <c r="D1626">
        <v>3</v>
      </c>
      <c r="E1626" t="s">
        <v>130</v>
      </c>
      <c r="F1626" t="s">
        <v>131</v>
      </c>
      <c r="G1626" t="s">
        <v>126</v>
      </c>
      <c r="H1626">
        <v>0</v>
      </c>
      <c r="I1626">
        <v>59400</v>
      </c>
      <c r="J1626">
        <v>-59400</v>
      </c>
      <c r="L1626">
        <v>33</v>
      </c>
      <c r="M1626">
        <v>479</v>
      </c>
      <c r="N1626" t="s">
        <v>154</v>
      </c>
      <c r="O1626" t="s">
        <v>155</v>
      </c>
    </row>
    <row r="1627" spans="2:15" x14ac:dyDescent="0.25">
      <c r="B1627" t="s">
        <v>15</v>
      </c>
      <c r="C1627" s="4">
        <v>44648</v>
      </c>
      <c r="D1627">
        <v>3</v>
      </c>
      <c r="E1627" t="s">
        <v>16</v>
      </c>
      <c r="F1627" t="s">
        <v>125</v>
      </c>
      <c r="G1627" t="s">
        <v>126</v>
      </c>
      <c r="H1627">
        <v>169397</v>
      </c>
      <c r="I1627">
        <v>0</v>
      </c>
      <c r="J1627">
        <v>169397</v>
      </c>
      <c r="L1627">
        <v>33</v>
      </c>
      <c r="M1627">
        <v>480</v>
      </c>
      <c r="N1627" t="s">
        <v>174</v>
      </c>
      <c r="O1627" t="s">
        <v>175</v>
      </c>
    </row>
    <row r="1628" spans="2:15" x14ac:dyDescent="0.25">
      <c r="B1628" t="s">
        <v>15</v>
      </c>
      <c r="C1628" s="4">
        <v>44648</v>
      </c>
      <c r="D1628">
        <v>3</v>
      </c>
      <c r="E1628" t="s">
        <v>21</v>
      </c>
      <c r="F1628" t="s">
        <v>129</v>
      </c>
      <c r="G1628" t="s">
        <v>126</v>
      </c>
      <c r="H1628">
        <v>0</v>
      </c>
      <c r="I1628">
        <v>27047</v>
      </c>
      <c r="J1628">
        <v>-27047</v>
      </c>
      <c r="L1628">
        <v>33</v>
      </c>
      <c r="M1628">
        <v>480</v>
      </c>
      <c r="N1628" t="s">
        <v>174</v>
      </c>
      <c r="O1628" t="s">
        <v>175</v>
      </c>
    </row>
    <row r="1629" spans="2:15" x14ac:dyDescent="0.25">
      <c r="B1629" t="s">
        <v>15</v>
      </c>
      <c r="C1629" s="4">
        <v>44648</v>
      </c>
      <c r="D1629">
        <v>3</v>
      </c>
      <c r="E1629" t="s">
        <v>130</v>
      </c>
      <c r="F1629" t="s">
        <v>131</v>
      </c>
      <c r="G1629" t="s">
        <v>126</v>
      </c>
      <c r="H1629">
        <v>0</v>
      </c>
      <c r="I1629">
        <v>142350</v>
      </c>
      <c r="J1629">
        <v>-142350</v>
      </c>
      <c r="L1629">
        <v>33</v>
      </c>
      <c r="M1629">
        <v>480</v>
      </c>
      <c r="N1629" t="s">
        <v>174</v>
      </c>
      <c r="O1629" t="s">
        <v>175</v>
      </c>
    </row>
    <row r="1630" spans="2:15" x14ac:dyDescent="0.25">
      <c r="B1630" t="s">
        <v>15</v>
      </c>
      <c r="C1630" s="4">
        <v>44648</v>
      </c>
      <c r="D1630">
        <v>3</v>
      </c>
      <c r="E1630" t="s">
        <v>16</v>
      </c>
      <c r="F1630" t="s">
        <v>125</v>
      </c>
      <c r="G1630" t="s">
        <v>126</v>
      </c>
      <c r="H1630">
        <v>118881</v>
      </c>
      <c r="I1630">
        <v>0</v>
      </c>
      <c r="J1630">
        <v>118881</v>
      </c>
      <c r="L1630">
        <v>33</v>
      </c>
      <c r="M1630">
        <v>482</v>
      </c>
      <c r="N1630" t="s">
        <v>158</v>
      </c>
      <c r="O1630" t="s">
        <v>159</v>
      </c>
    </row>
    <row r="1631" spans="2:15" x14ac:dyDescent="0.25">
      <c r="B1631" t="s">
        <v>15</v>
      </c>
      <c r="C1631" s="4">
        <v>44648</v>
      </c>
      <c r="D1631">
        <v>3</v>
      </c>
      <c r="E1631" t="s">
        <v>21</v>
      </c>
      <c r="F1631" t="s">
        <v>129</v>
      </c>
      <c r="G1631" t="s">
        <v>126</v>
      </c>
      <c r="H1631">
        <v>0</v>
      </c>
      <c r="I1631">
        <v>18981</v>
      </c>
      <c r="J1631">
        <v>-18981</v>
      </c>
      <c r="L1631">
        <v>33</v>
      </c>
      <c r="M1631">
        <v>482</v>
      </c>
      <c r="N1631" t="s">
        <v>158</v>
      </c>
      <c r="O1631" t="s">
        <v>159</v>
      </c>
    </row>
    <row r="1632" spans="2:15" x14ac:dyDescent="0.25">
      <c r="B1632" t="s">
        <v>15</v>
      </c>
      <c r="C1632" s="4">
        <v>44648</v>
      </c>
      <c r="D1632">
        <v>3</v>
      </c>
      <c r="E1632" t="s">
        <v>130</v>
      </c>
      <c r="F1632" t="s">
        <v>131</v>
      </c>
      <c r="G1632" t="s">
        <v>126</v>
      </c>
      <c r="H1632">
        <v>0</v>
      </c>
      <c r="I1632">
        <v>99900</v>
      </c>
      <c r="J1632">
        <v>-99900</v>
      </c>
      <c r="L1632">
        <v>33</v>
      </c>
      <c r="M1632">
        <v>482</v>
      </c>
      <c r="N1632" t="s">
        <v>158</v>
      </c>
      <c r="O1632" t="s">
        <v>159</v>
      </c>
    </row>
    <row r="1633" spans="2:15" x14ac:dyDescent="0.25">
      <c r="B1633" t="s">
        <v>15</v>
      </c>
      <c r="C1633" s="4">
        <v>44649</v>
      </c>
      <c r="D1633">
        <v>3</v>
      </c>
      <c r="E1633" t="s">
        <v>16</v>
      </c>
      <c r="F1633" t="s">
        <v>125</v>
      </c>
      <c r="G1633" t="s">
        <v>126</v>
      </c>
      <c r="H1633">
        <v>2874564</v>
      </c>
      <c r="I1633">
        <v>0</v>
      </c>
      <c r="J1633">
        <v>2874564</v>
      </c>
      <c r="L1633">
        <v>33</v>
      </c>
      <c r="M1633">
        <v>483</v>
      </c>
      <c r="N1633" t="s">
        <v>176</v>
      </c>
      <c r="O1633" t="s">
        <v>177</v>
      </c>
    </row>
    <row r="1634" spans="2:15" x14ac:dyDescent="0.25">
      <c r="B1634" t="s">
        <v>15</v>
      </c>
      <c r="C1634" s="4">
        <v>44649</v>
      </c>
      <c r="D1634">
        <v>3</v>
      </c>
      <c r="E1634" t="s">
        <v>21</v>
      </c>
      <c r="F1634" t="s">
        <v>129</v>
      </c>
      <c r="G1634" t="s">
        <v>126</v>
      </c>
      <c r="H1634">
        <v>0</v>
      </c>
      <c r="I1634">
        <v>458964</v>
      </c>
      <c r="J1634">
        <v>-458964</v>
      </c>
      <c r="L1634">
        <v>33</v>
      </c>
      <c r="M1634">
        <v>483</v>
      </c>
      <c r="N1634" t="s">
        <v>176</v>
      </c>
      <c r="O1634" t="s">
        <v>177</v>
      </c>
    </row>
    <row r="1635" spans="2:15" x14ac:dyDescent="0.25">
      <c r="B1635" t="s">
        <v>15</v>
      </c>
      <c r="C1635" s="4">
        <v>44649</v>
      </c>
      <c r="D1635">
        <v>3</v>
      </c>
      <c r="E1635" t="s">
        <v>130</v>
      </c>
      <c r="F1635" t="s">
        <v>131</v>
      </c>
      <c r="G1635" t="s">
        <v>126</v>
      </c>
      <c r="H1635">
        <v>0</v>
      </c>
      <c r="I1635">
        <v>2415600</v>
      </c>
      <c r="J1635">
        <v>-2415600</v>
      </c>
      <c r="L1635">
        <v>33</v>
      </c>
      <c r="M1635">
        <v>483</v>
      </c>
      <c r="N1635" t="s">
        <v>176</v>
      </c>
      <c r="O1635" t="s">
        <v>177</v>
      </c>
    </row>
    <row r="1636" spans="2:15" x14ac:dyDescent="0.25">
      <c r="B1636" t="s">
        <v>15</v>
      </c>
      <c r="C1636" s="4">
        <v>44657</v>
      </c>
      <c r="D1636">
        <v>4</v>
      </c>
      <c r="E1636" t="s">
        <v>16</v>
      </c>
      <c r="F1636" t="s">
        <v>125</v>
      </c>
      <c r="G1636" t="s">
        <v>126</v>
      </c>
      <c r="H1636">
        <v>162673</v>
      </c>
      <c r="I1636">
        <v>0</v>
      </c>
      <c r="J1636">
        <v>162673</v>
      </c>
      <c r="L1636">
        <v>33</v>
      </c>
      <c r="M1636">
        <v>484</v>
      </c>
      <c r="N1636" t="s">
        <v>178</v>
      </c>
      <c r="O1636" t="s">
        <v>179</v>
      </c>
    </row>
    <row r="1637" spans="2:15" x14ac:dyDescent="0.25">
      <c r="B1637" t="s">
        <v>15</v>
      </c>
      <c r="C1637" s="4">
        <v>44657</v>
      </c>
      <c r="D1637">
        <v>4</v>
      </c>
      <c r="E1637" t="s">
        <v>21</v>
      </c>
      <c r="F1637" t="s">
        <v>129</v>
      </c>
      <c r="G1637" t="s">
        <v>126</v>
      </c>
      <c r="H1637">
        <v>0</v>
      </c>
      <c r="I1637">
        <v>25973</v>
      </c>
      <c r="J1637">
        <v>-25973</v>
      </c>
      <c r="L1637">
        <v>33</v>
      </c>
      <c r="M1637">
        <v>484</v>
      </c>
      <c r="N1637" t="s">
        <v>178</v>
      </c>
      <c r="O1637" t="s">
        <v>179</v>
      </c>
    </row>
    <row r="1638" spans="2:15" x14ac:dyDescent="0.25">
      <c r="B1638" t="s">
        <v>15</v>
      </c>
      <c r="C1638" s="4">
        <v>44657</v>
      </c>
      <c r="D1638">
        <v>4</v>
      </c>
      <c r="E1638" t="s">
        <v>130</v>
      </c>
      <c r="F1638" t="s">
        <v>131</v>
      </c>
      <c r="G1638" t="s">
        <v>126</v>
      </c>
      <c r="H1638">
        <v>0</v>
      </c>
      <c r="I1638">
        <v>136700</v>
      </c>
      <c r="J1638">
        <v>-136700</v>
      </c>
      <c r="L1638">
        <v>33</v>
      </c>
      <c r="M1638">
        <v>484</v>
      </c>
      <c r="N1638" t="s">
        <v>178</v>
      </c>
      <c r="O1638" t="s">
        <v>179</v>
      </c>
    </row>
    <row r="1639" spans="2:15" x14ac:dyDescent="0.25">
      <c r="B1639" t="s">
        <v>15</v>
      </c>
      <c r="C1639" s="4">
        <v>44657</v>
      </c>
      <c r="D1639">
        <v>4</v>
      </c>
      <c r="E1639" t="s">
        <v>16</v>
      </c>
      <c r="F1639" t="s">
        <v>125</v>
      </c>
      <c r="G1639" t="s">
        <v>126</v>
      </c>
      <c r="H1639">
        <v>132804</v>
      </c>
      <c r="I1639">
        <v>0</v>
      </c>
      <c r="J1639">
        <v>132804</v>
      </c>
      <c r="L1639">
        <v>33</v>
      </c>
      <c r="M1639">
        <v>485</v>
      </c>
      <c r="N1639" t="s">
        <v>180</v>
      </c>
      <c r="O1639" t="s">
        <v>181</v>
      </c>
    </row>
    <row r="1640" spans="2:15" x14ac:dyDescent="0.25">
      <c r="B1640" t="s">
        <v>15</v>
      </c>
      <c r="C1640" s="4">
        <v>44657</v>
      </c>
      <c r="D1640">
        <v>4</v>
      </c>
      <c r="E1640" t="s">
        <v>21</v>
      </c>
      <c r="F1640" t="s">
        <v>129</v>
      </c>
      <c r="G1640" t="s">
        <v>126</v>
      </c>
      <c r="H1640">
        <v>0</v>
      </c>
      <c r="I1640">
        <v>21204</v>
      </c>
      <c r="J1640">
        <v>-21204</v>
      </c>
      <c r="L1640">
        <v>33</v>
      </c>
      <c r="M1640">
        <v>485</v>
      </c>
      <c r="N1640" t="s">
        <v>180</v>
      </c>
      <c r="O1640" t="s">
        <v>181</v>
      </c>
    </row>
    <row r="1641" spans="2:15" x14ac:dyDescent="0.25">
      <c r="B1641" t="s">
        <v>15</v>
      </c>
      <c r="C1641" s="4">
        <v>44657</v>
      </c>
      <c r="D1641">
        <v>4</v>
      </c>
      <c r="E1641" t="s">
        <v>130</v>
      </c>
      <c r="F1641" t="s">
        <v>131</v>
      </c>
      <c r="G1641" t="s">
        <v>126</v>
      </c>
      <c r="H1641">
        <v>0</v>
      </c>
      <c r="I1641">
        <v>111600</v>
      </c>
      <c r="J1641">
        <v>-111600</v>
      </c>
      <c r="L1641">
        <v>33</v>
      </c>
      <c r="M1641">
        <v>485</v>
      </c>
      <c r="N1641" t="s">
        <v>180</v>
      </c>
      <c r="O1641" t="s">
        <v>181</v>
      </c>
    </row>
    <row r="1642" spans="2:15" x14ac:dyDescent="0.25">
      <c r="B1642" t="s">
        <v>15</v>
      </c>
      <c r="C1642" s="4">
        <v>44662</v>
      </c>
      <c r="D1642">
        <v>4</v>
      </c>
      <c r="E1642" t="s">
        <v>16</v>
      </c>
      <c r="F1642" t="s">
        <v>125</v>
      </c>
      <c r="G1642" t="s">
        <v>126</v>
      </c>
      <c r="H1642">
        <v>79611</v>
      </c>
      <c r="I1642">
        <v>0</v>
      </c>
      <c r="J1642">
        <v>79611</v>
      </c>
      <c r="L1642">
        <v>33</v>
      </c>
      <c r="M1642">
        <v>486</v>
      </c>
      <c r="N1642" t="s">
        <v>168</v>
      </c>
      <c r="O1642" t="s">
        <v>169</v>
      </c>
    </row>
    <row r="1643" spans="2:15" x14ac:dyDescent="0.25">
      <c r="B1643" t="s">
        <v>15</v>
      </c>
      <c r="C1643" s="4">
        <v>44662</v>
      </c>
      <c r="D1643">
        <v>4</v>
      </c>
      <c r="E1643" t="s">
        <v>21</v>
      </c>
      <c r="F1643" t="s">
        <v>129</v>
      </c>
      <c r="G1643" t="s">
        <v>126</v>
      </c>
      <c r="H1643">
        <v>0</v>
      </c>
      <c r="I1643">
        <v>12711</v>
      </c>
      <c r="J1643">
        <v>-12711</v>
      </c>
      <c r="L1643">
        <v>33</v>
      </c>
      <c r="M1643">
        <v>486</v>
      </c>
      <c r="N1643" t="s">
        <v>168</v>
      </c>
      <c r="O1643" t="s">
        <v>169</v>
      </c>
    </row>
    <row r="1644" spans="2:15" x14ac:dyDescent="0.25">
      <c r="B1644" t="s">
        <v>15</v>
      </c>
      <c r="C1644" s="4">
        <v>44662</v>
      </c>
      <c r="D1644">
        <v>4</v>
      </c>
      <c r="E1644" t="s">
        <v>130</v>
      </c>
      <c r="F1644" t="s">
        <v>131</v>
      </c>
      <c r="G1644" t="s">
        <v>126</v>
      </c>
      <c r="H1644">
        <v>0</v>
      </c>
      <c r="I1644">
        <v>66900</v>
      </c>
      <c r="J1644">
        <v>-66900</v>
      </c>
      <c r="L1644">
        <v>33</v>
      </c>
      <c r="M1644">
        <v>486</v>
      </c>
      <c r="N1644" t="s">
        <v>168</v>
      </c>
      <c r="O1644" t="s">
        <v>169</v>
      </c>
    </row>
    <row r="1645" spans="2:15" x14ac:dyDescent="0.25">
      <c r="B1645" t="s">
        <v>15</v>
      </c>
      <c r="C1645" s="4">
        <v>44665</v>
      </c>
      <c r="D1645">
        <v>4</v>
      </c>
      <c r="E1645" t="s">
        <v>16</v>
      </c>
      <c r="F1645" t="s">
        <v>125</v>
      </c>
      <c r="G1645" t="s">
        <v>126</v>
      </c>
      <c r="H1645">
        <v>425544</v>
      </c>
      <c r="I1645">
        <v>0</v>
      </c>
      <c r="J1645">
        <v>425544</v>
      </c>
      <c r="L1645">
        <v>33</v>
      </c>
      <c r="M1645">
        <v>488</v>
      </c>
      <c r="N1645" t="s">
        <v>182</v>
      </c>
      <c r="O1645" t="s">
        <v>183</v>
      </c>
    </row>
    <row r="1646" spans="2:15" x14ac:dyDescent="0.25">
      <c r="B1646" t="s">
        <v>15</v>
      </c>
      <c r="C1646" s="4">
        <v>44665</v>
      </c>
      <c r="D1646">
        <v>4</v>
      </c>
      <c r="E1646" t="s">
        <v>21</v>
      </c>
      <c r="F1646" t="s">
        <v>129</v>
      </c>
      <c r="G1646" t="s">
        <v>126</v>
      </c>
      <c r="H1646">
        <v>0</v>
      </c>
      <c r="I1646">
        <v>67944</v>
      </c>
      <c r="J1646">
        <v>-67944</v>
      </c>
      <c r="L1646">
        <v>33</v>
      </c>
      <c r="M1646">
        <v>488</v>
      </c>
      <c r="N1646" t="s">
        <v>182</v>
      </c>
      <c r="O1646" t="s">
        <v>183</v>
      </c>
    </row>
    <row r="1647" spans="2:15" x14ac:dyDescent="0.25">
      <c r="B1647" t="s">
        <v>15</v>
      </c>
      <c r="C1647" s="4">
        <v>44665</v>
      </c>
      <c r="D1647">
        <v>4</v>
      </c>
      <c r="E1647" t="s">
        <v>130</v>
      </c>
      <c r="F1647" t="s">
        <v>131</v>
      </c>
      <c r="G1647" t="s">
        <v>126</v>
      </c>
      <c r="H1647">
        <v>0</v>
      </c>
      <c r="I1647">
        <v>357600</v>
      </c>
      <c r="J1647">
        <v>-357600</v>
      </c>
      <c r="L1647">
        <v>33</v>
      </c>
      <c r="M1647">
        <v>488</v>
      </c>
      <c r="N1647" t="s">
        <v>182</v>
      </c>
      <c r="O1647" t="s">
        <v>183</v>
      </c>
    </row>
    <row r="1648" spans="2:15" x14ac:dyDescent="0.25">
      <c r="B1648" t="s">
        <v>15</v>
      </c>
      <c r="C1648" s="4">
        <v>44670</v>
      </c>
      <c r="D1648">
        <v>4</v>
      </c>
      <c r="E1648" t="s">
        <v>16</v>
      </c>
      <c r="F1648" t="s">
        <v>125</v>
      </c>
      <c r="G1648" t="s">
        <v>126</v>
      </c>
      <c r="H1648">
        <v>1309000</v>
      </c>
      <c r="I1648">
        <v>0</v>
      </c>
      <c r="J1648">
        <v>1309000</v>
      </c>
      <c r="L1648">
        <v>33</v>
      </c>
      <c r="M1648">
        <v>489</v>
      </c>
      <c r="N1648" t="s">
        <v>184</v>
      </c>
      <c r="O1648" t="s">
        <v>185</v>
      </c>
    </row>
    <row r="1649" spans="2:15" x14ac:dyDescent="0.25">
      <c r="B1649" t="s">
        <v>15</v>
      </c>
      <c r="C1649" s="4">
        <v>44670</v>
      </c>
      <c r="D1649">
        <v>4</v>
      </c>
      <c r="E1649" t="s">
        <v>21</v>
      </c>
      <c r="F1649" t="s">
        <v>129</v>
      </c>
      <c r="G1649" t="s">
        <v>126</v>
      </c>
      <c r="H1649">
        <v>0</v>
      </c>
      <c r="I1649">
        <v>209000</v>
      </c>
      <c r="J1649">
        <v>-209000</v>
      </c>
      <c r="L1649">
        <v>33</v>
      </c>
      <c r="M1649">
        <v>489</v>
      </c>
      <c r="N1649" t="s">
        <v>184</v>
      </c>
      <c r="O1649" t="s">
        <v>185</v>
      </c>
    </row>
    <row r="1650" spans="2:15" x14ac:dyDescent="0.25">
      <c r="B1650" t="s">
        <v>15</v>
      </c>
      <c r="C1650" s="4">
        <v>44670</v>
      </c>
      <c r="D1650">
        <v>4</v>
      </c>
      <c r="E1650" t="s">
        <v>130</v>
      </c>
      <c r="F1650" t="s">
        <v>131</v>
      </c>
      <c r="G1650" t="s">
        <v>126</v>
      </c>
      <c r="H1650">
        <v>0</v>
      </c>
      <c r="I1650">
        <v>1100000</v>
      </c>
      <c r="J1650">
        <v>-1100000</v>
      </c>
      <c r="L1650">
        <v>33</v>
      </c>
      <c r="M1650">
        <v>489</v>
      </c>
      <c r="N1650" t="s">
        <v>184</v>
      </c>
      <c r="O1650" t="s">
        <v>185</v>
      </c>
    </row>
    <row r="1651" spans="2:15" x14ac:dyDescent="0.25">
      <c r="B1651" t="s">
        <v>15</v>
      </c>
      <c r="C1651" s="4">
        <v>44671</v>
      </c>
      <c r="D1651">
        <v>4</v>
      </c>
      <c r="E1651" t="s">
        <v>16</v>
      </c>
      <c r="F1651" t="s">
        <v>125</v>
      </c>
      <c r="G1651" t="s">
        <v>126</v>
      </c>
      <c r="H1651">
        <v>187247</v>
      </c>
      <c r="I1651">
        <v>0</v>
      </c>
      <c r="J1651">
        <v>187247</v>
      </c>
      <c r="L1651">
        <v>33</v>
      </c>
      <c r="M1651">
        <v>490</v>
      </c>
      <c r="N1651" t="s">
        <v>186</v>
      </c>
      <c r="O1651" t="s">
        <v>187</v>
      </c>
    </row>
    <row r="1652" spans="2:15" x14ac:dyDescent="0.25">
      <c r="B1652" t="s">
        <v>15</v>
      </c>
      <c r="C1652" s="4">
        <v>44671</v>
      </c>
      <c r="D1652">
        <v>4</v>
      </c>
      <c r="E1652" t="s">
        <v>21</v>
      </c>
      <c r="F1652" t="s">
        <v>129</v>
      </c>
      <c r="G1652" t="s">
        <v>126</v>
      </c>
      <c r="H1652">
        <v>0</v>
      </c>
      <c r="I1652">
        <v>29897</v>
      </c>
      <c r="J1652">
        <v>-29897</v>
      </c>
      <c r="L1652">
        <v>33</v>
      </c>
      <c r="M1652">
        <v>490</v>
      </c>
      <c r="N1652" t="s">
        <v>186</v>
      </c>
      <c r="O1652" t="s">
        <v>187</v>
      </c>
    </row>
    <row r="1653" spans="2:15" x14ac:dyDescent="0.25">
      <c r="B1653" t="s">
        <v>15</v>
      </c>
      <c r="C1653" s="4">
        <v>44671</v>
      </c>
      <c r="D1653">
        <v>4</v>
      </c>
      <c r="E1653" t="s">
        <v>130</v>
      </c>
      <c r="F1653" t="s">
        <v>131</v>
      </c>
      <c r="G1653" t="s">
        <v>126</v>
      </c>
      <c r="H1653">
        <v>0</v>
      </c>
      <c r="I1653">
        <v>157350</v>
      </c>
      <c r="J1653">
        <v>-157350</v>
      </c>
      <c r="L1653">
        <v>33</v>
      </c>
      <c r="M1653">
        <v>490</v>
      </c>
      <c r="N1653" t="s">
        <v>186</v>
      </c>
      <c r="O1653" t="s">
        <v>187</v>
      </c>
    </row>
    <row r="1654" spans="2:15" x14ac:dyDescent="0.25">
      <c r="B1654" t="s">
        <v>15</v>
      </c>
      <c r="C1654" s="4">
        <v>44671</v>
      </c>
      <c r="D1654">
        <v>4</v>
      </c>
      <c r="E1654" t="s">
        <v>16</v>
      </c>
      <c r="F1654" t="s">
        <v>125</v>
      </c>
      <c r="G1654" t="s">
        <v>126</v>
      </c>
      <c r="H1654">
        <v>53550</v>
      </c>
      <c r="I1654">
        <v>0</v>
      </c>
      <c r="J1654">
        <v>53550</v>
      </c>
      <c r="L1654">
        <v>33</v>
      </c>
      <c r="M1654">
        <v>491</v>
      </c>
      <c r="N1654" t="s">
        <v>142</v>
      </c>
      <c r="O1654" t="s">
        <v>143</v>
      </c>
    </row>
    <row r="1655" spans="2:15" x14ac:dyDescent="0.25">
      <c r="B1655" t="s">
        <v>15</v>
      </c>
      <c r="C1655" s="4">
        <v>44671</v>
      </c>
      <c r="D1655">
        <v>4</v>
      </c>
      <c r="E1655" t="s">
        <v>21</v>
      </c>
      <c r="F1655" t="s">
        <v>129</v>
      </c>
      <c r="G1655" t="s">
        <v>126</v>
      </c>
      <c r="H1655">
        <v>0</v>
      </c>
      <c r="I1655">
        <v>8550</v>
      </c>
      <c r="J1655">
        <v>-8550</v>
      </c>
      <c r="L1655">
        <v>33</v>
      </c>
      <c r="M1655">
        <v>491</v>
      </c>
      <c r="N1655" t="s">
        <v>142</v>
      </c>
      <c r="O1655" t="s">
        <v>143</v>
      </c>
    </row>
    <row r="1656" spans="2:15" x14ac:dyDescent="0.25">
      <c r="B1656" t="s">
        <v>15</v>
      </c>
      <c r="C1656" s="4">
        <v>44671</v>
      </c>
      <c r="D1656">
        <v>4</v>
      </c>
      <c r="E1656" t="s">
        <v>130</v>
      </c>
      <c r="F1656" t="s">
        <v>131</v>
      </c>
      <c r="G1656" t="s">
        <v>126</v>
      </c>
      <c r="H1656">
        <v>0</v>
      </c>
      <c r="I1656">
        <v>45000</v>
      </c>
      <c r="J1656">
        <v>-45000</v>
      </c>
      <c r="L1656">
        <v>33</v>
      </c>
      <c r="M1656">
        <v>491</v>
      </c>
      <c r="N1656" t="s">
        <v>142</v>
      </c>
      <c r="O1656" t="s">
        <v>143</v>
      </c>
    </row>
    <row r="1657" spans="2:15" x14ac:dyDescent="0.25">
      <c r="B1657" t="s">
        <v>15</v>
      </c>
      <c r="C1657" s="4">
        <v>44671</v>
      </c>
      <c r="D1657">
        <v>4</v>
      </c>
      <c r="E1657" t="s">
        <v>16</v>
      </c>
      <c r="F1657" t="s">
        <v>125</v>
      </c>
      <c r="G1657" t="s">
        <v>126</v>
      </c>
      <c r="H1657">
        <v>99365</v>
      </c>
      <c r="I1657">
        <v>0</v>
      </c>
      <c r="J1657">
        <v>99365</v>
      </c>
      <c r="L1657">
        <v>33</v>
      </c>
      <c r="M1657">
        <v>492</v>
      </c>
      <c r="N1657" t="s">
        <v>142</v>
      </c>
      <c r="O1657" t="s">
        <v>143</v>
      </c>
    </row>
    <row r="1658" spans="2:15" x14ac:dyDescent="0.25">
      <c r="B1658" t="s">
        <v>15</v>
      </c>
      <c r="C1658" s="4">
        <v>44671</v>
      </c>
      <c r="D1658">
        <v>4</v>
      </c>
      <c r="E1658" t="s">
        <v>21</v>
      </c>
      <c r="F1658" t="s">
        <v>129</v>
      </c>
      <c r="G1658" t="s">
        <v>126</v>
      </c>
      <c r="H1658">
        <v>0</v>
      </c>
      <c r="I1658">
        <v>15865</v>
      </c>
      <c r="J1658">
        <v>-15865</v>
      </c>
      <c r="L1658">
        <v>33</v>
      </c>
      <c r="M1658">
        <v>492</v>
      </c>
      <c r="N1658" t="s">
        <v>142</v>
      </c>
      <c r="O1658" t="s">
        <v>143</v>
      </c>
    </row>
    <row r="1659" spans="2:15" x14ac:dyDescent="0.25">
      <c r="B1659" t="s">
        <v>15</v>
      </c>
      <c r="C1659" s="4">
        <v>44671</v>
      </c>
      <c r="D1659">
        <v>4</v>
      </c>
      <c r="E1659" t="s">
        <v>130</v>
      </c>
      <c r="F1659" t="s">
        <v>131</v>
      </c>
      <c r="G1659" t="s">
        <v>126</v>
      </c>
      <c r="H1659">
        <v>0</v>
      </c>
      <c r="I1659">
        <v>83500</v>
      </c>
      <c r="J1659">
        <v>-83500</v>
      </c>
      <c r="L1659">
        <v>33</v>
      </c>
      <c r="M1659">
        <v>492</v>
      </c>
      <c r="N1659" t="s">
        <v>142</v>
      </c>
      <c r="O1659" t="s">
        <v>143</v>
      </c>
    </row>
    <row r="1660" spans="2:15" x14ac:dyDescent="0.25">
      <c r="B1660" t="s">
        <v>15</v>
      </c>
      <c r="C1660" s="4">
        <v>44671</v>
      </c>
      <c r="D1660">
        <v>4</v>
      </c>
      <c r="E1660" t="s">
        <v>16</v>
      </c>
      <c r="F1660" t="s">
        <v>125</v>
      </c>
      <c r="G1660" t="s">
        <v>126</v>
      </c>
      <c r="H1660">
        <v>92999</v>
      </c>
      <c r="I1660">
        <v>0</v>
      </c>
      <c r="J1660">
        <v>92999</v>
      </c>
      <c r="L1660">
        <v>33</v>
      </c>
      <c r="M1660">
        <v>493</v>
      </c>
      <c r="N1660" t="s">
        <v>188</v>
      </c>
      <c r="O1660" t="s">
        <v>189</v>
      </c>
    </row>
    <row r="1661" spans="2:15" x14ac:dyDescent="0.25">
      <c r="B1661" t="s">
        <v>15</v>
      </c>
      <c r="C1661" s="4">
        <v>44671</v>
      </c>
      <c r="D1661">
        <v>4</v>
      </c>
      <c r="E1661" t="s">
        <v>21</v>
      </c>
      <c r="F1661" t="s">
        <v>129</v>
      </c>
      <c r="G1661" t="s">
        <v>126</v>
      </c>
      <c r="H1661">
        <v>0</v>
      </c>
      <c r="I1661">
        <v>14849</v>
      </c>
      <c r="J1661">
        <v>-14849</v>
      </c>
      <c r="L1661">
        <v>33</v>
      </c>
      <c r="M1661">
        <v>493</v>
      </c>
      <c r="N1661" t="s">
        <v>188</v>
      </c>
      <c r="O1661" t="s">
        <v>189</v>
      </c>
    </row>
    <row r="1662" spans="2:15" x14ac:dyDescent="0.25">
      <c r="B1662" t="s">
        <v>15</v>
      </c>
      <c r="C1662" s="4">
        <v>44671</v>
      </c>
      <c r="D1662">
        <v>4</v>
      </c>
      <c r="E1662" t="s">
        <v>130</v>
      </c>
      <c r="F1662" t="s">
        <v>131</v>
      </c>
      <c r="G1662" t="s">
        <v>126</v>
      </c>
      <c r="H1662">
        <v>0</v>
      </c>
      <c r="I1662">
        <v>78150</v>
      </c>
      <c r="J1662">
        <v>-78150</v>
      </c>
      <c r="L1662">
        <v>33</v>
      </c>
      <c r="M1662">
        <v>493</v>
      </c>
      <c r="N1662" t="s">
        <v>188</v>
      </c>
      <c r="O1662" t="s">
        <v>189</v>
      </c>
    </row>
    <row r="1663" spans="2:15" x14ac:dyDescent="0.25">
      <c r="B1663" t="s">
        <v>15</v>
      </c>
      <c r="C1663" s="4">
        <v>44673</v>
      </c>
      <c r="D1663">
        <v>4</v>
      </c>
      <c r="E1663" t="s">
        <v>16</v>
      </c>
      <c r="F1663" t="s">
        <v>125</v>
      </c>
      <c r="G1663" t="s">
        <v>126</v>
      </c>
      <c r="H1663">
        <v>129710</v>
      </c>
      <c r="I1663">
        <v>0</v>
      </c>
      <c r="J1663">
        <v>129710</v>
      </c>
      <c r="L1663">
        <v>33</v>
      </c>
      <c r="M1663">
        <v>494</v>
      </c>
      <c r="N1663" t="s">
        <v>190</v>
      </c>
      <c r="O1663" t="s">
        <v>191</v>
      </c>
    </row>
    <row r="1664" spans="2:15" x14ac:dyDescent="0.25">
      <c r="B1664" t="s">
        <v>15</v>
      </c>
      <c r="C1664" s="4">
        <v>44673</v>
      </c>
      <c r="D1664">
        <v>4</v>
      </c>
      <c r="E1664" t="s">
        <v>21</v>
      </c>
      <c r="F1664" t="s">
        <v>129</v>
      </c>
      <c r="G1664" t="s">
        <v>126</v>
      </c>
      <c r="H1664">
        <v>0</v>
      </c>
      <c r="I1664">
        <v>20710</v>
      </c>
      <c r="J1664">
        <v>-20710</v>
      </c>
      <c r="L1664">
        <v>33</v>
      </c>
      <c r="M1664">
        <v>494</v>
      </c>
      <c r="N1664" t="s">
        <v>190</v>
      </c>
      <c r="O1664" t="s">
        <v>191</v>
      </c>
    </row>
    <row r="1665" spans="2:15" x14ac:dyDescent="0.25">
      <c r="B1665" t="s">
        <v>15</v>
      </c>
      <c r="C1665" s="4">
        <v>44673</v>
      </c>
      <c r="D1665">
        <v>4</v>
      </c>
      <c r="E1665" t="s">
        <v>130</v>
      </c>
      <c r="F1665" t="s">
        <v>131</v>
      </c>
      <c r="G1665" t="s">
        <v>126</v>
      </c>
      <c r="H1665">
        <v>0</v>
      </c>
      <c r="I1665">
        <v>109000</v>
      </c>
      <c r="J1665">
        <v>-109000</v>
      </c>
      <c r="L1665">
        <v>33</v>
      </c>
      <c r="M1665">
        <v>494</v>
      </c>
      <c r="N1665" t="s">
        <v>190</v>
      </c>
      <c r="O1665" t="s">
        <v>191</v>
      </c>
    </row>
    <row r="1666" spans="2:15" x14ac:dyDescent="0.25">
      <c r="B1666" t="s">
        <v>15</v>
      </c>
      <c r="C1666" s="4">
        <v>44673</v>
      </c>
      <c r="D1666">
        <v>4</v>
      </c>
      <c r="E1666" t="s">
        <v>16</v>
      </c>
      <c r="F1666" t="s">
        <v>125</v>
      </c>
      <c r="G1666" t="s">
        <v>126</v>
      </c>
      <c r="H1666">
        <v>171170</v>
      </c>
      <c r="I1666">
        <v>0</v>
      </c>
      <c r="J1666">
        <v>171170</v>
      </c>
      <c r="L1666">
        <v>33</v>
      </c>
      <c r="M1666">
        <v>495</v>
      </c>
      <c r="N1666" t="s">
        <v>158</v>
      </c>
      <c r="O1666" t="s">
        <v>159</v>
      </c>
    </row>
    <row r="1667" spans="2:15" x14ac:dyDescent="0.25">
      <c r="B1667" t="s">
        <v>15</v>
      </c>
      <c r="C1667" s="4">
        <v>44673</v>
      </c>
      <c r="D1667">
        <v>4</v>
      </c>
      <c r="E1667" t="s">
        <v>21</v>
      </c>
      <c r="F1667" t="s">
        <v>129</v>
      </c>
      <c r="G1667" t="s">
        <v>126</v>
      </c>
      <c r="H1667">
        <v>0</v>
      </c>
      <c r="I1667">
        <v>27330</v>
      </c>
      <c r="J1667">
        <v>-27330</v>
      </c>
      <c r="L1667">
        <v>33</v>
      </c>
      <c r="M1667">
        <v>495</v>
      </c>
      <c r="N1667" t="s">
        <v>158</v>
      </c>
      <c r="O1667" t="s">
        <v>159</v>
      </c>
    </row>
    <row r="1668" spans="2:15" x14ac:dyDescent="0.25">
      <c r="B1668" t="s">
        <v>15</v>
      </c>
      <c r="C1668" s="4">
        <v>44673</v>
      </c>
      <c r="D1668">
        <v>4</v>
      </c>
      <c r="E1668" t="s">
        <v>130</v>
      </c>
      <c r="F1668" t="s">
        <v>131</v>
      </c>
      <c r="G1668" t="s">
        <v>126</v>
      </c>
      <c r="H1668">
        <v>0</v>
      </c>
      <c r="I1668">
        <v>143840</v>
      </c>
      <c r="J1668">
        <v>-143840</v>
      </c>
      <c r="L1668">
        <v>33</v>
      </c>
      <c r="M1668">
        <v>495</v>
      </c>
      <c r="N1668" t="s">
        <v>158</v>
      </c>
      <c r="O1668" t="s">
        <v>159</v>
      </c>
    </row>
    <row r="1669" spans="2:15" x14ac:dyDescent="0.25">
      <c r="B1669" t="s">
        <v>15</v>
      </c>
      <c r="C1669" s="4">
        <v>44673</v>
      </c>
      <c r="D1669">
        <v>4</v>
      </c>
      <c r="E1669" t="s">
        <v>16</v>
      </c>
      <c r="F1669" t="s">
        <v>125</v>
      </c>
      <c r="G1669" t="s">
        <v>126</v>
      </c>
      <c r="H1669">
        <v>763028</v>
      </c>
      <c r="I1669">
        <v>0</v>
      </c>
      <c r="J1669">
        <v>763028</v>
      </c>
      <c r="L1669">
        <v>33</v>
      </c>
      <c r="M1669">
        <v>496</v>
      </c>
      <c r="N1669" t="s">
        <v>192</v>
      </c>
      <c r="O1669" t="s">
        <v>193</v>
      </c>
    </row>
    <row r="1670" spans="2:15" x14ac:dyDescent="0.25">
      <c r="B1670" t="s">
        <v>15</v>
      </c>
      <c r="C1670" s="4">
        <v>44673</v>
      </c>
      <c r="D1670">
        <v>4</v>
      </c>
      <c r="E1670" t="s">
        <v>21</v>
      </c>
      <c r="F1670" t="s">
        <v>129</v>
      </c>
      <c r="G1670" t="s">
        <v>126</v>
      </c>
      <c r="H1670">
        <v>0</v>
      </c>
      <c r="I1670">
        <v>121828</v>
      </c>
      <c r="J1670">
        <v>-121828</v>
      </c>
      <c r="L1670">
        <v>33</v>
      </c>
      <c r="M1670">
        <v>496</v>
      </c>
      <c r="N1670" t="s">
        <v>192</v>
      </c>
      <c r="O1670" t="s">
        <v>193</v>
      </c>
    </row>
    <row r="1671" spans="2:15" x14ac:dyDescent="0.25">
      <c r="B1671" t="s">
        <v>15</v>
      </c>
      <c r="C1671" s="4">
        <v>44673</v>
      </c>
      <c r="D1671">
        <v>4</v>
      </c>
      <c r="E1671" t="s">
        <v>130</v>
      </c>
      <c r="F1671" t="s">
        <v>131</v>
      </c>
      <c r="G1671" t="s">
        <v>126</v>
      </c>
      <c r="H1671">
        <v>0</v>
      </c>
      <c r="I1671">
        <v>641200</v>
      </c>
      <c r="J1671">
        <v>-641200</v>
      </c>
      <c r="L1671">
        <v>33</v>
      </c>
      <c r="M1671">
        <v>496</v>
      </c>
      <c r="N1671" t="s">
        <v>192</v>
      </c>
      <c r="O1671" t="s">
        <v>193</v>
      </c>
    </row>
    <row r="1672" spans="2:15" x14ac:dyDescent="0.25">
      <c r="B1672" t="s">
        <v>15</v>
      </c>
      <c r="C1672" s="4">
        <v>44676</v>
      </c>
      <c r="D1672">
        <v>4</v>
      </c>
      <c r="E1672" t="s">
        <v>16</v>
      </c>
      <c r="F1672" t="s">
        <v>125</v>
      </c>
      <c r="G1672" t="s">
        <v>126</v>
      </c>
      <c r="H1672">
        <v>1148778</v>
      </c>
      <c r="I1672">
        <v>0</v>
      </c>
      <c r="J1672">
        <v>1148778</v>
      </c>
      <c r="L1672">
        <v>33</v>
      </c>
      <c r="M1672">
        <v>497</v>
      </c>
      <c r="N1672" t="s">
        <v>154</v>
      </c>
      <c r="O1672" t="s">
        <v>155</v>
      </c>
    </row>
    <row r="1673" spans="2:15" x14ac:dyDescent="0.25">
      <c r="B1673" t="s">
        <v>15</v>
      </c>
      <c r="C1673" s="4">
        <v>44676</v>
      </c>
      <c r="D1673">
        <v>4</v>
      </c>
      <c r="E1673" t="s">
        <v>21</v>
      </c>
      <c r="F1673" t="s">
        <v>129</v>
      </c>
      <c r="G1673" t="s">
        <v>126</v>
      </c>
      <c r="H1673">
        <v>0</v>
      </c>
      <c r="I1673">
        <v>183418</v>
      </c>
      <c r="J1673">
        <v>-183418</v>
      </c>
      <c r="L1673">
        <v>33</v>
      </c>
      <c r="M1673">
        <v>497</v>
      </c>
      <c r="N1673" t="s">
        <v>154</v>
      </c>
      <c r="O1673" t="s">
        <v>155</v>
      </c>
    </row>
    <row r="1674" spans="2:15" x14ac:dyDescent="0.25">
      <c r="B1674" t="s">
        <v>15</v>
      </c>
      <c r="C1674" s="4">
        <v>44676</v>
      </c>
      <c r="D1674">
        <v>4</v>
      </c>
      <c r="E1674" t="s">
        <v>130</v>
      </c>
      <c r="F1674" t="s">
        <v>131</v>
      </c>
      <c r="G1674" t="s">
        <v>126</v>
      </c>
      <c r="H1674">
        <v>0</v>
      </c>
      <c r="I1674">
        <v>965360</v>
      </c>
      <c r="J1674">
        <v>-965360</v>
      </c>
      <c r="L1674">
        <v>33</v>
      </c>
      <c r="M1674">
        <v>497</v>
      </c>
      <c r="N1674" t="s">
        <v>154</v>
      </c>
      <c r="O1674" t="s">
        <v>155</v>
      </c>
    </row>
    <row r="1675" spans="2:15" x14ac:dyDescent="0.25">
      <c r="B1675" t="s">
        <v>15</v>
      </c>
      <c r="C1675" s="4">
        <v>44677</v>
      </c>
      <c r="D1675">
        <v>4</v>
      </c>
      <c r="E1675" t="s">
        <v>16</v>
      </c>
      <c r="F1675" t="s">
        <v>125</v>
      </c>
      <c r="G1675" t="s">
        <v>126</v>
      </c>
      <c r="H1675">
        <v>849660</v>
      </c>
      <c r="I1675">
        <v>0</v>
      </c>
      <c r="J1675">
        <v>849660</v>
      </c>
      <c r="L1675">
        <v>33</v>
      </c>
      <c r="M1675">
        <v>498</v>
      </c>
      <c r="N1675" t="s">
        <v>194</v>
      </c>
      <c r="O1675" t="s">
        <v>195</v>
      </c>
    </row>
    <row r="1676" spans="2:15" x14ac:dyDescent="0.25">
      <c r="B1676" t="s">
        <v>15</v>
      </c>
      <c r="C1676" s="4">
        <v>44677</v>
      </c>
      <c r="D1676">
        <v>4</v>
      </c>
      <c r="E1676" t="s">
        <v>21</v>
      </c>
      <c r="F1676" t="s">
        <v>129</v>
      </c>
      <c r="G1676" t="s">
        <v>126</v>
      </c>
      <c r="H1676">
        <v>0</v>
      </c>
      <c r="I1676">
        <v>135660</v>
      </c>
      <c r="J1676">
        <v>-135660</v>
      </c>
      <c r="L1676">
        <v>33</v>
      </c>
      <c r="M1676">
        <v>498</v>
      </c>
      <c r="N1676" t="s">
        <v>194</v>
      </c>
      <c r="O1676" t="s">
        <v>195</v>
      </c>
    </row>
    <row r="1677" spans="2:15" x14ac:dyDescent="0.25">
      <c r="B1677" t="s">
        <v>15</v>
      </c>
      <c r="C1677" s="4">
        <v>44677</v>
      </c>
      <c r="D1677">
        <v>4</v>
      </c>
      <c r="E1677" t="s">
        <v>130</v>
      </c>
      <c r="F1677" t="s">
        <v>131</v>
      </c>
      <c r="G1677" t="s">
        <v>126</v>
      </c>
      <c r="H1677">
        <v>0</v>
      </c>
      <c r="I1677">
        <v>714000</v>
      </c>
      <c r="J1677">
        <v>-714000</v>
      </c>
      <c r="L1677">
        <v>33</v>
      </c>
      <c r="M1677">
        <v>498</v>
      </c>
      <c r="N1677" t="s">
        <v>194</v>
      </c>
      <c r="O1677" t="s">
        <v>195</v>
      </c>
    </row>
    <row r="1678" spans="2:15" x14ac:dyDescent="0.25">
      <c r="B1678" t="s">
        <v>15</v>
      </c>
      <c r="C1678" s="4">
        <v>44677</v>
      </c>
      <c r="D1678">
        <v>4</v>
      </c>
      <c r="E1678" t="s">
        <v>16</v>
      </c>
      <c r="F1678" t="s">
        <v>125</v>
      </c>
      <c r="G1678" t="s">
        <v>126</v>
      </c>
      <c r="H1678">
        <v>2816730</v>
      </c>
      <c r="I1678">
        <v>0</v>
      </c>
      <c r="J1678">
        <v>2816730</v>
      </c>
      <c r="L1678">
        <v>33</v>
      </c>
      <c r="M1678">
        <v>499</v>
      </c>
      <c r="N1678" t="s">
        <v>196</v>
      </c>
      <c r="O1678" t="s">
        <v>197</v>
      </c>
    </row>
    <row r="1679" spans="2:15" x14ac:dyDescent="0.25">
      <c r="B1679" t="s">
        <v>15</v>
      </c>
      <c r="C1679" s="4">
        <v>44677</v>
      </c>
      <c r="D1679">
        <v>4</v>
      </c>
      <c r="E1679" t="s">
        <v>21</v>
      </c>
      <c r="F1679" t="s">
        <v>129</v>
      </c>
      <c r="G1679" t="s">
        <v>126</v>
      </c>
      <c r="H1679">
        <v>0</v>
      </c>
      <c r="I1679">
        <v>449730</v>
      </c>
      <c r="J1679">
        <v>-449730</v>
      </c>
      <c r="L1679">
        <v>33</v>
      </c>
      <c r="M1679">
        <v>499</v>
      </c>
      <c r="N1679" t="s">
        <v>196</v>
      </c>
      <c r="O1679" t="s">
        <v>197</v>
      </c>
    </row>
    <row r="1680" spans="2:15" x14ac:dyDescent="0.25">
      <c r="B1680" t="s">
        <v>15</v>
      </c>
      <c r="C1680" s="4">
        <v>44677</v>
      </c>
      <c r="D1680">
        <v>4</v>
      </c>
      <c r="E1680" t="s">
        <v>130</v>
      </c>
      <c r="F1680" t="s">
        <v>131</v>
      </c>
      <c r="G1680" t="s">
        <v>126</v>
      </c>
      <c r="H1680">
        <v>0</v>
      </c>
      <c r="I1680">
        <v>2367000</v>
      </c>
      <c r="J1680">
        <v>-2367000</v>
      </c>
      <c r="L1680">
        <v>33</v>
      </c>
      <c r="M1680">
        <v>499</v>
      </c>
      <c r="N1680" t="s">
        <v>196</v>
      </c>
      <c r="O1680" t="s">
        <v>197</v>
      </c>
    </row>
    <row r="1681" spans="2:15" x14ac:dyDescent="0.25">
      <c r="B1681" t="s">
        <v>15</v>
      </c>
      <c r="C1681" s="4">
        <v>44680</v>
      </c>
      <c r="D1681">
        <v>4</v>
      </c>
      <c r="E1681" t="s">
        <v>16</v>
      </c>
      <c r="F1681" t="s">
        <v>125</v>
      </c>
      <c r="G1681" t="s">
        <v>126</v>
      </c>
      <c r="H1681">
        <v>118881</v>
      </c>
      <c r="I1681">
        <v>0</v>
      </c>
      <c r="J1681">
        <v>118881</v>
      </c>
      <c r="L1681">
        <v>33</v>
      </c>
      <c r="M1681">
        <v>500</v>
      </c>
      <c r="N1681" t="s">
        <v>198</v>
      </c>
      <c r="O1681" t="s">
        <v>199</v>
      </c>
    </row>
    <row r="1682" spans="2:15" x14ac:dyDescent="0.25">
      <c r="B1682" t="s">
        <v>15</v>
      </c>
      <c r="C1682" s="4">
        <v>44680</v>
      </c>
      <c r="D1682">
        <v>4</v>
      </c>
      <c r="E1682" t="s">
        <v>21</v>
      </c>
      <c r="F1682" t="s">
        <v>129</v>
      </c>
      <c r="G1682" t="s">
        <v>126</v>
      </c>
      <c r="H1682">
        <v>0</v>
      </c>
      <c r="I1682">
        <v>18981</v>
      </c>
      <c r="J1682">
        <v>-18981</v>
      </c>
      <c r="L1682">
        <v>33</v>
      </c>
      <c r="M1682">
        <v>500</v>
      </c>
      <c r="N1682" t="s">
        <v>198</v>
      </c>
      <c r="O1682" t="s">
        <v>199</v>
      </c>
    </row>
    <row r="1683" spans="2:15" x14ac:dyDescent="0.25">
      <c r="B1683" t="s">
        <v>15</v>
      </c>
      <c r="C1683" s="4">
        <v>44680</v>
      </c>
      <c r="D1683">
        <v>4</v>
      </c>
      <c r="E1683" t="s">
        <v>130</v>
      </c>
      <c r="F1683" t="s">
        <v>131</v>
      </c>
      <c r="G1683" t="s">
        <v>126</v>
      </c>
      <c r="H1683">
        <v>0</v>
      </c>
      <c r="I1683">
        <v>99900</v>
      </c>
      <c r="J1683">
        <v>-99900</v>
      </c>
      <c r="L1683">
        <v>33</v>
      </c>
      <c r="M1683">
        <v>500</v>
      </c>
      <c r="N1683" t="s">
        <v>198</v>
      </c>
      <c r="O1683" t="s">
        <v>199</v>
      </c>
    </row>
    <row r="1684" spans="2:15" x14ac:dyDescent="0.25">
      <c r="B1684" t="s">
        <v>15</v>
      </c>
      <c r="C1684" s="4">
        <v>44680</v>
      </c>
      <c r="D1684">
        <v>4</v>
      </c>
      <c r="E1684" t="s">
        <v>16</v>
      </c>
      <c r="F1684" t="s">
        <v>125</v>
      </c>
      <c r="G1684" t="s">
        <v>126</v>
      </c>
      <c r="H1684">
        <v>646848</v>
      </c>
      <c r="I1684">
        <v>0</v>
      </c>
      <c r="J1684">
        <v>646848</v>
      </c>
      <c r="L1684">
        <v>33</v>
      </c>
      <c r="M1684">
        <v>501</v>
      </c>
      <c r="N1684" t="s">
        <v>200</v>
      </c>
      <c r="O1684" t="s">
        <v>201</v>
      </c>
    </row>
    <row r="1685" spans="2:15" x14ac:dyDescent="0.25">
      <c r="B1685" t="s">
        <v>15</v>
      </c>
      <c r="C1685" s="4">
        <v>44680</v>
      </c>
      <c r="D1685">
        <v>4</v>
      </c>
      <c r="E1685" t="s">
        <v>21</v>
      </c>
      <c r="F1685" t="s">
        <v>129</v>
      </c>
      <c r="G1685" t="s">
        <v>126</v>
      </c>
      <c r="H1685">
        <v>0</v>
      </c>
      <c r="I1685">
        <v>103278</v>
      </c>
      <c r="J1685">
        <v>-103278</v>
      </c>
      <c r="L1685">
        <v>33</v>
      </c>
      <c r="M1685">
        <v>501</v>
      </c>
      <c r="N1685" t="s">
        <v>200</v>
      </c>
      <c r="O1685" t="s">
        <v>201</v>
      </c>
    </row>
    <row r="1686" spans="2:15" x14ac:dyDescent="0.25">
      <c r="B1686" t="s">
        <v>15</v>
      </c>
      <c r="C1686" s="4">
        <v>44680</v>
      </c>
      <c r="D1686">
        <v>4</v>
      </c>
      <c r="E1686" t="s">
        <v>130</v>
      </c>
      <c r="F1686" t="s">
        <v>131</v>
      </c>
      <c r="G1686" t="s">
        <v>126</v>
      </c>
      <c r="H1686">
        <v>0</v>
      </c>
      <c r="I1686">
        <v>543570</v>
      </c>
      <c r="J1686">
        <v>-543570</v>
      </c>
      <c r="L1686">
        <v>33</v>
      </c>
      <c r="M1686">
        <v>501</v>
      </c>
      <c r="N1686" t="s">
        <v>200</v>
      </c>
      <c r="O1686" t="s">
        <v>201</v>
      </c>
    </row>
    <row r="1687" spans="2:15" x14ac:dyDescent="0.25">
      <c r="B1687" t="s">
        <v>15</v>
      </c>
      <c r="C1687" s="4">
        <v>44692</v>
      </c>
      <c r="D1687">
        <v>5</v>
      </c>
      <c r="E1687" t="s">
        <v>16</v>
      </c>
      <c r="F1687" t="s">
        <v>125</v>
      </c>
      <c r="G1687" t="s">
        <v>126</v>
      </c>
      <c r="H1687">
        <v>374553</v>
      </c>
      <c r="I1687">
        <v>0</v>
      </c>
      <c r="J1687">
        <v>374553</v>
      </c>
      <c r="L1687">
        <v>33</v>
      </c>
      <c r="M1687">
        <v>502</v>
      </c>
      <c r="N1687" t="s">
        <v>162</v>
      </c>
      <c r="O1687" t="s">
        <v>163</v>
      </c>
    </row>
    <row r="1688" spans="2:15" x14ac:dyDescent="0.25">
      <c r="B1688" t="s">
        <v>15</v>
      </c>
      <c r="C1688" s="4">
        <v>44692</v>
      </c>
      <c r="D1688">
        <v>5</v>
      </c>
      <c r="E1688" t="s">
        <v>21</v>
      </c>
      <c r="F1688" t="s">
        <v>129</v>
      </c>
      <c r="G1688" t="s">
        <v>126</v>
      </c>
      <c r="H1688">
        <v>0</v>
      </c>
      <c r="I1688">
        <v>59803</v>
      </c>
      <c r="J1688">
        <v>-59803</v>
      </c>
      <c r="L1688">
        <v>33</v>
      </c>
      <c r="M1688">
        <v>502</v>
      </c>
      <c r="N1688" t="s">
        <v>162</v>
      </c>
      <c r="O1688" t="s">
        <v>163</v>
      </c>
    </row>
    <row r="1689" spans="2:15" x14ac:dyDescent="0.25">
      <c r="B1689" t="s">
        <v>15</v>
      </c>
      <c r="C1689" s="4">
        <v>44692</v>
      </c>
      <c r="D1689">
        <v>5</v>
      </c>
      <c r="E1689" t="s">
        <v>130</v>
      </c>
      <c r="F1689" t="s">
        <v>131</v>
      </c>
      <c r="G1689" t="s">
        <v>126</v>
      </c>
      <c r="H1689">
        <v>0</v>
      </c>
      <c r="I1689">
        <v>314750</v>
      </c>
      <c r="J1689">
        <v>-314750</v>
      </c>
      <c r="L1689">
        <v>33</v>
      </c>
      <c r="M1689">
        <v>502</v>
      </c>
      <c r="N1689" t="s">
        <v>162</v>
      </c>
      <c r="O1689" t="s">
        <v>163</v>
      </c>
    </row>
    <row r="1690" spans="2:15" x14ac:dyDescent="0.25">
      <c r="B1690" t="s">
        <v>15</v>
      </c>
      <c r="C1690" s="4">
        <v>44692</v>
      </c>
      <c r="D1690">
        <v>5</v>
      </c>
      <c r="E1690" t="s">
        <v>16</v>
      </c>
      <c r="F1690" t="s">
        <v>125</v>
      </c>
      <c r="G1690" t="s">
        <v>126</v>
      </c>
      <c r="H1690">
        <v>184212</v>
      </c>
      <c r="I1690">
        <v>0</v>
      </c>
      <c r="J1690">
        <v>184212</v>
      </c>
      <c r="L1690">
        <v>33</v>
      </c>
      <c r="M1690">
        <v>503</v>
      </c>
      <c r="N1690" t="s">
        <v>202</v>
      </c>
      <c r="O1690" t="s">
        <v>203</v>
      </c>
    </row>
    <row r="1691" spans="2:15" x14ac:dyDescent="0.25">
      <c r="B1691" t="s">
        <v>15</v>
      </c>
      <c r="C1691" s="4">
        <v>44692</v>
      </c>
      <c r="D1691">
        <v>5</v>
      </c>
      <c r="E1691" t="s">
        <v>21</v>
      </c>
      <c r="F1691" t="s">
        <v>129</v>
      </c>
      <c r="G1691" t="s">
        <v>126</v>
      </c>
      <c r="H1691">
        <v>0</v>
      </c>
      <c r="I1691">
        <v>29412</v>
      </c>
      <c r="J1691">
        <v>-29412</v>
      </c>
      <c r="L1691">
        <v>33</v>
      </c>
      <c r="M1691">
        <v>503</v>
      </c>
      <c r="N1691" t="s">
        <v>202</v>
      </c>
      <c r="O1691" t="s">
        <v>203</v>
      </c>
    </row>
    <row r="1692" spans="2:15" x14ac:dyDescent="0.25">
      <c r="B1692" t="s">
        <v>15</v>
      </c>
      <c r="C1692" s="4">
        <v>44692</v>
      </c>
      <c r="D1692">
        <v>5</v>
      </c>
      <c r="E1692" t="s">
        <v>130</v>
      </c>
      <c r="F1692" t="s">
        <v>131</v>
      </c>
      <c r="G1692" t="s">
        <v>126</v>
      </c>
      <c r="H1692">
        <v>0</v>
      </c>
      <c r="I1692">
        <v>154800</v>
      </c>
      <c r="J1692">
        <v>-154800</v>
      </c>
      <c r="L1692">
        <v>33</v>
      </c>
      <c r="M1692">
        <v>503</v>
      </c>
      <c r="N1692" t="s">
        <v>202</v>
      </c>
      <c r="O1692" t="s">
        <v>203</v>
      </c>
    </row>
    <row r="1693" spans="2:15" x14ac:dyDescent="0.25">
      <c r="B1693" t="s">
        <v>15</v>
      </c>
      <c r="C1693" s="4">
        <v>44692</v>
      </c>
      <c r="D1693">
        <v>5</v>
      </c>
      <c r="E1693" t="s">
        <v>16</v>
      </c>
      <c r="F1693" t="s">
        <v>125</v>
      </c>
      <c r="G1693" t="s">
        <v>126</v>
      </c>
      <c r="H1693">
        <v>530930</v>
      </c>
      <c r="I1693">
        <v>0</v>
      </c>
      <c r="J1693">
        <v>530930</v>
      </c>
      <c r="L1693">
        <v>33</v>
      </c>
      <c r="M1693">
        <v>504</v>
      </c>
      <c r="N1693" t="s">
        <v>134</v>
      </c>
      <c r="O1693" t="s">
        <v>135</v>
      </c>
    </row>
    <row r="1694" spans="2:15" x14ac:dyDescent="0.25">
      <c r="B1694" t="s">
        <v>15</v>
      </c>
      <c r="C1694" s="4">
        <v>44692</v>
      </c>
      <c r="D1694">
        <v>5</v>
      </c>
      <c r="E1694" t="s">
        <v>21</v>
      </c>
      <c r="F1694" t="s">
        <v>129</v>
      </c>
      <c r="G1694" t="s">
        <v>126</v>
      </c>
      <c r="H1694">
        <v>0</v>
      </c>
      <c r="I1694">
        <v>84770</v>
      </c>
      <c r="J1694">
        <v>-84770</v>
      </c>
      <c r="L1694">
        <v>33</v>
      </c>
      <c r="M1694">
        <v>504</v>
      </c>
      <c r="N1694" t="s">
        <v>134</v>
      </c>
      <c r="O1694" t="s">
        <v>135</v>
      </c>
    </row>
    <row r="1695" spans="2:15" x14ac:dyDescent="0.25">
      <c r="B1695" t="s">
        <v>15</v>
      </c>
      <c r="C1695" s="4">
        <v>44692</v>
      </c>
      <c r="D1695">
        <v>5</v>
      </c>
      <c r="E1695" t="s">
        <v>130</v>
      </c>
      <c r="F1695" t="s">
        <v>131</v>
      </c>
      <c r="G1695" t="s">
        <v>126</v>
      </c>
      <c r="H1695">
        <v>0</v>
      </c>
      <c r="I1695">
        <v>446160</v>
      </c>
      <c r="J1695">
        <v>-446160</v>
      </c>
      <c r="L1695">
        <v>33</v>
      </c>
      <c r="M1695">
        <v>504</v>
      </c>
      <c r="N1695" t="s">
        <v>134</v>
      </c>
      <c r="O1695" t="s">
        <v>135</v>
      </c>
    </row>
    <row r="1696" spans="2:15" x14ac:dyDescent="0.25">
      <c r="B1696" t="s">
        <v>15</v>
      </c>
      <c r="C1696" s="4">
        <v>44693</v>
      </c>
      <c r="D1696">
        <v>5</v>
      </c>
      <c r="E1696" t="s">
        <v>16</v>
      </c>
      <c r="F1696" t="s">
        <v>125</v>
      </c>
      <c r="G1696" t="s">
        <v>126</v>
      </c>
      <c r="H1696">
        <v>223482</v>
      </c>
      <c r="I1696">
        <v>0</v>
      </c>
      <c r="J1696">
        <v>223482</v>
      </c>
      <c r="L1696">
        <v>33</v>
      </c>
      <c r="M1696">
        <v>505</v>
      </c>
      <c r="N1696" t="s">
        <v>204</v>
      </c>
      <c r="O1696" t="s">
        <v>205</v>
      </c>
    </row>
    <row r="1697" spans="2:15" x14ac:dyDescent="0.25">
      <c r="B1697" t="s">
        <v>15</v>
      </c>
      <c r="C1697" s="4">
        <v>44693</v>
      </c>
      <c r="D1697">
        <v>5</v>
      </c>
      <c r="E1697" t="s">
        <v>21</v>
      </c>
      <c r="F1697" t="s">
        <v>129</v>
      </c>
      <c r="G1697" t="s">
        <v>126</v>
      </c>
      <c r="H1697">
        <v>0</v>
      </c>
      <c r="I1697">
        <v>35682</v>
      </c>
      <c r="J1697">
        <v>-35682</v>
      </c>
      <c r="L1697">
        <v>33</v>
      </c>
      <c r="M1697">
        <v>505</v>
      </c>
      <c r="N1697" t="s">
        <v>204</v>
      </c>
      <c r="O1697" t="s">
        <v>205</v>
      </c>
    </row>
    <row r="1698" spans="2:15" x14ac:dyDescent="0.25">
      <c r="B1698" t="s">
        <v>15</v>
      </c>
      <c r="C1698" s="4">
        <v>44693</v>
      </c>
      <c r="D1698">
        <v>5</v>
      </c>
      <c r="E1698" t="s">
        <v>130</v>
      </c>
      <c r="F1698" t="s">
        <v>131</v>
      </c>
      <c r="G1698" t="s">
        <v>126</v>
      </c>
      <c r="H1698">
        <v>0</v>
      </c>
      <c r="I1698">
        <v>187800</v>
      </c>
      <c r="J1698">
        <v>-187800</v>
      </c>
      <c r="L1698">
        <v>33</v>
      </c>
      <c r="M1698">
        <v>505</v>
      </c>
      <c r="N1698" t="s">
        <v>204</v>
      </c>
      <c r="O1698" t="s">
        <v>205</v>
      </c>
    </row>
    <row r="1699" spans="2:15" x14ac:dyDescent="0.25">
      <c r="B1699" t="s">
        <v>15</v>
      </c>
      <c r="C1699" s="4">
        <v>44699</v>
      </c>
      <c r="D1699">
        <v>5</v>
      </c>
      <c r="E1699" t="s">
        <v>16</v>
      </c>
      <c r="F1699" t="s">
        <v>125</v>
      </c>
      <c r="G1699" t="s">
        <v>126</v>
      </c>
      <c r="H1699">
        <v>1210266</v>
      </c>
      <c r="I1699">
        <v>0</v>
      </c>
      <c r="J1699">
        <v>1210266</v>
      </c>
      <c r="L1699">
        <v>33</v>
      </c>
      <c r="M1699">
        <v>506</v>
      </c>
      <c r="N1699" t="s">
        <v>206</v>
      </c>
      <c r="O1699" t="s">
        <v>207</v>
      </c>
    </row>
    <row r="1700" spans="2:15" x14ac:dyDescent="0.25">
      <c r="B1700" t="s">
        <v>15</v>
      </c>
      <c r="C1700" s="4">
        <v>44699</v>
      </c>
      <c r="D1700">
        <v>5</v>
      </c>
      <c r="E1700" t="s">
        <v>21</v>
      </c>
      <c r="F1700" t="s">
        <v>129</v>
      </c>
      <c r="G1700" t="s">
        <v>126</v>
      </c>
      <c r="H1700">
        <v>0</v>
      </c>
      <c r="I1700">
        <v>193236</v>
      </c>
      <c r="J1700">
        <v>-193236</v>
      </c>
      <c r="L1700">
        <v>33</v>
      </c>
      <c r="M1700">
        <v>506</v>
      </c>
      <c r="N1700" t="s">
        <v>206</v>
      </c>
      <c r="O1700" t="s">
        <v>207</v>
      </c>
    </row>
    <row r="1701" spans="2:15" x14ac:dyDescent="0.25">
      <c r="B1701" t="s">
        <v>15</v>
      </c>
      <c r="C1701" s="4">
        <v>44699</v>
      </c>
      <c r="D1701">
        <v>5</v>
      </c>
      <c r="E1701" t="s">
        <v>130</v>
      </c>
      <c r="F1701" t="s">
        <v>131</v>
      </c>
      <c r="G1701" t="s">
        <v>126</v>
      </c>
      <c r="H1701">
        <v>0</v>
      </c>
      <c r="I1701">
        <v>1017030</v>
      </c>
      <c r="J1701">
        <v>-1017030</v>
      </c>
      <c r="L1701">
        <v>33</v>
      </c>
      <c r="M1701">
        <v>506</v>
      </c>
      <c r="N1701" t="s">
        <v>206</v>
      </c>
      <c r="O1701" t="s">
        <v>207</v>
      </c>
    </row>
    <row r="1702" spans="2:15" x14ac:dyDescent="0.25">
      <c r="B1702" t="s">
        <v>15</v>
      </c>
      <c r="C1702" s="4">
        <v>44706</v>
      </c>
      <c r="D1702">
        <v>5</v>
      </c>
      <c r="E1702" t="s">
        <v>16</v>
      </c>
      <c r="F1702" t="s">
        <v>125</v>
      </c>
      <c r="G1702" t="s">
        <v>126</v>
      </c>
      <c r="H1702">
        <v>314160</v>
      </c>
      <c r="I1702">
        <v>0</v>
      </c>
      <c r="J1702">
        <v>314160</v>
      </c>
      <c r="L1702">
        <v>33</v>
      </c>
      <c r="M1702">
        <v>507</v>
      </c>
      <c r="N1702" t="s">
        <v>208</v>
      </c>
      <c r="O1702" t="s">
        <v>209</v>
      </c>
    </row>
    <row r="1703" spans="2:15" x14ac:dyDescent="0.25">
      <c r="B1703" t="s">
        <v>15</v>
      </c>
      <c r="C1703" s="4">
        <v>44706</v>
      </c>
      <c r="D1703">
        <v>5</v>
      </c>
      <c r="E1703" t="s">
        <v>21</v>
      </c>
      <c r="F1703" t="s">
        <v>129</v>
      </c>
      <c r="G1703" t="s">
        <v>126</v>
      </c>
      <c r="H1703">
        <v>0</v>
      </c>
      <c r="I1703">
        <v>50160</v>
      </c>
      <c r="J1703">
        <v>-50160</v>
      </c>
      <c r="L1703">
        <v>33</v>
      </c>
      <c r="M1703">
        <v>507</v>
      </c>
      <c r="N1703" t="s">
        <v>208</v>
      </c>
      <c r="O1703" t="s">
        <v>209</v>
      </c>
    </row>
    <row r="1704" spans="2:15" x14ac:dyDescent="0.25">
      <c r="B1704" t="s">
        <v>15</v>
      </c>
      <c r="C1704" s="4">
        <v>44706</v>
      </c>
      <c r="D1704">
        <v>5</v>
      </c>
      <c r="E1704" t="s">
        <v>130</v>
      </c>
      <c r="F1704" t="s">
        <v>131</v>
      </c>
      <c r="G1704" t="s">
        <v>126</v>
      </c>
      <c r="H1704">
        <v>0</v>
      </c>
      <c r="I1704">
        <v>264000</v>
      </c>
      <c r="J1704">
        <v>-264000</v>
      </c>
      <c r="L1704">
        <v>33</v>
      </c>
      <c r="M1704">
        <v>507</v>
      </c>
      <c r="N1704" t="s">
        <v>208</v>
      </c>
      <c r="O1704" t="s">
        <v>209</v>
      </c>
    </row>
    <row r="1705" spans="2:15" x14ac:dyDescent="0.25">
      <c r="B1705" t="s">
        <v>15</v>
      </c>
      <c r="C1705" s="4">
        <v>44708</v>
      </c>
      <c r="D1705">
        <v>5</v>
      </c>
      <c r="E1705" t="s">
        <v>16</v>
      </c>
      <c r="F1705" t="s">
        <v>125</v>
      </c>
      <c r="G1705" t="s">
        <v>126</v>
      </c>
      <c r="H1705">
        <v>1535100</v>
      </c>
      <c r="I1705">
        <v>0</v>
      </c>
      <c r="J1705">
        <v>1535100</v>
      </c>
      <c r="L1705">
        <v>33</v>
      </c>
      <c r="M1705">
        <v>508</v>
      </c>
      <c r="N1705" t="s">
        <v>142</v>
      </c>
      <c r="O1705" t="s">
        <v>143</v>
      </c>
    </row>
    <row r="1706" spans="2:15" x14ac:dyDescent="0.25">
      <c r="B1706" t="s">
        <v>15</v>
      </c>
      <c r="C1706" s="4">
        <v>44708</v>
      </c>
      <c r="D1706">
        <v>5</v>
      </c>
      <c r="E1706" t="s">
        <v>21</v>
      </c>
      <c r="F1706" t="s">
        <v>129</v>
      </c>
      <c r="G1706" t="s">
        <v>126</v>
      </c>
      <c r="H1706">
        <v>0</v>
      </c>
      <c r="I1706">
        <v>245100</v>
      </c>
      <c r="J1706">
        <v>-245100</v>
      </c>
      <c r="L1706">
        <v>33</v>
      </c>
      <c r="M1706">
        <v>508</v>
      </c>
      <c r="N1706" t="s">
        <v>142</v>
      </c>
      <c r="O1706" t="s">
        <v>143</v>
      </c>
    </row>
    <row r="1707" spans="2:15" x14ac:dyDescent="0.25">
      <c r="B1707" t="s">
        <v>15</v>
      </c>
      <c r="C1707" s="4">
        <v>44708</v>
      </c>
      <c r="D1707">
        <v>5</v>
      </c>
      <c r="E1707" t="s">
        <v>130</v>
      </c>
      <c r="F1707" t="s">
        <v>131</v>
      </c>
      <c r="G1707" t="s">
        <v>126</v>
      </c>
      <c r="H1707">
        <v>0</v>
      </c>
      <c r="I1707">
        <v>1290000</v>
      </c>
      <c r="J1707">
        <v>-1290000</v>
      </c>
      <c r="L1707">
        <v>33</v>
      </c>
      <c r="M1707">
        <v>508</v>
      </c>
      <c r="N1707" t="s">
        <v>142</v>
      </c>
      <c r="O1707" t="s">
        <v>143</v>
      </c>
    </row>
    <row r="1708" spans="2:15" x14ac:dyDescent="0.25">
      <c r="B1708" t="s">
        <v>15</v>
      </c>
      <c r="C1708" s="4">
        <v>44708</v>
      </c>
      <c r="D1708">
        <v>5</v>
      </c>
      <c r="E1708" t="s">
        <v>16</v>
      </c>
      <c r="F1708" t="s">
        <v>125</v>
      </c>
      <c r="G1708" t="s">
        <v>126</v>
      </c>
      <c r="H1708">
        <v>92106</v>
      </c>
      <c r="I1708">
        <v>0</v>
      </c>
      <c r="J1708">
        <v>92106</v>
      </c>
      <c r="L1708">
        <v>33</v>
      </c>
      <c r="M1708">
        <v>509</v>
      </c>
      <c r="N1708" t="s">
        <v>142</v>
      </c>
      <c r="O1708" t="s">
        <v>143</v>
      </c>
    </row>
    <row r="1709" spans="2:15" x14ac:dyDescent="0.25">
      <c r="B1709" t="s">
        <v>15</v>
      </c>
      <c r="C1709" s="4">
        <v>44708</v>
      </c>
      <c r="D1709">
        <v>5</v>
      </c>
      <c r="E1709" t="s">
        <v>21</v>
      </c>
      <c r="F1709" t="s">
        <v>129</v>
      </c>
      <c r="G1709" t="s">
        <v>126</v>
      </c>
      <c r="H1709">
        <v>0</v>
      </c>
      <c r="I1709">
        <v>14706</v>
      </c>
      <c r="J1709">
        <v>-14706</v>
      </c>
      <c r="L1709">
        <v>33</v>
      </c>
      <c r="M1709">
        <v>509</v>
      </c>
      <c r="N1709" t="s">
        <v>142</v>
      </c>
      <c r="O1709" t="s">
        <v>143</v>
      </c>
    </row>
    <row r="1710" spans="2:15" x14ac:dyDescent="0.25">
      <c r="B1710" t="s">
        <v>15</v>
      </c>
      <c r="C1710" s="4">
        <v>44708</v>
      </c>
      <c r="D1710">
        <v>5</v>
      </c>
      <c r="E1710" t="s">
        <v>130</v>
      </c>
      <c r="F1710" t="s">
        <v>131</v>
      </c>
      <c r="G1710" t="s">
        <v>126</v>
      </c>
      <c r="H1710">
        <v>0</v>
      </c>
      <c r="I1710">
        <v>77400</v>
      </c>
      <c r="J1710">
        <v>-77400</v>
      </c>
      <c r="L1710">
        <v>33</v>
      </c>
      <c r="M1710">
        <v>509</v>
      </c>
      <c r="N1710" t="s">
        <v>142</v>
      </c>
      <c r="O1710" t="s">
        <v>143</v>
      </c>
    </row>
    <row r="1711" spans="2:15" x14ac:dyDescent="0.25">
      <c r="B1711" t="s">
        <v>15</v>
      </c>
      <c r="C1711" s="4">
        <v>44713</v>
      </c>
      <c r="D1711">
        <v>6</v>
      </c>
      <c r="E1711" t="s">
        <v>16</v>
      </c>
      <c r="F1711" t="s">
        <v>125</v>
      </c>
      <c r="G1711" t="s">
        <v>126</v>
      </c>
      <c r="H1711">
        <v>71400</v>
      </c>
      <c r="I1711">
        <v>0</v>
      </c>
      <c r="J1711">
        <v>71400</v>
      </c>
      <c r="L1711">
        <v>33</v>
      </c>
      <c r="M1711">
        <v>510</v>
      </c>
      <c r="N1711" t="s">
        <v>208</v>
      </c>
      <c r="O1711" t="s">
        <v>209</v>
      </c>
    </row>
    <row r="1712" spans="2:15" x14ac:dyDescent="0.25">
      <c r="B1712" t="s">
        <v>15</v>
      </c>
      <c r="C1712" s="4">
        <v>44713</v>
      </c>
      <c r="D1712">
        <v>6</v>
      </c>
      <c r="E1712" t="s">
        <v>21</v>
      </c>
      <c r="F1712" t="s">
        <v>129</v>
      </c>
      <c r="G1712" t="s">
        <v>126</v>
      </c>
      <c r="H1712">
        <v>0</v>
      </c>
      <c r="I1712">
        <v>11400</v>
      </c>
      <c r="J1712">
        <v>-11400</v>
      </c>
      <c r="L1712">
        <v>33</v>
      </c>
      <c r="M1712">
        <v>510</v>
      </c>
      <c r="N1712" t="s">
        <v>208</v>
      </c>
      <c r="O1712" t="s">
        <v>209</v>
      </c>
    </row>
    <row r="1713" spans="2:15" x14ac:dyDescent="0.25">
      <c r="B1713" t="s">
        <v>15</v>
      </c>
      <c r="C1713" s="4">
        <v>44713</v>
      </c>
      <c r="D1713">
        <v>6</v>
      </c>
      <c r="E1713" t="s">
        <v>130</v>
      </c>
      <c r="F1713" t="s">
        <v>131</v>
      </c>
      <c r="G1713" t="s">
        <v>126</v>
      </c>
      <c r="H1713">
        <v>0</v>
      </c>
      <c r="I1713">
        <v>60000</v>
      </c>
      <c r="J1713">
        <v>-60000</v>
      </c>
      <c r="L1713">
        <v>33</v>
      </c>
      <c r="M1713">
        <v>510</v>
      </c>
      <c r="N1713" t="s">
        <v>208</v>
      </c>
      <c r="O1713" t="s">
        <v>209</v>
      </c>
    </row>
    <row r="1714" spans="2:15" x14ac:dyDescent="0.25">
      <c r="B1714" t="s">
        <v>15</v>
      </c>
      <c r="C1714" s="4">
        <v>44721</v>
      </c>
      <c r="D1714">
        <v>6</v>
      </c>
      <c r="E1714" t="s">
        <v>16</v>
      </c>
      <c r="F1714" t="s">
        <v>125</v>
      </c>
      <c r="G1714" t="s">
        <v>126</v>
      </c>
      <c r="H1714">
        <v>90357</v>
      </c>
      <c r="I1714">
        <v>0</v>
      </c>
      <c r="J1714">
        <v>90357</v>
      </c>
      <c r="L1714">
        <v>33</v>
      </c>
      <c r="M1714">
        <v>511</v>
      </c>
      <c r="N1714" t="s">
        <v>210</v>
      </c>
      <c r="O1714" t="s">
        <v>211</v>
      </c>
    </row>
    <row r="1715" spans="2:15" x14ac:dyDescent="0.25">
      <c r="B1715" t="s">
        <v>15</v>
      </c>
      <c r="C1715" s="4">
        <v>44721</v>
      </c>
      <c r="D1715">
        <v>6</v>
      </c>
      <c r="E1715" t="s">
        <v>21</v>
      </c>
      <c r="F1715" t="s">
        <v>129</v>
      </c>
      <c r="G1715" t="s">
        <v>126</v>
      </c>
      <c r="H1715">
        <v>0</v>
      </c>
      <c r="I1715">
        <v>14427</v>
      </c>
      <c r="J1715">
        <v>-14427</v>
      </c>
      <c r="L1715">
        <v>33</v>
      </c>
      <c r="M1715">
        <v>511</v>
      </c>
      <c r="N1715" t="s">
        <v>210</v>
      </c>
      <c r="O1715" t="s">
        <v>211</v>
      </c>
    </row>
    <row r="1716" spans="2:15" x14ac:dyDescent="0.25">
      <c r="B1716" t="s">
        <v>15</v>
      </c>
      <c r="C1716" s="4">
        <v>44721</v>
      </c>
      <c r="D1716">
        <v>6</v>
      </c>
      <c r="E1716" t="s">
        <v>130</v>
      </c>
      <c r="F1716" t="s">
        <v>131</v>
      </c>
      <c r="G1716" t="s">
        <v>126</v>
      </c>
      <c r="H1716">
        <v>0</v>
      </c>
      <c r="I1716">
        <v>75930</v>
      </c>
      <c r="J1716">
        <v>-75930</v>
      </c>
      <c r="L1716">
        <v>33</v>
      </c>
      <c r="M1716">
        <v>511</v>
      </c>
      <c r="N1716" t="s">
        <v>210</v>
      </c>
      <c r="O1716" t="s">
        <v>211</v>
      </c>
    </row>
    <row r="1717" spans="2:15" x14ac:dyDescent="0.25">
      <c r="B1717" t="s">
        <v>15</v>
      </c>
      <c r="C1717" s="4">
        <v>44726</v>
      </c>
      <c r="D1717">
        <v>6</v>
      </c>
      <c r="E1717" t="s">
        <v>16</v>
      </c>
      <c r="F1717" t="s">
        <v>125</v>
      </c>
      <c r="G1717" t="s">
        <v>126</v>
      </c>
      <c r="H1717">
        <v>141610</v>
      </c>
      <c r="I1717">
        <v>0</v>
      </c>
      <c r="J1717">
        <v>141610</v>
      </c>
      <c r="L1717">
        <v>33</v>
      </c>
      <c r="M1717">
        <v>512</v>
      </c>
      <c r="N1717" t="s">
        <v>212</v>
      </c>
      <c r="O1717" t="s">
        <v>213</v>
      </c>
    </row>
    <row r="1718" spans="2:15" x14ac:dyDescent="0.25">
      <c r="B1718" t="s">
        <v>15</v>
      </c>
      <c r="C1718" s="4">
        <v>44726</v>
      </c>
      <c r="D1718">
        <v>6</v>
      </c>
      <c r="E1718" t="s">
        <v>21</v>
      </c>
      <c r="F1718" t="s">
        <v>129</v>
      </c>
      <c r="G1718" t="s">
        <v>126</v>
      </c>
      <c r="H1718">
        <v>0</v>
      </c>
      <c r="I1718">
        <v>22610</v>
      </c>
      <c r="J1718">
        <v>-22610</v>
      </c>
      <c r="L1718">
        <v>33</v>
      </c>
      <c r="M1718">
        <v>512</v>
      </c>
      <c r="N1718" t="s">
        <v>212</v>
      </c>
      <c r="O1718" t="s">
        <v>213</v>
      </c>
    </row>
    <row r="1719" spans="2:15" x14ac:dyDescent="0.25">
      <c r="B1719" t="s">
        <v>15</v>
      </c>
      <c r="C1719" s="4">
        <v>44726</v>
      </c>
      <c r="D1719">
        <v>6</v>
      </c>
      <c r="E1719" t="s">
        <v>130</v>
      </c>
      <c r="F1719" t="s">
        <v>131</v>
      </c>
      <c r="G1719" t="s">
        <v>126</v>
      </c>
      <c r="H1719">
        <v>0</v>
      </c>
      <c r="I1719">
        <v>119000</v>
      </c>
      <c r="J1719">
        <v>-119000</v>
      </c>
      <c r="L1719">
        <v>33</v>
      </c>
      <c r="M1719">
        <v>512</v>
      </c>
      <c r="N1719" t="s">
        <v>212</v>
      </c>
      <c r="O1719" t="s">
        <v>213</v>
      </c>
    </row>
    <row r="1720" spans="2:15" x14ac:dyDescent="0.25">
      <c r="B1720" t="s">
        <v>15</v>
      </c>
      <c r="C1720" s="4">
        <v>44726</v>
      </c>
      <c r="D1720">
        <v>6</v>
      </c>
      <c r="E1720" t="s">
        <v>16</v>
      </c>
      <c r="F1720" t="s">
        <v>125</v>
      </c>
      <c r="G1720" t="s">
        <v>126</v>
      </c>
      <c r="H1720">
        <v>353168</v>
      </c>
      <c r="I1720">
        <v>0</v>
      </c>
      <c r="J1720">
        <v>353168</v>
      </c>
      <c r="L1720">
        <v>33</v>
      </c>
      <c r="M1720">
        <v>513</v>
      </c>
      <c r="N1720" t="s">
        <v>214</v>
      </c>
      <c r="O1720" t="s">
        <v>215</v>
      </c>
    </row>
    <row r="1721" spans="2:15" x14ac:dyDescent="0.25">
      <c r="B1721" t="s">
        <v>15</v>
      </c>
      <c r="C1721" s="4">
        <v>44726</v>
      </c>
      <c r="D1721">
        <v>6</v>
      </c>
      <c r="E1721" t="s">
        <v>21</v>
      </c>
      <c r="F1721" t="s">
        <v>129</v>
      </c>
      <c r="G1721" t="s">
        <v>126</v>
      </c>
      <c r="H1721">
        <v>0</v>
      </c>
      <c r="I1721">
        <v>56388</v>
      </c>
      <c r="J1721">
        <v>-56388</v>
      </c>
      <c r="L1721">
        <v>33</v>
      </c>
      <c r="M1721">
        <v>513</v>
      </c>
      <c r="N1721" t="s">
        <v>214</v>
      </c>
      <c r="O1721" t="s">
        <v>215</v>
      </c>
    </row>
    <row r="1722" spans="2:15" x14ac:dyDescent="0.25">
      <c r="B1722" t="s">
        <v>15</v>
      </c>
      <c r="C1722" s="4">
        <v>44726</v>
      </c>
      <c r="D1722">
        <v>6</v>
      </c>
      <c r="E1722" t="s">
        <v>130</v>
      </c>
      <c r="F1722" t="s">
        <v>131</v>
      </c>
      <c r="G1722" t="s">
        <v>126</v>
      </c>
      <c r="H1722">
        <v>0</v>
      </c>
      <c r="I1722">
        <v>296780</v>
      </c>
      <c r="J1722">
        <v>-296780</v>
      </c>
      <c r="L1722">
        <v>33</v>
      </c>
      <c r="M1722">
        <v>513</v>
      </c>
      <c r="N1722" t="s">
        <v>214</v>
      </c>
      <c r="O1722" t="s">
        <v>215</v>
      </c>
    </row>
    <row r="1723" spans="2:15" x14ac:dyDescent="0.25">
      <c r="B1723" t="s">
        <v>15</v>
      </c>
      <c r="C1723" s="4">
        <v>44729</v>
      </c>
      <c r="D1723">
        <v>6</v>
      </c>
      <c r="E1723" t="s">
        <v>16</v>
      </c>
      <c r="F1723" t="s">
        <v>125</v>
      </c>
      <c r="G1723" t="s">
        <v>126</v>
      </c>
      <c r="H1723">
        <v>686630</v>
      </c>
      <c r="I1723">
        <v>0</v>
      </c>
      <c r="J1723">
        <v>686630</v>
      </c>
      <c r="L1723">
        <v>33</v>
      </c>
      <c r="M1723">
        <v>514</v>
      </c>
      <c r="N1723" t="s">
        <v>216</v>
      </c>
      <c r="O1723" t="s">
        <v>217</v>
      </c>
    </row>
    <row r="1724" spans="2:15" x14ac:dyDescent="0.25">
      <c r="B1724" t="s">
        <v>15</v>
      </c>
      <c r="C1724" s="4">
        <v>44729</v>
      </c>
      <c r="D1724">
        <v>6</v>
      </c>
      <c r="E1724" t="s">
        <v>21</v>
      </c>
      <c r="F1724" t="s">
        <v>129</v>
      </c>
      <c r="G1724" t="s">
        <v>126</v>
      </c>
      <c r="H1724">
        <v>0</v>
      </c>
      <c r="I1724">
        <v>109630</v>
      </c>
      <c r="J1724">
        <v>-109630</v>
      </c>
      <c r="L1724">
        <v>33</v>
      </c>
      <c r="M1724">
        <v>514</v>
      </c>
      <c r="N1724" t="s">
        <v>216</v>
      </c>
      <c r="O1724" t="s">
        <v>217</v>
      </c>
    </row>
    <row r="1725" spans="2:15" x14ac:dyDescent="0.25">
      <c r="B1725" t="s">
        <v>15</v>
      </c>
      <c r="C1725" s="4">
        <v>44729</v>
      </c>
      <c r="D1725">
        <v>6</v>
      </c>
      <c r="E1725" t="s">
        <v>130</v>
      </c>
      <c r="F1725" t="s">
        <v>131</v>
      </c>
      <c r="G1725" t="s">
        <v>126</v>
      </c>
      <c r="H1725">
        <v>0</v>
      </c>
      <c r="I1725">
        <v>577000</v>
      </c>
      <c r="J1725">
        <v>-577000</v>
      </c>
      <c r="L1725">
        <v>33</v>
      </c>
      <c r="M1725">
        <v>514</v>
      </c>
      <c r="N1725" t="s">
        <v>216</v>
      </c>
      <c r="O1725" t="s">
        <v>217</v>
      </c>
    </row>
    <row r="1726" spans="2:15" x14ac:dyDescent="0.25">
      <c r="B1726" t="s">
        <v>15</v>
      </c>
      <c r="C1726" s="4">
        <v>44729</v>
      </c>
      <c r="D1726">
        <v>6</v>
      </c>
      <c r="E1726" t="s">
        <v>16</v>
      </c>
      <c r="F1726" t="s">
        <v>125</v>
      </c>
      <c r="G1726" t="s">
        <v>126</v>
      </c>
      <c r="H1726">
        <v>69972</v>
      </c>
      <c r="I1726">
        <v>0</v>
      </c>
      <c r="J1726">
        <v>69972</v>
      </c>
      <c r="L1726">
        <v>33</v>
      </c>
      <c r="M1726">
        <v>515</v>
      </c>
      <c r="N1726" t="s">
        <v>218</v>
      </c>
      <c r="O1726" t="s">
        <v>219</v>
      </c>
    </row>
    <row r="1727" spans="2:15" x14ac:dyDescent="0.25">
      <c r="B1727" t="s">
        <v>15</v>
      </c>
      <c r="C1727" s="4">
        <v>44729</v>
      </c>
      <c r="D1727">
        <v>6</v>
      </c>
      <c r="E1727" t="s">
        <v>21</v>
      </c>
      <c r="F1727" t="s">
        <v>129</v>
      </c>
      <c r="G1727" t="s">
        <v>126</v>
      </c>
      <c r="H1727">
        <v>0</v>
      </c>
      <c r="I1727">
        <v>11172</v>
      </c>
      <c r="J1727">
        <v>-11172</v>
      </c>
      <c r="L1727">
        <v>33</v>
      </c>
      <c r="M1727">
        <v>515</v>
      </c>
      <c r="N1727" t="s">
        <v>218</v>
      </c>
      <c r="O1727" t="s">
        <v>219</v>
      </c>
    </row>
    <row r="1728" spans="2:15" x14ac:dyDescent="0.25">
      <c r="B1728" t="s">
        <v>15</v>
      </c>
      <c r="C1728" s="4">
        <v>44729</v>
      </c>
      <c r="D1728">
        <v>6</v>
      </c>
      <c r="E1728" t="s">
        <v>130</v>
      </c>
      <c r="F1728" t="s">
        <v>131</v>
      </c>
      <c r="G1728" t="s">
        <v>126</v>
      </c>
      <c r="H1728">
        <v>0</v>
      </c>
      <c r="I1728">
        <v>58800</v>
      </c>
      <c r="J1728">
        <v>-58800</v>
      </c>
      <c r="L1728">
        <v>33</v>
      </c>
      <c r="M1728">
        <v>515</v>
      </c>
      <c r="N1728" t="s">
        <v>218</v>
      </c>
      <c r="O1728" t="s">
        <v>219</v>
      </c>
    </row>
    <row r="1729" spans="2:15" x14ac:dyDescent="0.25">
      <c r="B1729" t="s">
        <v>15</v>
      </c>
      <c r="C1729" s="4">
        <v>44734</v>
      </c>
      <c r="D1729">
        <v>6</v>
      </c>
      <c r="E1729" t="s">
        <v>16</v>
      </c>
      <c r="F1729" t="s">
        <v>125</v>
      </c>
      <c r="G1729" t="s">
        <v>126</v>
      </c>
      <c r="H1729">
        <v>54621</v>
      </c>
      <c r="I1729">
        <v>0</v>
      </c>
      <c r="J1729">
        <v>54621</v>
      </c>
      <c r="L1729">
        <v>33</v>
      </c>
      <c r="M1729">
        <v>516</v>
      </c>
      <c r="N1729" t="s">
        <v>210</v>
      </c>
      <c r="O1729" t="s">
        <v>211</v>
      </c>
    </row>
    <row r="1730" spans="2:15" x14ac:dyDescent="0.25">
      <c r="B1730" t="s">
        <v>15</v>
      </c>
      <c r="C1730" s="4">
        <v>44734</v>
      </c>
      <c r="D1730">
        <v>6</v>
      </c>
      <c r="E1730" t="s">
        <v>21</v>
      </c>
      <c r="F1730" t="s">
        <v>129</v>
      </c>
      <c r="G1730" t="s">
        <v>126</v>
      </c>
      <c r="H1730">
        <v>0</v>
      </c>
      <c r="I1730">
        <v>8721</v>
      </c>
      <c r="J1730">
        <v>-8721</v>
      </c>
      <c r="L1730">
        <v>33</v>
      </c>
      <c r="M1730">
        <v>516</v>
      </c>
      <c r="N1730" t="s">
        <v>210</v>
      </c>
      <c r="O1730" t="s">
        <v>211</v>
      </c>
    </row>
    <row r="1731" spans="2:15" x14ac:dyDescent="0.25">
      <c r="B1731" t="s">
        <v>15</v>
      </c>
      <c r="C1731" s="4">
        <v>44734</v>
      </c>
      <c r="D1731">
        <v>6</v>
      </c>
      <c r="E1731" t="s">
        <v>130</v>
      </c>
      <c r="F1731" t="s">
        <v>131</v>
      </c>
      <c r="G1731" t="s">
        <v>126</v>
      </c>
      <c r="H1731">
        <v>0</v>
      </c>
      <c r="I1731">
        <v>45900</v>
      </c>
      <c r="J1731">
        <v>-45900</v>
      </c>
      <c r="L1731">
        <v>33</v>
      </c>
      <c r="M1731">
        <v>516</v>
      </c>
      <c r="N1731" t="s">
        <v>210</v>
      </c>
      <c r="O1731" t="s">
        <v>211</v>
      </c>
    </row>
    <row r="1732" spans="2:15" x14ac:dyDescent="0.25">
      <c r="B1732" t="s">
        <v>15</v>
      </c>
      <c r="C1732" s="4">
        <v>44735</v>
      </c>
      <c r="D1732">
        <v>6</v>
      </c>
      <c r="E1732" t="s">
        <v>16</v>
      </c>
      <c r="F1732" t="s">
        <v>125</v>
      </c>
      <c r="G1732" t="s">
        <v>126</v>
      </c>
      <c r="H1732">
        <v>319158</v>
      </c>
      <c r="I1732">
        <v>0</v>
      </c>
      <c r="J1732">
        <v>319158</v>
      </c>
      <c r="L1732">
        <v>33</v>
      </c>
      <c r="M1732">
        <v>517</v>
      </c>
      <c r="N1732" t="s">
        <v>220</v>
      </c>
      <c r="O1732" t="s">
        <v>221</v>
      </c>
    </row>
    <row r="1733" spans="2:15" x14ac:dyDescent="0.25">
      <c r="B1733" t="s">
        <v>15</v>
      </c>
      <c r="C1733" s="4">
        <v>44735</v>
      </c>
      <c r="D1733">
        <v>6</v>
      </c>
      <c r="E1733" t="s">
        <v>21</v>
      </c>
      <c r="F1733" t="s">
        <v>129</v>
      </c>
      <c r="G1733" t="s">
        <v>126</v>
      </c>
      <c r="H1733">
        <v>0</v>
      </c>
      <c r="I1733">
        <v>50958</v>
      </c>
      <c r="J1733">
        <v>-50958</v>
      </c>
      <c r="L1733">
        <v>33</v>
      </c>
      <c r="M1733">
        <v>517</v>
      </c>
      <c r="N1733" t="s">
        <v>220</v>
      </c>
      <c r="O1733" t="s">
        <v>221</v>
      </c>
    </row>
    <row r="1734" spans="2:15" x14ac:dyDescent="0.25">
      <c r="B1734" t="s">
        <v>15</v>
      </c>
      <c r="C1734" s="4">
        <v>44735</v>
      </c>
      <c r="D1734">
        <v>6</v>
      </c>
      <c r="E1734" t="s">
        <v>130</v>
      </c>
      <c r="F1734" t="s">
        <v>131</v>
      </c>
      <c r="G1734" t="s">
        <v>126</v>
      </c>
      <c r="H1734">
        <v>0</v>
      </c>
      <c r="I1734">
        <v>268200</v>
      </c>
      <c r="J1734">
        <v>-268200</v>
      </c>
      <c r="L1734">
        <v>33</v>
      </c>
      <c r="M1734">
        <v>517</v>
      </c>
      <c r="N1734" t="s">
        <v>220</v>
      </c>
      <c r="O1734" t="s">
        <v>221</v>
      </c>
    </row>
    <row r="1735" spans="2:15" x14ac:dyDescent="0.25">
      <c r="B1735" t="s">
        <v>15</v>
      </c>
      <c r="C1735" s="4">
        <v>44735</v>
      </c>
      <c r="D1735">
        <v>6</v>
      </c>
      <c r="E1735" t="s">
        <v>16</v>
      </c>
      <c r="F1735" t="s">
        <v>125</v>
      </c>
      <c r="G1735" t="s">
        <v>126</v>
      </c>
      <c r="H1735">
        <v>120666</v>
      </c>
      <c r="I1735">
        <v>0</v>
      </c>
      <c r="J1735">
        <v>120666</v>
      </c>
      <c r="L1735">
        <v>33</v>
      </c>
      <c r="M1735">
        <v>518</v>
      </c>
      <c r="N1735" t="s">
        <v>222</v>
      </c>
      <c r="O1735" t="s">
        <v>223</v>
      </c>
    </row>
    <row r="1736" spans="2:15" x14ac:dyDescent="0.25">
      <c r="B1736" t="s">
        <v>15</v>
      </c>
      <c r="C1736" s="4">
        <v>44735</v>
      </c>
      <c r="D1736">
        <v>6</v>
      </c>
      <c r="E1736" t="s">
        <v>21</v>
      </c>
      <c r="F1736" t="s">
        <v>129</v>
      </c>
      <c r="G1736" t="s">
        <v>126</v>
      </c>
      <c r="H1736">
        <v>0</v>
      </c>
      <c r="I1736">
        <v>19266</v>
      </c>
      <c r="J1736">
        <v>-19266</v>
      </c>
      <c r="L1736">
        <v>33</v>
      </c>
      <c r="M1736">
        <v>518</v>
      </c>
      <c r="N1736" t="s">
        <v>222</v>
      </c>
      <c r="O1736" t="s">
        <v>223</v>
      </c>
    </row>
    <row r="1737" spans="2:15" x14ac:dyDescent="0.25">
      <c r="B1737" t="s">
        <v>15</v>
      </c>
      <c r="C1737" s="4">
        <v>44735</v>
      </c>
      <c r="D1737">
        <v>6</v>
      </c>
      <c r="E1737" t="s">
        <v>130</v>
      </c>
      <c r="F1737" t="s">
        <v>131</v>
      </c>
      <c r="G1737" t="s">
        <v>126</v>
      </c>
      <c r="H1737">
        <v>0</v>
      </c>
      <c r="I1737">
        <v>101400</v>
      </c>
      <c r="J1737">
        <v>-101400</v>
      </c>
      <c r="L1737">
        <v>33</v>
      </c>
      <c r="M1737">
        <v>518</v>
      </c>
      <c r="N1737" t="s">
        <v>222</v>
      </c>
      <c r="O1737" t="s">
        <v>223</v>
      </c>
    </row>
    <row r="1738" spans="2:15" x14ac:dyDescent="0.25">
      <c r="B1738" t="s">
        <v>15</v>
      </c>
      <c r="C1738" s="4">
        <v>44741</v>
      </c>
      <c r="D1738">
        <v>6</v>
      </c>
      <c r="E1738" t="s">
        <v>16</v>
      </c>
      <c r="F1738" t="s">
        <v>125</v>
      </c>
      <c r="G1738" t="s">
        <v>126</v>
      </c>
      <c r="H1738">
        <v>341292</v>
      </c>
      <c r="I1738">
        <v>0</v>
      </c>
      <c r="J1738">
        <v>341292</v>
      </c>
      <c r="L1738">
        <v>33</v>
      </c>
      <c r="M1738">
        <v>519</v>
      </c>
      <c r="N1738" t="s">
        <v>192</v>
      </c>
      <c r="O1738" t="s">
        <v>193</v>
      </c>
    </row>
    <row r="1739" spans="2:15" x14ac:dyDescent="0.25">
      <c r="B1739" t="s">
        <v>15</v>
      </c>
      <c r="C1739" s="4">
        <v>44741</v>
      </c>
      <c r="D1739">
        <v>6</v>
      </c>
      <c r="E1739" t="s">
        <v>21</v>
      </c>
      <c r="F1739" t="s">
        <v>129</v>
      </c>
      <c r="G1739" t="s">
        <v>126</v>
      </c>
      <c r="H1739">
        <v>0</v>
      </c>
      <c r="I1739">
        <v>54492</v>
      </c>
      <c r="J1739">
        <v>-54492</v>
      </c>
      <c r="L1739">
        <v>33</v>
      </c>
      <c r="M1739">
        <v>519</v>
      </c>
      <c r="N1739" t="s">
        <v>192</v>
      </c>
      <c r="O1739" t="s">
        <v>193</v>
      </c>
    </row>
    <row r="1740" spans="2:15" x14ac:dyDescent="0.25">
      <c r="B1740" t="s">
        <v>15</v>
      </c>
      <c r="C1740" s="4">
        <v>44741</v>
      </c>
      <c r="D1740">
        <v>6</v>
      </c>
      <c r="E1740" t="s">
        <v>130</v>
      </c>
      <c r="F1740" t="s">
        <v>131</v>
      </c>
      <c r="G1740" t="s">
        <v>126</v>
      </c>
      <c r="H1740">
        <v>0</v>
      </c>
      <c r="I1740">
        <v>286800</v>
      </c>
      <c r="J1740">
        <v>-286800</v>
      </c>
      <c r="L1740">
        <v>33</v>
      </c>
      <c r="M1740">
        <v>519</v>
      </c>
      <c r="N1740" t="s">
        <v>192</v>
      </c>
      <c r="O1740" t="s">
        <v>193</v>
      </c>
    </row>
    <row r="1741" spans="2:15" x14ac:dyDescent="0.25">
      <c r="B1741" t="s">
        <v>15</v>
      </c>
      <c r="C1741" s="4">
        <v>44741</v>
      </c>
      <c r="D1741">
        <v>6</v>
      </c>
      <c r="E1741" t="s">
        <v>16</v>
      </c>
      <c r="F1741" t="s">
        <v>125</v>
      </c>
      <c r="G1741" t="s">
        <v>126</v>
      </c>
      <c r="H1741">
        <v>145775</v>
      </c>
      <c r="I1741">
        <v>0</v>
      </c>
      <c r="J1741">
        <v>145775</v>
      </c>
      <c r="L1741">
        <v>33</v>
      </c>
      <c r="M1741">
        <v>520</v>
      </c>
      <c r="N1741" t="s">
        <v>216</v>
      </c>
      <c r="O1741" t="s">
        <v>217</v>
      </c>
    </row>
    <row r="1742" spans="2:15" x14ac:dyDescent="0.25">
      <c r="B1742" t="s">
        <v>15</v>
      </c>
      <c r="C1742" s="4">
        <v>44741</v>
      </c>
      <c r="D1742">
        <v>6</v>
      </c>
      <c r="E1742" t="s">
        <v>21</v>
      </c>
      <c r="F1742" t="s">
        <v>129</v>
      </c>
      <c r="G1742" t="s">
        <v>126</v>
      </c>
      <c r="H1742">
        <v>0</v>
      </c>
      <c r="I1742">
        <v>23275</v>
      </c>
      <c r="J1742">
        <v>-23275</v>
      </c>
      <c r="L1742">
        <v>33</v>
      </c>
      <c r="M1742">
        <v>520</v>
      </c>
      <c r="N1742" t="s">
        <v>216</v>
      </c>
      <c r="O1742" t="s">
        <v>217</v>
      </c>
    </row>
    <row r="1743" spans="2:15" x14ac:dyDescent="0.25">
      <c r="B1743" t="s">
        <v>15</v>
      </c>
      <c r="C1743" s="4">
        <v>44741</v>
      </c>
      <c r="D1743">
        <v>6</v>
      </c>
      <c r="E1743" t="s">
        <v>130</v>
      </c>
      <c r="F1743" t="s">
        <v>131</v>
      </c>
      <c r="G1743" t="s">
        <v>126</v>
      </c>
      <c r="H1743">
        <v>0</v>
      </c>
      <c r="I1743">
        <v>122500</v>
      </c>
      <c r="J1743">
        <v>-122500</v>
      </c>
      <c r="L1743">
        <v>33</v>
      </c>
      <c r="M1743">
        <v>520</v>
      </c>
      <c r="N1743" t="s">
        <v>216</v>
      </c>
      <c r="O1743" t="s">
        <v>217</v>
      </c>
    </row>
    <row r="1744" spans="2:15" x14ac:dyDescent="0.25">
      <c r="B1744" t="s">
        <v>15</v>
      </c>
      <c r="C1744" s="4">
        <v>44742</v>
      </c>
      <c r="D1744">
        <v>6</v>
      </c>
      <c r="E1744" t="s">
        <v>16</v>
      </c>
      <c r="F1744" t="s">
        <v>125</v>
      </c>
      <c r="G1744" t="s">
        <v>126</v>
      </c>
      <c r="H1744">
        <v>467075</v>
      </c>
      <c r="I1744">
        <v>0</v>
      </c>
      <c r="J1744">
        <v>467075</v>
      </c>
      <c r="L1744">
        <v>33</v>
      </c>
      <c r="M1744">
        <v>521</v>
      </c>
      <c r="N1744" t="s">
        <v>224</v>
      </c>
      <c r="O1744" t="s">
        <v>225</v>
      </c>
    </row>
    <row r="1745" spans="2:15" x14ac:dyDescent="0.25">
      <c r="B1745" t="s">
        <v>15</v>
      </c>
      <c r="C1745" s="4">
        <v>44742</v>
      </c>
      <c r="D1745">
        <v>6</v>
      </c>
      <c r="E1745" t="s">
        <v>21</v>
      </c>
      <c r="F1745" t="s">
        <v>129</v>
      </c>
      <c r="G1745" t="s">
        <v>126</v>
      </c>
      <c r="H1745">
        <v>0</v>
      </c>
      <c r="I1745">
        <v>74575</v>
      </c>
      <c r="J1745">
        <v>-74575</v>
      </c>
      <c r="L1745">
        <v>33</v>
      </c>
      <c r="M1745">
        <v>521</v>
      </c>
      <c r="N1745" t="s">
        <v>224</v>
      </c>
      <c r="O1745" t="s">
        <v>225</v>
      </c>
    </row>
    <row r="1746" spans="2:15" x14ac:dyDescent="0.25">
      <c r="B1746" t="s">
        <v>15</v>
      </c>
      <c r="C1746" s="4">
        <v>44742</v>
      </c>
      <c r="D1746">
        <v>6</v>
      </c>
      <c r="E1746" t="s">
        <v>130</v>
      </c>
      <c r="F1746" t="s">
        <v>131</v>
      </c>
      <c r="G1746" t="s">
        <v>126</v>
      </c>
      <c r="H1746">
        <v>0</v>
      </c>
      <c r="I1746">
        <v>392500</v>
      </c>
      <c r="J1746">
        <v>-392500</v>
      </c>
      <c r="L1746">
        <v>33</v>
      </c>
      <c r="M1746">
        <v>521</v>
      </c>
      <c r="N1746" t="s">
        <v>224</v>
      </c>
      <c r="O1746" t="s">
        <v>225</v>
      </c>
    </row>
    <row r="1747" spans="2:15" x14ac:dyDescent="0.25">
      <c r="B1747" t="s">
        <v>15</v>
      </c>
      <c r="C1747" s="4">
        <v>44742</v>
      </c>
      <c r="D1747">
        <v>6</v>
      </c>
      <c r="E1747" t="s">
        <v>16</v>
      </c>
      <c r="F1747" t="s">
        <v>125</v>
      </c>
      <c r="G1747" t="s">
        <v>126</v>
      </c>
      <c r="H1747">
        <v>256754</v>
      </c>
      <c r="I1747">
        <v>0</v>
      </c>
      <c r="J1747">
        <v>256754</v>
      </c>
      <c r="L1747">
        <v>33</v>
      </c>
      <c r="M1747">
        <v>522</v>
      </c>
      <c r="N1747" t="s">
        <v>226</v>
      </c>
      <c r="O1747" t="s">
        <v>227</v>
      </c>
    </row>
    <row r="1748" spans="2:15" x14ac:dyDescent="0.25">
      <c r="B1748" t="s">
        <v>15</v>
      </c>
      <c r="C1748" s="4">
        <v>44742</v>
      </c>
      <c r="D1748">
        <v>6</v>
      </c>
      <c r="E1748" t="s">
        <v>21</v>
      </c>
      <c r="F1748" t="s">
        <v>129</v>
      </c>
      <c r="G1748" t="s">
        <v>126</v>
      </c>
      <c r="H1748">
        <v>0</v>
      </c>
      <c r="I1748">
        <v>40994</v>
      </c>
      <c r="J1748">
        <v>-40994</v>
      </c>
      <c r="L1748">
        <v>33</v>
      </c>
      <c r="M1748">
        <v>522</v>
      </c>
      <c r="N1748" t="s">
        <v>226</v>
      </c>
      <c r="O1748" t="s">
        <v>227</v>
      </c>
    </row>
    <row r="1749" spans="2:15" x14ac:dyDescent="0.25">
      <c r="B1749" t="s">
        <v>15</v>
      </c>
      <c r="C1749" s="4">
        <v>44742</v>
      </c>
      <c r="D1749">
        <v>6</v>
      </c>
      <c r="E1749" t="s">
        <v>130</v>
      </c>
      <c r="F1749" t="s">
        <v>131</v>
      </c>
      <c r="G1749" t="s">
        <v>126</v>
      </c>
      <c r="H1749">
        <v>0</v>
      </c>
      <c r="I1749">
        <v>215760</v>
      </c>
      <c r="J1749">
        <v>-215760</v>
      </c>
      <c r="L1749">
        <v>33</v>
      </c>
      <c r="M1749">
        <v>522</v>
      </c>
      <c r="N1749" t="s">
        <v>226</v>
      </c>
      <c r="O1749" t="s">
        <v>227</v>
      </c>
    </row>
    <row r="1750" spans="2:15" x14ac:dyDescent="0.25">
      <c r="B1750" t="s">
        <v>15</v>
      </c>
      <c r="C1750" s="4">
        <v>44742</v>
      </c>
      <c r="D1750">
        <v>6</v>
      </c>
      <c r="E1750" t="s">
        <v>16</v>
      </c>
      <c r="F1750" t="s">
        <v>125</v>
      </c>
      <c r="G1750" t="s">
        <v>126</v>
      </c>
      <c r="H1750">
        <v>425544</v>
      </c>
      <c r="I1750">
        <v>0</v>
      </c>
      <c r="J1750">
        <v>425544</v>
      </c>
      <c r="L1750">
        <v>33</v>
      </c>
      <c r="M1750">
        <v>523</v>
      </c>
      <c r="N1750" t="s">
        <v>228</v>
      </c>
      <c r="O1750" t="s">
        <v>229</v>
      </c>
    </row>
    <row r="1751" spans="2:15" x14ac:dyDescent="0.25">
      <c r="B1751" t="s">
        <v>15</v>
      </c>
      <c r="C1751" s="4">
        <v>44742</v>
      </c>
      <c r="D1751">
        <v>6</v>
      </c>
      <c r="E1751" t="s">
        <v>21</v>
      </c>
      <c r="F1751" t="s">
        <v>129</v>
      </c>
      <c r="G1751" t="s">
        <v>126</v>
      </c>
      <c r="H1751">
        <v>0</v>
      </c>
      <c r="I1751">
        <v>67944</v>
      </c>
      <c r="J1751">
        <v>-67944</v>
      </c>
      <c r="L1751">
        <v>33</v>
      </c>
      <c r="M1751">
        <v>523</v>
      </c>
      <c r="N1751" t="s">
        <v>228</v>
      </c>
      <c r="O1751" t="s">
        <v>229</v>
      </c>
    </row>
    <row r="1752" spans="2:15" x14ac:dyDescent="0.25">
      <c r="B1752" t="s">
        <v>15</v>
      </c>
      <c r="C1752" s="4">
        <v>44742</v>
      </c>
      <c r="D1752">
        <v>6</v>
      </c>
      <c r="E1752" t="s">
        <v>130</v>
      </c>
      <c r="F1752" t="s">
        <v>131</v>
      </c>
      <c r="G1752" t="s">
        <v>126</v>
      </c>
      <c r="H1752">
        <v>0</v>
      </c>
      <c r="I1752">
        <v>357600</v>
      </c>
      <c r="J1752">
        <v>-357600</v>
      </c>
      <c r="L1752">
        <v>33</v>
      </c>
      <c r="M1752">
        <v>523</v>
      </c>
      <c r="N1752" t="s">
        <v>228</v>
      </c>
      <c r="O1752" t="s">
        <v>229</v>
      </c>
    </row>
    <row r="1753" spans="2:15" x14ac:dyDescent="0.25">
      <c r="B1753" t="s">
        <v>15</v>
      </c>
      <c r="C1753" s="4">
        <v>44747</v>
      </c>
      <c r="D1753">
        <v>7</v>
      </c>
      <c r="E1753" t="s">
        <v>16</v>
      </c>
      <c r="F1753" t="s">
        <v>125</v>
      </c>
      <c r="G1753" t="s">
        <v>126</v>
      </c>
      <c r="H1753">
        <v>278698</v>
      </c>
      <c r="I1753">
        <v>0</v>
      </c>
      <c r="J1753">
        <v>278698</v>
      </c>
      <c r="L1753">
        <v>33</v>
      </c>
      <c r="M1753">
        <v>524</v>
      </c>
      <c r="N1753" t="s">
        <v>140</v>
      </c>
      <c r="O1753" t="s">
        <v>141</v>
      </c>
    </row>
    <row r="1754" spans="2:15" x14ac:dyDescent="0.25">
      <c r="B1754" t="s">
        <v>15</v>
      </c>
      <c r="C1754" s="4">
        <v>44747</v>
      </c>
      <c r="D1754">
        <v>7</v>
      </c>
      <c r="E1754" t="s">
        <v>21</v>
      </c>
      <c r="F1754" t="s">
        <v>129</v>
      </c>
      <c r="G1754" t="s">
        <v>126</v>
      </c>
      <c r="H1754">
        <v>0</v>
      </c>
      <c r="I1754">
        <v>44498</v>
      </c>
      <c r="J1754">
        <v>-44498</v>
      </c>
      <c r="L1754">
        <v>33</v>
      </c>
      <c r="M1754">
        <v>524</v>
      </c>
      <c r="N1754" t="s">
        <v>140</v>
      </c>
      <c r="O1754" t="s">
        <v>141</v>
      </c>
    </row>
    <row r="1755" spans="2:15" x14ac:dyDescent="0.25">
      <c r="B1755" t="s">
        <v>15</v>
      </c>
      <c r="C1755" s="4">
        <v>44747</v>
      </c>
      <c r="D1755">
        <v>7</v>
      </c>
      <c r="E1755" t="s">
        <v>130</v>
      </c>
      <c r="F1755" t="s">
        <v>131</v>
      </c>
      <c r="G1755" t="s">
        <v>126</v>
      </c>
      <c r="H1755">
        <v>0</v>
      </c>
      <c r="I1755">
        <v>234200</v>
      </c>
      <c r="J1755">
        <v>-234200</v>
      </c>
      <c r="L1755">
        <v>33</v>
      </c>
      <c r="M1755">
        <v>524</v>
      </c>
      <c r="N1755" t="s">
        <v>140</v>
      </c>
      <c r="O1755" t="s">
        <v>141</v>
      </c>
    </row>
    <row r="1756" spans="2:15" x14ac:dyDescent="0.25">
      <c r="B1756" t="s">
        <v>15</v>
      </c>
      <c r="C1756" s="4">
        <v>44748</v>
      </c>
      <c r="D1756">
        <v>7</v>
      </c>
      <c r="E1756" t="s">
        <v>16</v>
      </c>
      <c r="F1756" t="s">
        <v>125</v>
      </c>
      <c r="G1756" t="s">
        <v>126</v>
      </c>
      <c r="H1756">
        <v>198849</v>
      </c>
      <c r="I1756">
        <v>0</v>
      </c>
      <c r="J1756">
        <v>198849</v>
      </c>
      <c r="L1756">
        <v>33</v>
      </c>
      <c r="M1756">
        <v>525</v>
      </c>
      <c r="N1756" t="s">
        <v>156</v>
      </c>
      <c r="O1756" t="s">
        <v>157</v>
      </c>
    </row>
    <row r="1757" spans="2:15" x14ac:dyDescent="0.25">
      <c r="B1757" t="s">
        <v>15</v>
      </c>
      <c r="C1757" s="4">
        <v>44748</v>
      </c>
      <c r="D1757">
        <v>7</v>
      </c>
      <c r="E1757" t="s">
        <v>21</v>
      </c>
      <c r="F1757" t="s">
        <v>129</v>
      </c>
      <c r="G1757" t="s">
        <v>126</v>
      </c>
      <c r="H1757">
        <v>0</v>
      </c>
      <c r="I1757">
        <v>31749</v>
      </c>
      <c r="J1757">
        <v>-31749</v>
      </c>
      <c r="L1757">
        <v>33</v>
      </c>
      <c r="M1757">
        <v>525</v>
      </c>
      <c r="N1757" t="s">
        <v>156</v>
      </c>
      <c r="O1757" t="s">
        <v>157</v>
      </c>
    </row>
    <row r="1758" spans="2:15" x14ac:dyDescent="0.25">
      <c r="B1758" t="s">
        <v>15</v>
      </c>
      <c r="C1758" s="4">
        <v>44748</v>
      </c>
      <c r="D1758">
        <v>7</v>
      </c>
      <c r="E1758" t="s">
        <v>130</v>
      </c>
      <c r="F1758" t="s">
        <v>131</v>
      </c>
      <c r="G1758" t="s">
        <v>126</v>
      </c>
      <c r="H1758">
        <v>0</v>
      </c>
      <c r="I1758">
        <v>167100</v>
      </c>
      <c r="J1758">
        <v>-167100</v>
      </c>
      <c r="L1758">
        <v>33</v>
      </c>
      <c r="M1758">
        <v>525</v>
      </c>
      <c r="N1758" t="s">
        <v>156</v>
      </c>
      <c r="O1758" t="s">
        <v>157</v>
      </c>
    </row>
    <row r="1759" spans="2:15" x14ac:dyDescent="0.25">
      <c r="B1759" t="s">
        <v>15</v>
      </c>
      <c r="C1759" s="4">
        <v>44754</v>
      </c>
      <c r="D1759">
        <v>7</v>
      </c>
      <c r="E1759" t="s">
        <v>16</v>
      </c>
      <c r="F1759" t="s">
        <v>125</v>
      </c>
      <c r="G1759" t="s">
        <v>126</v>
      </c>
      <c r="H1759">
        <v>619217</v>
      </c>
      <c r="I1759">
        <v>0</v>
      </c>
      <c r="J1759">
        <v>619217</v>
      </c>
      <c r="L1759">
        <v>33</v>
      </c>
      <c r="M1759">
        <v>526</v>
      </c>
      <c r="N1759" t="s">
        <v>216</v>
      </c>
      <c r="O1759" t="s">
        <v>217</v>
      </c>
    </row>
    <row r="1760" spans="2:15" x14ac:dyDescent="0.25">
      <c r="B1760" t="s">
        <v>15</v>
      </c>
      <c r="C1760" s="4">
        <v>44754</v>
      </c>
      <c r="D1760">
        <v>7</v>
      </c>
      <c r="E1760" t="s">
        <v>21</v>
      </c>
      <c r="F1760" t="s">
        <v>129</v>
      </c>
      <c r="G1760" t="s">
        <v>126</v>
      </c>
      <c r="H1760">
        <v>0</v>
      </c>
      <c r="I1760">
        <v>98867</v>
      </c>
      <c r="J1760">
        <v>-98867</v>
      </c>
      <c r="L1760">
        <v>33</v>
      </c>
      <c r="M1760">
        <v>526</v>
      </c>
      <c r="N1760" t="s">
        <v>216</v>
      </c>
      <c r="O1760" t="s">
        <v>217</v>
      </c>
    </row>
    <row r="1761" spans="2:15" x14ac:dyDescent="0.25">
      <c r="B1761" t="s">
        <v>15</v>
      </c>
      <c r="C1761" s="4">
        <v>44754</v>
      </c>
      <c r="D1761">
        <v>7</v>
      </c>
      <c r="E1761" t="s">
        <v>130</v>
      </c>
      <c r="F1761" t="s">
        <v>131</v>
      </c>
      <c r="G1761" t="s">
        <v>126</v>
      </c>
      <c r="H1761">
        <v>0</v>
      </c>
      <c r="I1761">
        <v>520350</v>
      </c>
      <c r="J1761">
        <v>-520350</v>
      </c>
      <c r="L1761">
        <v>33</v>
      </c>
      <c r="M1761">
        <v>526</v>
      </c>
      <c r="N1761" t="s">
        <v>216</v>
      </c>
      <c r="O1761" t="s">
        <v>217</v>
      </c>
    </row>
    <row r="1762" spans="2:15" x14ac:dyDescent="0.25">
      <c r="B1762" t="s">
        <v>15</v>
      </c>
      <c r="C1762" s="4">
        <v>44755</v>
      </c>
      <c r="D1762">
        <v>7</v>
      </c>
      <c r="E1762" t="s">
        <v>16</v>
      </c>
      <c r="F1762" t="s">
        <v>125</v>
      </c>
      <c r="G1762" t="s">
        <v>126</v>
      </c>
      <c r="H1762">
        <v>685690</v>
      </c>
      <c r="I1762">
        <v>0</v>
      </c>
      <c r="J1762">
        <v>685690</v>
      </c>
      <c r="L1762">
        <v>33</v>
      </c>
      <c r="M1762">
        <v>527</v>
      </c>
      <c r="N1762" t="s">
        <v>216</v>
      </c>
      <c r="O1762" t="s">
        <v>217</v>
      </c>
    </row>
    <row r="1763" spans="2:15" x14ac:dyDescent="0.25">
      <c r="B1763" t="s">
        <v>15</v>
      </c>
      <c r="C1763" s="4">
        <v>44755</v>
      </c>
      <c r="D1763">
        <v>7</v>
      </c>
      <c r="E1763" t="s">
        <v>21</v>
      </c>
      <c r="F1763" t="s">
        <v>129</v>
      </c>
      <c r="G1763" t="s">
        <v>126</v>
      </c>
      <c r="H1763">
        <v>0</v>
      </c>
      <c r="I1763">
        <v>109480</v>
      </c>
      <c r="J1763">
        <v>-109480</v>
      </c>
      <c r="L1763">
        <v>33</v>
      </c>
      <c r="M1763">
        <v>527</v>
      </c>
      <c r="N1763" t="s">
        <v>216</v>
      </c>
      <c r="O1763" t="s">
        <v>217</v>
      </c>
    </row>
    <row r="1764" spans="2:15" x14ac:dyDescent="0.25">
      <c r="B1764" t="s">
        <v>15</v>
      </c>
      <c r="C1764" s="4">
        <v>44755</v>
      </c>
      <c r="D1764">
        <v>7</v>
      </c>
      <c r="E1764" t="s">
        <v>130</v>
      </c>
      <c r="F1764" t="s">
        <v>131</v>
      </c>
      <c r="G1764" t="s">
        <v>126</v>
      </c>
      <c r="H1764">
        <v>0</v>
      </c>
      <c r="I1764">
        <v>576210</v>
      </c>
      <c r="J1764">
        <v>-576210</v>
      </c>
      <c r="L1764">
        <v>33</v>
      </c>
      <c r="M1764">
        <v>527</v>
      </c>
      <c r="N1764" t="s">
        <v>216</v>
      </c>
      <c r="O1764" t="s">
        <v>217</v>
      </c>
    </row>
    <row r="1765" spans="2:15" x14ac:dyDescent="0.25">
      <c r="B1765" t="s">
        <v>15</v>
      </c>
      <c r="C1765" s="4">
        <v>44769</v>
      </c>
      <c r="D1765">
        <v>7</v>
      </c>
      <c r="E1765" t="s">
        <v>16</v>
      </c>
      <c r="F1765" t="s">
        <v>125</v>
      </c>
      <c r="G1765" t="s">
        <v>126</v>
      </c>
      <c r="H1765">
        <v>994923</v>
      </c>
      <c r="I1765">
        <v>0</v>
      </c>
      <c r="J1765">
        <v>994923</v>
      </c>
      <c r="L1765">
        <v>33</v>
      </c>
      <c r="M1765">
        <v>528</v>
      </c>
      <c r="N1765" t="s">
        <v>230</v>
      </c>
      <c r="O1765" t="s">
        <v>231</v>
      </c>
    </row>
    <row r="1766" spans="2:15" x14ac:dyDescent="0.25">
      <c r="B1766" t="s">
        <v>15</v>
      </c>
      <c r="C1766" s="4">
        <v>44769</v>
      </c>
      <c r="D1766">
        <v>7</v>
      </c>
      <c r="E1766" t="s">
        <v>21</v>
      </c>
      <c r="F1766" t="s">
        <v>129</v>
      </c>
      <c r="G1766" t="s">
        <v>126</v>
      </c>
      <c r="H1766">
        <v>0</v>
      </c>
      <c r="I1766">
        <v>158853</v>
      </c>
      <c r="J1766">
        <v>-158853</v>
      </c>
      <c r="L1766">
        <v>33</v>
      </c>
      <c r="M1766">
        <v>528</v>
      </c>
      <c r="N1766" t="s">
        <v>230</v>
      </c>
      <c r="O1766" t="s">
        <v>231</v>
      </c>
    </row>
    <row r="1767" spans="2:15" x14ac:dyDescent="0.25">
      <c r="B1767" t="s">
        <v>15</v>
      </c>
      <c r="C1767" s="4">
        <v>44769</v>
      </c>
      <c r="D1767">
        <v>7</v>
      </c>
      <c r="E1767" t="s">
        <v>130</v>
      </c>
      <c r="F1767" t="s">
        <v>131</v>
      </c>
      <c r="G1767" t="s">
        <v>126</v>
      </c>
      <c r="H1767">
        <v>0</v>
      </c>
      <c r="I1767">
        <v>836070</v>
      </c>
      <c r="J1767">
        <v>-836070</v>
      </c>
      <c r="L1767">
        <v>33</v>
      </c>
      <c r="M1767">
        <v>528</v>
      </c>
      <c r="N1767" t="s">
        <v>230</v>
      </c>
      <c r="O1767" t="s">
        <v>231</v>
      </c>
    </row>
    <row r="1768" spans="2:15" x14ac:dyDescent="0.25">
      <c r="B1768" t="s">
        <v>15</v>
      </c>
      <c r="C1768" s="4">
        <v>44770</v>
      </c>
      <c r="D1768">
        <v>7</v>
      </c>
      <c r="E1768" t="s">
        <v>16</v>
      </c>
      <c r="F1768" t="s">
        <v>125</v>
      </c>
      <c r="G1768" t="s">
        <v>126</v>
      </c>
      <c r="H1768">
        <v>297738</v>
      </c>
      <c r="I1768">
        <v>0</v>
      </c>
      <c r="J1768">
        <v>297738</v>
      </c>
      <c r="L1768">
        <v>33</v>
      </c>
      <c r="M1768">
        <v>529</v>
      </c>
      <c r="N1768" t="s">
        <v>232</v>
      </c>
      <c r="O1768" t="s">
        <v>233</v>
      </c>
    </row>
    <row r="1769" spans="2:15" x14ac:dyDescent="0.25">
      <c r="B1769" t="s">
        <v>15</v>
      </c>
      <c r="C1769" s="4">
        <v>44770</v>
      </c>
      <c r="D1769">
        <v>7</v>
      </c>
      <c r="E1769" t="s">
        <v>21</v>
      </c>
      <c r="F1769" t="s">
        <v>129</v>
      </c>
      <c r="G1769" t="s">
        <v>126</v>
      </c>
      <c r="H1769">
        <v>0</v>
      </c>
      <c r="I1769">
        <v>47538</v>
      </c>
      <c r="J1769">
        <v>-47538</v>
      </c>
      <c r="L1769">
        <v>33</v>
      </c>
      <c r="M1769">
        <v>529</v>
      </c>
      <c r="N1769" t="s">
        <v>232</v>
      </c>
      <c r="O1769" t="s">
        <v>233</v>
      </c>
    </row>
    <row r="1770" spans="2:15" x14ac:dyDescent="0.25">
      <c r="B1770" t="s">
        <v>15</v>
      </c>
      <c r="C1770" s="4">
        <v>44770</v>
      </c>
      <c r="D1770">
        <v>7</v>
      </c>
      <c r="E1770" t="s">
        <v>130</v>
      </c>
      <c r="F1770" t="s">
        <v>131</v>
      </c>
      <c r="G1770" t="s">
        <v>126</v>
      </c>
      <c r="H1770">
        <v>0</v>
      </c>
      <c r="I1770">
        <v>250200</v>
      </c>
      <c r="J1770">
        <v>-250200</v>
      </c>
      <c r="L1770">
        <v>33</v>
      </c>
      <c r="M1770">
        <v>529</v>
      </c>
      <c r="N1770" t="s">
        <v>232</v>
      </c>
      <c r="O1770" t="s">
        <v>233</v>
      </c>
    </row>
    <row r="1771" spans="2:15" x14ac:dyDescent="0.25">
      <c r="B1771" t="s">
        <v>15</v>
      </c>
      <c r="C1771" s="4">
        <v>44770</v>
      </c>
      <c r="D1771">
        <v>7</v>
      </c>
      <c r="E1771" t="s">
        <v>16</v>
      </c>
      <c r="F1771" t="s">
        <v>125</v>
      </c>
      <c r="G1771" t="s">
        <v>126</v>
      </c>
      <c r="H1771">
        <v>199849</v>
      </c>
      <c r="I1771">
        <v>0</v>
      </c>
      <c r="J1771">
        <v>199849</v>
      </c>
      <c r="L1771">
        <v>33</v>
      </c>
      <c r="M1771">
        <v>530</v>
      </c>
      <c r="N1771" t="s">
        <v>234</v>
      </c>
      <c r="O1771" t="s">
        <v>235</v>
      </c>
    </row>
    <row r="1772" spans="2:15" x14ac:dyDescent="0.25">
      <c r="B1772" t="s">
        <v>15</v>
      </c>
      <c r="C1772" s="4">
        <v>44770</v>
      </c>
      <c r="D1772">
        <v>7</v>
      </c>
      <c r="E1772" t="s">
        <v>21</v>
      </c>
      <c r="F1772" t="s">
        <v>129</v>
      </c>
      <c r="G1772" t="s">
        <v>126</v>
      </c>
      <c r="H1772">
        <v>0</v>
      </c>
      <c r="I1772">
        <v>31909</v>
      </c>
      <c r="J1772">
        <v>-31909</v>
      </c>
      <c r="L1772">
        <v>33</v>
      </c>
      <c r="M1772">
        <v>530</v>
      </c>
      <c r="N1772" t="s">
        <v>234</v>
      </c>
      <c r="O1772" t="s">
        <v>235</v>
      </c>
    </row>
    <row r="1773" spans="2:15" x14ac:dyDescent="0.25">
      <c r="B1773" t="s">
        <v>15</v>
      </c>
      <c r="C1773" s="4">
        <v>44770</v>
      </c>
      <c r="D1773">
        <v>7</v>
      </c>
      <c r="E1773" t="s">
        <v>130</v>
      </c>
      <c r="F1773" t="s">
        <v>131</v>
      </c>
      <c r="G1773" t="s">
        <v>126</v>
      </c>
      <c r="H1773">
        <v>0</v>
      </c>
      <c r="I1773">
        <v>167940</v>
      </c>
      <c r="J1773">
        <v>-167940</v>
      </c>
      <c r="L1773">
        <v>33</v>
      </c>
      <c r="M1773">
        <v>530</v>
      </c>
      <c r="N1773" t="s">
        <v>234</v>
      </c>
      <c r="O1773" t="s">
        <v>235</v>
      </c>
    </row>
    <row r="1774" spans="2:15" x14ac:dyDescent="0.25">
      <c r="B1774" t="s">
        <v>15</v>
      </c>
      <c r="C1774" s="4">
        <v>44771</v>
      </c>
      <c r="D1774">
        <v>7</v>
      </c>
      <c r="E1774" t="s">
        <v>16</v>
      </c>
      <c r="F1774" t="s">
        <v>125</v>
      </c>
      <c r="G1774" t="s">
        <v>126</v>
      </c>
      <c r="H1774">
        <v>3552150</v>
      </c>
      <c r="I1774">
        <v>0</v>
      </c>
      <c r="J1774">
        <v>3552150</v>
      </c>
      <c r="L1774">
        <v>33</v>
      </c>
      <c r="M1774">
        <v>532</v>
      </c>
      <c r="N1774" t="s">
        <v>236</v>
      </c>
      <c r="O1774" t="s">
        <v>237</v>
      </c>
    </row>
    <row r="1775" spans="2:15" x14ac:dyDescent="0.25">
      <c r="B1775" t="s">
        <v>15</v>
      </c>
      <c r="C1775" s="4">
        <v>44771</v>
      </c>
      <c r="D1775">
        <v>7</v>
      </c>
      <c r="E1775" t="s">
        <v>21</v>
      </c>
      <c r="F1775" t="s">
        <v>129</v>
      </c>
      <c r="G1775" t="s">
        <v>126</v>
      </c>
      <c r="H1775">
        <v>0</v>
      </c>
      <c r="I1775">
        <v>567150</v>
      </c>
      <c r="J1775">
        <v>-567150</v>
      </c>
      <c r="L1775">
        <v>33</v>
      </c>
      <c r="M1775">
        <v>532</v>
      </c>
      <c r="N1775" t="s">
        <v>236</v>
      </c>
      <c r="O1775" t="s">
        <v>237</v>
      </c>
    </row>
    <row r="1776" spans="2:15" x14ac:dyDescent="0.25">
      <c r="B1776" t="s">
        <v>15</v>
      </c>
      <c r="C1776" s="4">
        <v>44771</v>
      </c>
      <c r="D1776">
        <v>7</v>
      </c>
      <c r="E1776" t="s">
        <v>130</v>
      </c>
      <c r="F1776" t="s">
        <v>131</v>
      </c>
      <c r="G1776" t="s">
        <v>126</v>
      </c>
      <c r="H1776">
        <v>0</v>
      </c>
      <c r="I1776">
        <v>2985000</v>
      </c>
      <c r="J1776">
        <v>-2985000</v>
      </c>
      <c r="L1776">
        <v>33</v>
      </c>
      <c r="M1776">
        <v>532</v>
      </c>
      <c r="N1776" t="s">
        <v>236</v>
      </c>
      <c r="O1776" t="s">
        <v>237</v>
      </c>
    </row>
    <row r="1777" spans="2:15" x14ac:dyDescent="0.25">
      <c r="B1777" t="s">
        <v>15</v>
      </c>
      <c r="C1777" s="4">
        <v>44755</v>
      </c>
      <c r="D1777">
        <v>7</v>
      </c>
      <c r="E1777" t="s">
        <v>16</v>
      </c>
      <c r="F1777" t="s">
        <v>125</v>
      </c>
      <c r="G1777" t="s">
        <v>126</v>
      </c>
      <c r="H1777">
        <v>0</v>
      </c>
      <c r="I1777">
        <v>619217</v>
      </c>
      <c r="J1777">
        <v>-619217</v>
      </c>
      <c r="L1777">
        <v>61</v>
      </c>
      <c r="M1777">
        <v>22</v>
      </c>
      <c r="N1777" t="s">
        <v>216</v>
      </c>
      <c r="O1777" t="s">
        <v>217</v>
      </c>
    </row>
    <row r="1778" spans="2:15" x14ac:dyDescent="0.25">
      <c r="B1778" t="s">
        <v>15</v>
      </c>
      <c r="C1778" s="4">
        <v>44755</v>
      </c>
      <c r="D1778">
        <v>7</v>
      </c>
      <c r="E1778" t="s">
        <v>21</v>
      </c>
      <c r="F1778" t="s">
        <v>129</v>
      </c>
      <c r="G1778" t="s">
        <v>126</v>
      </c>
      <c r="H1778">
        <v>98867</v>
      </c>
      <c r="I1778">
        <v>0</v>
      </c>
      <c r="J1778">
        <v>98867</v>
      </c>
      <c r="L1778">
        <v>61</v>
      </c>
      <c r="M1778">
        <v>22</v>
      </c>
      <c r="N1778" t="s">
        <v>216</v>
      </c>
      <c r="O1778" t="s">
        <v>217</v>
      </c>
    </row>
    <row r="1779" spans="2:15" x14ac:dyDescent="0.25">
      <c r="B1779" t="s">
        <v>15</v>
      </c>
      <c r="C1779" s="4">
        <v>44755</v>
      </c>
      <c r="D1779">
        <v>7</v>
      </c>
      <c r="E1779" t="s">
        <v>130</v>
      </c>
      <c r="F1779" t="s">
        <v>131</v>
      </c>
      <c r="G1779" t="s">
        <v>126</v>
      </c>
      <c r="H1779">
        <v>520350</v>
      </c>
      <c r="I1779">
        <v>0</v>
      </c>
      <c r="J1779">
        <v>520350</v>
      </c>
      <c r="L1779">
        <v>61</v>
      </c>
      <c r="M1779">
        <v>22</v>
      </c>
      <c r="N1779" t="s">
        <v>216</v>
      </c>
      <c r="O1779" t="s">
        <v>217</v>
      </c>
    </row>
    <row r="1780" spans="2:15" x14ac:dyDescent="0.25">
      <c r="B1780" t="s">
        <v>15</v>
      </c>
      <c r="C1780" s="4">
        <v>44774</v>
      </c>
      <c r="D1780">
        <v>8</v>
      </c>
      <c r="E1780" t="s">
        <v>16</v>
      </c>
      <c r="F1780" t="s">
        <v>125</v>
      </c>
      <c r="G1780" t="s">
        <v>126</v>
      </c>
      <c r="H1780">
        <v>1130500</v>
      </c>
      <c r="I1780">
        <v>0</v>
      </c>
      <c r="J1780">
        <v>1130500</v>
      </c>
      <c r="L1780">
        <v>33</v>
      </c>
      <c r="M1780">
        <v>533</v>
      </c>
      <c r="N1780" t="s">
        <v>142</v>
      </c>
      <c r="O1780" t="s">
        <v>143</v>
      </c>
    </row>
    <row r="1781" spans="2:15" x14ac:dyDescent="0.25">
      <c r="B1781" t="s">
        <v>15</v>
      </c>
      <c r="C1781" s="4">
        <v>44774</v>
      </c>
      <c r="D1781">
        <v>8</v>
      </c>
      <c r="E1781" t="s">
        <v>21</v>
      </c>
      <c r="F1781" t="s">
        <v>129</v>
      </c>
      <c r="G1781" t="s">
        <v>126</v>
      </c>
      <c r="H1781">
        <v>0</v>
      </c>
      <c r="I1781">
        <v>180500</v>
      </c>
      <c r="J1781">
        <v>-180500</v>
      </c>
      <c r="L1781">
        <v>33</v>
      </c>
      <c r="M1781">
        <v>533</v>
      </c>
      <c r="N1781" t="s">
        <v>142</v>
      </c>
      <c r="O1781" t="s">
        <v>143</v>
      </c>
    </row>
    <row r="1782" spans="2:15" x14ac:dyDescent="0.25">
      <c r="B1782" t="s">
        <v>15</v>
      </c>
      <c r="C1782" s="4">
        <v>44774</v>
      </c>
      <c r="D1782">
        <v>8</v>
      </c>
      <c r="E1782" t="s">
        <v>130</v>
      </c>
      <c r="F1782" t="s">
        <v>131</v>
      </c>
      <c r="G1782" t="s">
        <v>126</v>
      </c>
      <c r="H1782">
        <v>0</v>
      </c>
      <c r="I1782">
        <v>950000</v>
      </c>
      <c r="J1782">
        <v>-950000</v>
      </c>
      <c r="L1782">
        <v>33</v>
      </c>
      <c r="M1782">
        <v>533</v>
      </c>
      <c r="N1782" t="s">
        <v>142</v>
      </c>
      <c r="O1782" t="s">
        <v>143</v>
      </c>
    </row>
    <row r="1783" spans="2:15" x14ac:dyDescent="0.25">
      <c r="B1783" t="s">
        <v>15</v>
      </c>
      <c r="C1783" s="4">
        <v>44775</v>
      </c>
      <c r="D1783">
        <v>8</v>
      </c>
      <c r="E1783" t="s">
        <v>16</v>
      </c>
      <c r="F1783" t="s">
        <v>125</v>
      </c>
      <c r="G1783" t="s">
        <v>126</v>
      </c>
      <c r="H1783">
        <v>113050</v>
      </c>
      <c r="I1783">
        <v>0</v>
      </c>
      <c r="J1783">
        <v>113050</v>
      </c>
      <c r="L1783">
        <v>33</v>
      </c>
      <c r="M1783">
        <v>534</v>
      </c>
      <c r="N1783" t="s">
        <v>142</v>
      </c>
      <c r="O1783" t="s">
        <v>143</v>
      </c>
    </row>
    <row r="1784" spans="2:15" x14ac:dyDescent="0.25">
      <c r="B1784" t="s">
        <v>15</v>
      </c>
      <c r="C1784" s="4">
        <v>44775</v>
      </c>
      <c r="D1784">
        <v>8</v>
      </c>
      <c r="E1784" t="s">
        <v>21</v>
      </c>
      <c r="F1784" t="s">
        <v>129</v>
      </c>
      <c r="G1784" t="s">
        <v>126</v>
      </c>
      <c r="H1784">
        <v>0</v>
      </c>
      <c r="I1784">
        <v>18050</v>
      </c>
      <c r="J1784">
        <v>-18050</v>
      </c>
      <c r="L1784">
        <v>33</v>
      </c>
      <c r="M1784">
        <v>534</v>
      </c>
      <c r="N1784" t="s">
        <v>142</v>
      </c>
      <c r="O1784" t="s">
        <v>143</v>
      </c>
    </row>
    <row r="1785" spans="2:15" x14ac:dyDescent="0.25">
      <c r="B1785" t="s">
        <v>15</v>
      </c>
      <c r="C1785" s="4">
        <v>44775</v>
      </c>
      <c r="D1785">
        <v>8</v>
      </c>
      <c r="E1785" t="s">
        <v>130</v>
      </c>
      <c r="F1785" t="s">
        <v>131</v>
      </c>
      <c r="G1785" t="s">
        <v>126</v>
      </c>
      <c r="H1785">
        <v>0</v>
      </c>
      <c r="I1785">
        <v>95000</v>
      </c>
      <c r="J1785">
        <v>-95000</v>
      </c>
      <c r="L1785">
        <v>33</v>
      </c>
      <c r="M1785">
        <v>534</v>
      </c>
      <c r="N1785" t="s">
        <v>142</v>
      </c>
      <c r="O1785" t="s">
        <v>143</v>
      </c>
    </row>
    <row r="1786" spans="2:15" x14ac:dyDescent="0.25">
      <c r="B1786" t="s">
        <v>15</v>
      </c>
      <c r="C1786" s="4">
        <v>44776</v>
      </c>
      <c r="D1786">
        <v>8</v>
      </c>
      <c r="E1786" t="s">
        <v>16</v>
      </c>
      <c r="F1786" t="s">
        <v>125</v>
      </c>
      <c r="G1786" t="s">
        <v>126</v>
      </c>
      <c r="H1786">
        <v>711144</v>
      </c>
      <c r="I1786">
        <v>0</v>
      </c>
      <c r="J1786">
        <v>711144</v>
      </c>
      <c r="L1786">
        <v>33</v>
      </c>
      <c r="M1786">
        <v>535</v>
      </c>
      <c r="N1786" t="s">
        <v>180</v>
      </c>
      <c r="O1786" t="s">
        <v>181</v>
      </c>
    </row>
    <row r="1787" spans="2:15" x14ac:dyDescent="0.25">
      <c r="B1787" t="s">
        <v>15</v>
      </c>
      <c r="C1787" s="4">
        <v>44776</v>
      </c>
      <c r="D1787">
        <v>8</v>
      </c>
      <c r="E1787" t="s">
        <v>21</v>
      </c>
      <c r="F1787" t="s">
        <v>129</v>
      </c>
      <c r="G1787" t="s">
        <v>126</v>
      </c>
      <c r="H1787">
        <v>0</v>
      </c>
      <c r="I1787">
        <v>113544</v>
      </c>
      <c r="J1787">
        <v>-113544</v>
      </c>
      <c r="L1787">
        <v>33</v>
      </c>
      <c r="M1787">
        <v>535</v>
      </c>
      <c r="N1787" t="s">
        <v>180</v>
      </c>
      <c r="O1787" t="s">
        <v>181</v>
      </c>
    </row>
    <row r="1788" spans="2:15" x14ac:dyDescent="0.25">
      <c r="B1788" t="s">
        <v>15</v>
      </c>
      <c r="C1788" s="4">
        <v>44776</v>
      </c>
      <c r="D1788">
        <v>8</v>
      </c>
      <c r="E1788" t="s">
        <v>130</v>
      </c>
      <c r="F1788" t="s">
        <v>131</v>
      </c>
      <c r="G1788" t="s">
        <v>126</v>
      </c>
      <c r="H1788">
        <v>0</v>
      </c>
      <c r="I1788">
        <v>597600</v>
      </c>
      <c r="J1788">
        <v>-597600</v>
      </c>
      <c r="L1788">
        <v>33</v>
      </c>
      <c r="M1788">
        <v>535</v>
      </c>
      <c r="N1788" t="s">
        <v>180</v>
      </c>
      <c r="O1788" t="s">
        <v>181</v>
      </c>
    </row>
    <row r="1789" spans="2:15" x14ac:dyDescent="0.25">
      <c r="B1789" t="s">
        <v>15</v>
      </c>
      <c r="C1789" s="4">
        <v>44777</v>
      </c>
      <c r="D1789">
        <v>8</v>
      </c>
      <c r="E1789" t="s">
        <v>16</v>
      </c>
      <c r="F1789" t="s">
        <v>125</v>
      </c>
      <c r="G1789" t="s">
        <v>126</v>
      </c>
      <c r="H1789">
        <v>138516</v>
      </c>
      <c r="I1789">
        <v>0</v>
      </c>
      <c r="J1789">
        <v>138516</v>
      </c>
      <c r="L1789">
        <v>33</v>
      </c>
      <c r="M1789">
        <v>536</v>
      </c>
      <c r="N1789" t="s">
        <v>140</v>
      </c>
      <c r="O1789" t="s">
        <v>141</v>
      </c>
    </row>
    <row r="1790" spans="2:15" x14ac:dyDescent="0.25">
      <c r="B1790" t="s">
        <v>15</v>
      </c>
      <c r="C1790" s="4">
        <v>44777</v>
      </c>
      <c r="D1790">
        <v>8</v>
      </c>
      <c r="E1790" t="s">
        <v>21</v>
      </c>
      <c r="F1790" t="s">
        <v>129</v>
      </c>
      <c r="G1790" t="s">
        <v>126</v>
      </c>
      <c r="H1790">
        <v>0</v>
      </c>
      <c r="I1790">
        <v>22116</v>
      </c>
      <c r="J1790">
        <v>-22116</v>
      </c>
      <c r="L1790">
        <v>33</v>
      </c>
      <c r="M1790">
        <v>536</v>
      </c>
      <c r="N1790" t="s">
        <v>140</v>
      </c>
      <c r="O1790" t="s">
        <v>141</v>
      </c>
    </row>
    <row r="1791" spans="2:15" x14ac:dyDescent="0.25">
      <c r="B1791" t="s">
        <v>15</v>
      </c>
      <c r="C1791" s="4">
        <v>44777</v>
      </c>
      <c r="D1791">
        <v>8</v>
      </c>
      <c r="E1791" t="s">
        <v>130</v>
      </c>
      <c r="F1791" t="s">
        <v>131</v>
      </c>
      <c r="G1791" t="s">
        <v>126</v>
      </c>
      <c r="H1791">
        <v>0</v>
      </c>
      <c r="I1791">
        <v>116400</v>
      </c>
      <c r="J1791">
        <v>-116400</v>
      </c>
      <c r="L1791">
        <v>33</v>
      </c>
      <c r="M1791">
        <v>536</v>
      </c>
      <c r="N1791" t="s">
        <v>140</v>
      </c>
      <c r="O1791" t="s">
        <v>141</v>
      </c>
    </row>
    <row r="1792" spans="2:15" x14ac:dyDescent="0.25">
      <c r="B1792" t="s">
        <v>15</v>
      </c>
      <c r="C1792" s="4">
        <v>44778</v>
      </c>
      <c r="D1792">
        <v>8</v>
      </c>
      <c r="E1792" t="s">
        <v>16</v>
      </c>
      <c r="F1792" t="s">
        <v>125</v>
      </c>
      <c r="G1792" t="s">
        <v>126</v>
      </c>
      <c r="H1792">
        <v>133232</v>
      </c>
      <c r="I1792">
        <v>0</v>
      </c>
      <c r="J1792">
        <v>133232</v>
      </c>
      <c r="L1792">
        <v>33</v>
      </c>
      <c r="M1792">
        <v>538</v>
      </c>
      <c r="N1792" t="s">
        <v>234</v>
      </c>
      <c r="O1792" t="s">
        <v>235</v>
      </c>
    </row>
    <row r="1793" spans="2:15" x14ac:dyDescent="0.25">
      <c r="B1793" t="s">
        <v>15</v>
      </c>
      <c r="C1793" s="4">
        <v>44778</v>
      </c>
      <c r="D1793">
        <v>8</v>
      </c>
      <c r="E1793" t="s">
        <v>21</v>
      </c>
      <c r="F1793" t="s">
        <v>129</v>
      </c>
      <c r="G1793" t="s">
        <v>126</v>
      </c>
      <c r="H1793">
        <v>0</v>
      </c>
      <c r="I1793">
        <v>21272</v>
      </c>
      <c r="J1793">
        <v>-21272</v>
      </c>
      <c r="L1793">
        <v>33</v>
      </c>
      <c r="M1793">
        <v>538</v>
      </c>
      <c r="N1793" t="s">
        <v>234</v>
      </c>
      <c r="O1793" t="s">
        <v>235</v>
      </c>
    </row>
    <row r="1794" spans="2:15" x14ac:dyDescent="0.25">
      <c r="B1794" t="s">
        <v>15</v>
      </c>
      <c r="C1794" s="4">
        <v>44778</v>
      </c>
      <c r="D1794">
        <v>8</v>
      </c>
      <c r="E1794" t="s">
        <v>130</v>
      </c>
      <c r="F1794" t="s">
        <v>131</v>
      </c>
      <c r="G1794" t="s">
        <v>126</v>
      </c>
      <c r="H1794">
        <v>0</v>
      </c>
      <c r="I1794">
        <v>111960</v>
      </c>
      <c r="J1794">
        <v>-111960</v>
      </c>
      <c r="L1794">
        <v>33</v>
      </c>
      <c r="M1794">
        <v>538</v>
      </c>
      <c r="N1794" t="s">
        <v>234</v>
      </c>
      <c r="O1794" t="s">
        <v>235</v>
      </c>
    </row>
    <row r="1795" spans="2:15" x14ac:dyDescent="0.25">
      <c r="B1795" t="s">
        <v>15</v>
      </c>
      <c r="C1795" s="4">
        <v>44778</v>
      </c>
      <c r="D1795">
        <v>8</v>
      </c>
      <c r="E1795" t="s">
        <v>16</v>
      </c>
      <c r="F1795" t="s">
        <v>125</v>
      </c>
      <c r="G1795" t="s">
        <v>126</v>
      </c>
      <c r="H1795">
        <v>84966</v>
      </c>
      <c r="I1795">
        <v>0</v>
      </c>
      <c r="J1795">
        <v>84966</v>
      </c>
      <c r="L1795">
        <v>33</v>
      </c>
      <c r="M1795">
        <v>539</v>
      </c>
      <c r="N1795" t="s">
        <v>226</v>
      </c>
      <c r="O1795" t="s">
        <v>227</v>
      </c>
    </row>
    <row r="1796" spans="2:15" x14ac:dyDescent="0.25">
      <c r="B1796" t="s">
        <v>15</v>
      </c>
      <c r="C1796" s="4">
        <v>44778</v>
      </c>
      <c r="D1796">
        <v>8</v>
      </c>
      <c r="E1796" t="s">
        <v>21</v>
      </c>
      <c r="F1796" t="s">
        <v>129</v>
      </c>
      <c r="G1796" t="s">
        <v>126</v>
      </c>
      <c r="H1796">
        <v>0</v>
      </c>
      <c r="I1796">
        <v>13566</v>
      </c>
      <c r="J1796">
        <v>-13566</v>
      </c>
      <c r="L1796">
        <v>33</v>
      </c>
      <c r="M1796">
        <v>539</v>
      </c>
      <c r="N1796" t="s">
        <v>226</v>
      </c>
      <c r="O1796" t="s">
        <v>227</v>
      </c>
    </row>
    <row r="1797" spans="2:15" x14ac:dyDescent="0.25">
      <c r="B1797" t="s">
        <v>15</v>
      </c>
      <c r="C1797" s="4">
        <v>44778</v>
      </c>
      <c r="D1797">
        <v>8</v>
      </c>
      <c r="E1797" t="s">
        <v>130</v>
      </c>
      <c r="F1797" t="s">
        <v>131</v>
      </c>
      <c r="G1797" t="s">
        <v>126</v>
      </c>
      <c r="H1797">
        <v>0</v>
      </c>
      <c r="I1797">
        <v>71400</v>
      </c>
      <c r="J1797">
        <v>-71400</v>
      </c>
      <c r="L1797">
        <v>33</v>
      </c>
      <c r="M1797">
        <v>539</v>
      </c>
      <c r="N1797" t="s">
        <v>226</v>
      </c>
      <c r="O1797" t="s">
        <v>227</v>
      </c>
    </row>
    <row r="1798" spans="2:15" x14ac:dyDescent="0.25">
      <c r="B1798" t="s">
        <v>15</v>
      </c>
      <c r="C1798" s="4">
        <v>44784</v>
      </c>
      <c r="D1798">
        <v>8</v>
      </c>
      <c r="E1798" t="s">
        <v>16</v>
      </c>
      <c r="F1798" t="s">
        <v>125</v>
      </c>
      <c r="G1798" t="s">
        <v>126</v>
      </c>
      <c r="H1798">
        <v>156366</v>
      </c>
      <c r="I1798">
        <v>0</v>
      </c>
      <c r="J1798">
        <v>156366</v>
      </c>
      <c r="L1798">
        <v>33</v>
      </c>
      <c r="M1798">
        <v>540</v>
      </c>
      <c r="N1798" t="s">
        <v>206</v>
      </c>
      <c r="O1798" t="s">
        <v>207</v>
      </c>
    </row>
    <row r="1799" spans="2:15" x14ac:dyDescent="0.25">
      <c r="B1799" t="s">
        <v>15</v>
      </c>
      <c r="C1799" s="4">
        <v>44784</v>
      </c>
      <c r="D1799">
        <v>8</v>
      </c>
      <c r="E1799" t="s">
        <v>21</v>
      </c>
      <c r="F1799" t="s">
        <v>129</v>
      </c>
      <c r="G1799" t="s">
        <v>126</v>
      </c>
      <c r="H1799">
        <v>0</v>
      </c>
      <c r="I1799">
        <v>24966</v>
      </c>
      <c r="J1799">
        <v>-24966</v>
      </c>
      <c r="L1799">
        <v>33</v>
      </c>
      <c r="M1799">
        <v>540</v>
      </c>
      <c r="N1799" t="s">
        <v>206</v>
      </c>
      <c r="O1799" t="s">
        <v>207</v>
      </c>
    </row>
    <row r="1800" spans="2:15" x14ac:dyDescent="0.25">
      <c r="B1800" t="s">
        <v>15</v>
      </c>
      <c r="C1800" s="4">
        <v>44784</v>
      </c>
      <c r="D1800">
        <v>8</v>
      </c>
      <c r="E1800" t="s">
        <v>130</v>
      </c>
      <c r="F1800" t="s">
        <v>131</v>
      </c>
      <c r="G1800" t="s">
        <v>126</v>
      </c>
      <c r="H1800">
        <v>0</v>
      </c>
      <c r="I1800">
        <v>131400</v>
      </c>
      <c r="J1800">
        <v>-131400</v>
      </c>
      <c r="L1800">
        <v>33</v>
      </c>
      <c r="M1800">
        <v>540</v>
      </c>
      <c r="N1800" t="s">
        <v>206</v>
      </c>
      <c r="O1800" t="s">
        <v>207</v>
      </c>
    </row>
    <row r="1801" spans="2:15" x14ac:dyDescent="0.25">
      <c r="B1801" t="s">
        <v>15</v>
      </c>
      <c r="C1801" s="4">
        <v>44785</v>
      </c>
      <c r="D1801">
        <v>8</v>
      </c>
      <c r="E1801" t="s">
        <v>16</v>
      </c>
      <c r="F1801" t="s">
        <v>125</v>
      </c>
      <c r="G1801" t="s">
        <v>126</v>
      </c>
      <c r="H1801">
        <v>505548</v>
      </c>
      <c r="I1801">
        <v>0</v>
      </c>
      <c r="J1801">
        <v>505548</v>
      </c>
      <c r="L1801">
        <v>33</v>
      </c>
      <c r="M1801">
        <v>541</v>
      </c>
      <c r="N1801" t="s">
        <v>180</v>
      </c>
      <c r="O1801" t="s">
        <v>181</v>
      </c>
    </row>
    <row r="1802" spans="2:15" x14ac:dyDescent="0.25">
      <c r="B1802" t="s">
        <v>15</v>
      </c>
      <c r="C1802" s="4">
        <v>44785</v>
      </c>
      <c r="D1802">
        <v>8</v>
      </c>
      <c r="E1802" t="s">
        <v>21</v>
      </c>
      <c r="F1802" t="s">
        <v>129</v>
      </c>
      <c r="G1802" t="s">
        <v>126</v>
      </c>
      <c r="H1802">
        <v>0</v>
      </c>
      <c r="I1802">
        <v>80718</v>
      </c>
      <c r="J1802">
        <v>-80718</v>
      </c>
      <c r="L1802">
        <v>33</v>
      </c>
      <c r="M1802">
        <v>541</v>
      </c>
      <c r="N1802" t="s">
        <v>180</v>
      </c>
      <c r="O1802" t="s">
        <v>181</v>
      </c>
    </row>
    <row r="1803" spans="2:15" x14ac:dyDescent="0.25">
      <c r="B1803" t="s">
        <v>15</v>
      </c>
      <c r="C1803" s="4">
        <v>44785</v>
      </c>
      <c r="D1803">
        <v>8</v>
      </c>
      <c r="E1803" t="s">
        <v>130</v>
      </c>
      <c r="F1803" t="s">
        <v>131</v>
      </c>
      <c r="G1803" t="s">
        <v>126</v>
      </c>
      <c r="H1803">
        <v>0</v>
      </c>
      <c r="I1803">
        <v>424830</v>
      </c>
      <c r="J1803">
        <v>-424830</v>
      </c>
      <c r="L1803">
        <v>33</v>
      </c>
      <c r="M1803">
        <v>541</v>
      </c>
      <c r="N1803" t="s">
        <v>180</v>
      </c>
      <c r="O1803" t="s">
        <v>181</v>
      </c>
    </row>
    <row r="1804" spans="2:15" x14ac:dyDescent="0.25">
      <c r="B1804" t="s">
        <v>15</v>
      </c>
      <c r="C1804" s="4">
        <v>44790</v>
      </c>
      <c r="D1804">
        <v>8</v>
      </c>
      <c r="E1804" t="s">
        <v>16</v>
      </c>
      <c r="F1804" t="s">
        <v>125</v>
      </c>
      <c r="G1804" t="s">
        <v>126</v>
      </c>
      <c r="H1804">
        <v>907970</v>
      </c>
      <c r="I1804">
        <v>0</v>
      </c>
      <c r="J1804">
        <v>907970</v>
      </c>
      <c r="L1804">
        <v>33</v>
      </c>
      <c r="M1804">
        <v>542</v>
      </c>
      <c r="N1804" t="s">
        <v>176</v>
      </c>
      <c r="O1804" t="s">
        <v>177</v>
      </c>
    </row>
    <row r="1805" spans="2:15" x14ac:dyDescent="0.25">
      <c r="B1805" t="s">
        <v>15</v>
      </c>
      <c r="C1805" s="4">
        <v>44790</v>
      </c>
      <c r="D1805">
        <v>8</v>
      </c>
      <c r="E1805" t="s">
        <v>21</v>
      </c>
      <c r="F1805" t="s">
        <v>129</v>
      </c>
      <c r="G1805" t="s">
        <v>126</v>
      </c>
      <c r="H1805">
        <v>0</v>
      </c>
      <c r="I1805">
        <v>144970</v>
      </c>
      <c r="J1805">
        <v>-144970</v>
      </c>
      <c r="L1805">
        <v>33</v>
      </c>
      <c r="M1805">
        <v>542</v>
      </c>
      <c r="N1805" t="s">
        <v>176</v>
      </c>
      <c r="O1805" t="s">
        <v>177</v>
      </c>
    </row>
    <row r="1806" spans="2:15" x14ac:dyDescent="0.25">
      <c r="B1806" t="s">
        <v>15</v>
      </c>
      <c r="C1806" s="4">
        <v>44790</v>
      </c>
      <c r="D1806">
        <v>8</v>
      </c>
      <c r="E1806" t="s">
        <v>130</v>
      </c>
      <c r="F1806" t="s">
        <v>131</v>
      </c>
      <c r="G1806" t="s">
        <v>126</v>
      </c>
      <c r="H1806">
        <v>0</v>
      </c>
      <c r="I1806">
        <v>763000</v>
      </c>
      <c r="J1806">
        <v>-763000</v>
      </c>
      <c r="L1806">
        <v>33</v>
      </c>
      <c r="M1806">
        <v>542</v>
      </c>
      <c r="N1806" t="s">
        <v>176</v>
      </c>
      <c r="O1806" t="s">
        <v>177</v>
      </c>
    </row>
    <row r="1807" spans="2:15" x14ac:dyDescent="0.25">
      <c r="B1807" t="s">
        <v>15</v>
      </c>
      <c r="C1807" s="4">
        <v>44796</v>
      </c>
      <c r="D1807">
        <v>8</v>
      </c>
      <c r="E1807" t="s">
        <v>16</v>
      </c>
      <c r="F1807" t="s">
        <v>125</v>
      </c>
      <c r="G1807" t="s">
        <v>126</v>
      </c>
      <c r="H1807">
        <v>166541</v>
      </c>
      <c r="I1807">
        <v>0</v>
      </c>
      <c r="J1807">
        <v>166541</v>
      </c>
      <c r="L1807">
        <v>33</v>
      </c>
      <c r="M1807">
        <v>543</v>
      </c>
      <c r="N1807" t="s">
        <v>234</v>
      </c>
      <c r="O1807" t="s">
        <v>235</v>
      </c>
    </row>
    <row r="1808" spans="2:15" x14ac:dyDescent="0.25">
      <c r="B1808" t="s">
        <v>15</v>
      </c>
      <c r="C1808" s="4">
        <v>44796</v>
      </c>
      <c r="D1808">
        <v>8</v>
      </c>
      <c r="E1808" t="s">
        <v>21</v>
      </c>
      <c r="F1808" t="s">
        <v>129</v>
      </c>
      <c r="G1808" t="s">
        <v>126</v>
      </c>
      <c r="H1808">
        <v>0</v>
      </c>
      <c r="I1808">
        <v>26591</v>
      </c>
      <c r="J1808">
        <v>-26591</v>
      </c>
      <c r="L1808">
        <v>33</v>
      </c>
      <c r="M1808">
        <v>543</v>
      </c>
      <c r="N1808" t="s">
        <v>234</v>
      </c>
      <c r="O1808" t="s">
        <v>235</v>
      </c>
    </row>
    <row r="1809" spans="2:15" x14ac:dyDescent="0.25">
      <c r="B1809" t="s">
        <v>15</v>
      </c>
      <c r="C1809" s="4">
        <v>44796</v>
      </c>
      <c r="D1809">
        <v>8</v>
      </c>
      <c r="E1809" t="s">
        <v>130</v>
      </c>
      <c r="F1809" t="s">
        <v>131</v>
      </c>
      <c r="G1809" t="s">
        <v>126</v>
      </c>
      <c r="H1809">
        <v>0</v>
      </c>
      <c r="I1809">
        <v>139950</v>
      </c>
      <c r="J1809">
        <v>-139950</v>
      </c>
      <c r="L1809">
        <v>33</v>
      </c>
      <c r="M1809">
        <v>543</v>
      </c>
      <c r="N1809" t="s">
        <v>234</v>
      </c>
      <c r="O1809" t="s">
        <v>235</v>
      </c>
    </row>
    <row r="1810" spans="2:15" x14ac:dyDescent="0.25">
      <c r="B1810" t="s">
        <v>15</v>
      </c>
      <c r="C1810" s="4">
        <v>44798</v>
      </c>
      <c r="D1810">
        <v>8</v>
      </c>
      <c r="E1810" t="s">
        <v>16</v>
      </c>
      <c r="F1810" t="s">
        <v>125</v>
      </c>
      <c r="G1810" t="s">
        <v>126</v>
      </c>
      <c r="H1810">
        <v>147489</v>
      </c>
      <c r="I1810">
        <v>0</v>
      </c>
      <c r="J1810">
        <v>147489</v>
      </c>
      <c r="L1810">
        <v>33</v>
      </c>
      <c r="M1810">
        <v>544</v>
      </c>
      <c r="N1810" t="s">
        <v>238</v>
      </c>
      <c r="O1810" t="s">
        <v>239</v>
      </c>
    </row>
    <row r="1811" spans="2:15" x14ac:dyDescent="0.25">
      <c r="B1811" t="s">
        <v>15</v>
      </c>
      <c r="C1811" s="4">
        <v>44798</v>
      </c>
      <c r="D1811">
        <v>8</v>
      </c>
      <c r="E1811" t="s">
        <v>21</v>
      </c>
      <c r="F1811" t="s">
        <v>129</v>
      </c>
      <c r="G1811" t="s">
        <v>126</v>
      </c>
      <c r="H1811">
        <v>0</v>
      </c>
      <c r="I1811">
        <v>23549</v>
      </c>
      <c r="J1811">
        <v>-23549</v>
      </c>
      <c r="L1811">
        <v>33</v>
      </c>
      <c r="M1811">
        <v>544</v>
      </c>
      <c r="N1811" t="s">
        <v>238</v>
      </c>
      <c r="O1811" t="s">
        <v>239</v>
      </c>
    </row>
    <row r="1812" spans="2:15" x14ac:dyDescent="0.25">
      <c r="B1812" t="s">
        <v>15</v>
      </c>
      <c r="C1812" s="4">
        <v>44798</v>
      </c>
      <c r="D1812">
        <v>8</v>
      </c>
      <c r="E1812" t="s">
        <v>130</v>
      </c>
      <c r="F1812" t="s">
        <v>131</v>
      </c>
      <c r="G1812" t="s">
        <v>126</v>
      </c>
      <c r="H1812">
        <v>0</v>
      </c>
      <c r="I1812">
        <v>123940</v>
      </c>
      <c r="J1812">
        <v>-123940</v>
      </c>
      <c r="L1812">
        <v>33</v>
      </c>
      <c r="M1812">
        <v>544</v>
      </c>
      <c r="N1812" t="s">
        <v>238</v>
      </c>
      <c r="O1812" t="s">
        <v>239</v>
      </c>
    </row>
    <row r="1813" spans="2:15" x14ac:dyDescent="0.25">
      <c r="B1813" t="s">
        <v>15</v>
      </c>
      <c r="C1813" s="4">
        <v>44817</v>
      </c>
      <c r="D1813">
        <v>9</v>
      </c>
      <c r="E1813" t="s">
        <v>16</v>
      </c>
      <c r="F1813" t="s">
        <v>125</v>
      </c>
      <c r="G1813" t="s">
        <v>126</v>
      </c>
      <c r="H1813">
        <v>177310</v>
      </c>
      <c r="I1813">
        <v>0</v>
      </c>
      <c r="J1813">
        <v>177310</v>
      </c>
      <c r="L1813">
        <v>33</v>
      </c>
      <c r="M1813">
        <v>545</v>
      </c>
      <c r="N1813" t="s">
        <v>228</v>
      </c>
      <c r="O1813" t="s">
        <v>229</v>
      </c>
    </row>
    <row r="1814" spans="2:15" x14ac:dyDescent="0.25">
      <c r="B1814" t="s">
        <v>15</v>
      </c>
      <c r="C1814" s="4">
        <v>44817</v>
      </c>
      <c r="D1814">
        <v>9</v>
      </c>
      <c r="E1814" t="s">
        <v>21</v>
      </c>
      <c r="F1814" t="s">
        <v>129</v>
      </c>
      <c r="G1814" t="s">
        <v>126</v>
      </c>
      <c r="H1814">
        <v>0</v>
      </c>
      <c r="I1814">
        <v>28310</v>
      </c>
      <c r="J1814">
        <v>-28310</v>
      </c>
      <c r="L1814">
        <v>33</v>
      </c>
      <c r="M1814">
        <v>545</v>
      </c>
      <c r="N1814" t="s">
        <v>228</v>
      </c>
      <c r="O1814" t="s">
        <v>229</v>
      </c>
    </row>
    <row r="1815" spans="2:15" x14ac:dyDescent="0.25">
      <c r="B1815" t="s">
        <v>15</v>
      </c>
      <c r="C1815" s="4">
        <v>44817</v>
      </c>
      <c r="D1815">
        <v>9</v>
      </c>
      <c r="E1815" t="s">
        <v>130</v>
      </c>
      <c r="F1815" t="s">
        <v>131</v>
      </c>
      <c r="G1815" t="s">
        <v>126</v>
      </c>
      <c r="H1815">
        <v>0</v>
      </c>
      <c r="I1815">
        <v>149000</v>
      </c>
      <c r="J1815">
        <v>-149000</v>
      </c>
      <c r="L1815">
        <v>33</v>
      </c>
      <c r="M1815">
        <v>545</v>
      </c>
      <c r="N1815" t="s">
        <v>228</v>
      </c>
      <c r="O1815" t="s">
        <v>229</v>
      </c>
    </row>
    <row r="1816" spans="2:15" x14ac:dyDescent="0.25">
      <c r="B1816" t="s">
        <v>15</v>
      </c>
      <c r="C1816" s="4">
        <v>44817</v>
      </c>
      <c r="D1816">
        <v>9</v>
      </c>
      <c r="E1816" t="s">
        <v>16</v>
      </c>
      <c r="F1816" t="s">
        <v>125</v>
      </c>
      <c r="G1816" t="s">
        <v>126</v>
      </c>
      <c r="H1816">
        <v>604044</v>
      </c>
      <c r="I1816">
        <v>0</v>
      </c>
      <c r="J1816">
        <v>604044</v>
      </c>
      <c r="L1816">
        <v>33</v>
      </c>
      <c r="M1816">
        <v>546</v>
      </c>
      <c r="N1816" t="s">
        <v>180</v>
      </c>
      <c r="O1816" t="s">
        <v>181</v>
      </c>
    </row>
    <row r="1817" spans="2:15" x14ac:dyDescent="0.25">
      <c r="B1817" t="s">
        <v>15</v>
      </c>
      <c r="C1817" s="4">
        <v>44817</v>
      </c>
      <c r="D1817">
        <v>9</v>
      </c>
      <c r="E1817" t="s">
        <v>21</v>
      </c>
      <c r="F1817" t="s">
        <v>129</v>
      </c>
      <c r="G1817" t="s">
        <v>126</v>
      </c>
      <c r="H1817">
        <v>0</v>
      </c>
      <c r="I1817">
        <v>96444</v>
      </c>
      <c r="J1817">
        <v>-96444</v>
      </c>
      <c r="L1817">
        <v>33</v>
      </c>
      <c r="M1817">
        <v>546</v>
      </c>
      <c r="N1817" t="s">
        <v>180</v>
      </c>
      <c r="O1817" t="s">
        <v>181</v>
      </c>
    </row>
    <row r="1818" spans="2:15" x14ac:dyDescent="0.25">
      <c r="B1818" t="s">
        <v>15</v>
      </c>
      <c r="C1818" s="4">
        <v>44817</v>
      </c>
      <c r="D1818">
        <v>9</v>
      </c>
      <c r="E1818" t="s">
        <v>130</v>
      </c>
      <c r="F1818" t="s">
        <v>131</v>
      </c>
      <c r="G1818" t="s">
        <v>126</v>
      </c>
      <c r="H1818">
        <v>0</v>
      </c>
      <c r="I1818">
        <v>507600</v>
      </c>
      <c r="J1818">
        <v>-507600</v>
      </c>
      <c r="L1818">
        <v>33</v>
      </c>
      <c r="M1818">
        <v>546</v>
      </c>
      <c r="N1818" t="s">
        <v>180</v>
      </c>
      <c r="O1818" t="s">
        <v>181</v>
      </c>
    </row>
    <row r="1819" spans="2:15" x14ac:dyDescent="0.25">
      <c r="B1819" t="s">
        <v>15</v>
      </c>
      <c r="C1819" s="4">
        <v>44818</v>
      </c>
      <c r="D1819">
        <v>9</v>
      </c>
      <c r="E1819" t="s">
        <v>16</v>
      </c>
      <c r="F1819" t="s">
        <v>125</v>
      </c>
      <c r="G1819" t="s">
        <v>126</v>
      </c>
      <c r="H1819">
        <v>47005</v>
      </c>
      <c r="I1819">
        <v>0</v>
      </c>
      <c r="J1819">
        <v>47005</v>
      </c>
      <c r="L1819">
        <v>33</v>
      </c>
      <c r="M1819">
        <v>547</v>
      </c>
      <c r="N1819" t="s">
        <v>188</v>
      </c>
      <c r="O1819" t="s">
        <v>189</v>
      </c>
    </row>
    <row r="1820" spans="2:15" x14ac:dyDescent="0.25">
      <c r="B1820" t="s">
        <v>15</v>
      </c>
      <c r="C1820" s="4">
        <v>44818</v>
      </c>
      <c r="D1820">
        <v>9</v>
      </c>
      <c r="E1820" t="s">
        <v>21</v>
      </c>
      <c r="F1820" t="s">
        <v>129</v>
      </c>
      <c r="G1820" t="s">
        <v>126</v>
      </c>
      <c r="H1820">
        <v>0</v>
      </c>
      <c r="I1820">
        <v>7505</v>
      </c>
      <c r="J1820">
        <v>-7505</v>
      </c>
      <c r="L1820">
        <v>33</v>
      </c>
      <c r="M1820">
        <v>547</v>
      </c>
      <c r="N1820" t="s">
        <v>188</v>
      </c>
      <c r="O1820" t="s">
        <v>189</v>
      </c>
    </row>
    <row r="1821" spans="2:15" x14ac:dyDescent="0.25">
      <c r="B1821" t="s">
        <v>15</v>
      </c>
      <c r="C1821" s="4">
        <v>44818</v>
      </c>
      <c r="D1821">
        <v>9</v>
      </c>
      <c r="E1821" t="s">
        <v>130</v>
      </c>
      <c r="F1821" t="s">
        <v>131</v>
      </c>
      <c r="G1821" t="s">
        <v>126</v>
      </c>
      <c r="H1821">
        <v>0</v>
      </c>
      <c r="I1821">
        <v>39500</v>
      </c>
      <c r="J1821">
        <v>-39500</v>
      </c>
      <c r="L1821">
        <v>33</v>
      </c>
      <c r="M1821">
        <v>547</v>
      </c>
      <c r="N1821" t="s">
        <v>188</v>
      </c>
      <c r="O1821" t="s">
        <v>189</v>
      </c>
    </row>
    <row r="1822" spans="2:15" x14ac:dyDescent="0.25">
      <c r="B1822" t="s">
        <v>15</v>
      </c>
      <c r="C1822" s="4">
        <v>44824</v>
      </c>
      <c r="D1822">
        <v>9</v>
      </c>
      <c r="E1822" t="s">
        <v>16</v>
      </c>
      <c r="F1822" t="s">
        <v>125</v>
      </c>
      <c r="G1822" t="s">
        <v>126</v>
      </c>
      <c r="H1822">
        <v>326893</v>
      </c>
      <c r="I1822">
        <v>0</v>
      </c>
      <c r="J1822">
        <v>326893</v>
      </c>
      <c r="L1822">
        <v>33</v>
      </c>
      <c r="M1822">
        <v>548</v>
      </c>
      <c r="N1822" t="s">
        <v>240</v>
      </c>
      <c r="O1822" t="s">
        <v>241</v>
      </c>
    </row>
    <row r="1823" spans="2:15" x14ac:dyDescent="0.25">
      <c r="B1823" t="s">
        <v>15</v>
      </c>
      <c r="C1823" s="4">
        <v>44824</v>
      </c>
      <c r="D1823">
        <v>9</v>
      </c>
      <c r="E1823" t="s">
        <v>21</v>
      </c>
      <c r="F1823" t="s">
        <v>129</v>
      </c>
      <c r="G1823" t="s">
        <v>126</v>
      </c>
      <c r="H1823">
        <v>0</v>
      </c>
      <c r="I1823">
        <v>52193</v>
      </c>
      <c r="J1823">
        <v>-52193</v>
      </c>
      <c r="L1823">
        <v>33</v>
      </c>
      <c r="M1823">
        <v>548</v>
      </c>
      <c r="N1823" t="s">
        <v>240</v>
      </c>
      <c r="O1823" t="s">
        <v>241</v>
      </c>
    </row>
    <row r="1824" spans="2:15" x14ac:dyDescent="0.25">
      <c r="B1824" t="s">
        <v>15</v>
      </c>
      <c r="C1824" s="4">
        <v>44824</v>
      </c>
      <c r="D1824">
        <v>9</v>
      </c>
      <c r="E1824" t="s">
        <v>130</v>
      </c>
      <c r="F1824" t="s">
        <v>131</v>
      </c>
      <c r="G1824" t="s">
        <v>126</v>
      </c>
      <c r="H1824">
        <v>0</v>
      </c>
      <c r="I1824">
        <v>274700</v>
      </c>
      <c r="J1824">
        <v>-274700</v>
      </c>
      <c r="L1824">
        <v>33</v>
      </c>
      <c r="M1824">
        <v>548</v>
      </c>
      <c r="N1824" t="s">
        <v>240</v>
      </c>
      <c r="O1824" t="s">
        <v>241</v>
      </c>
    </row>
    <row r="1825" spans="2:15" x14ac:dyDescent="0.25">
      <c r="B1825" t="s">
        <v>15</v>
      </c>
      <c r="C1825" s="4">
        <v>44826</v>
      </c>
      <c r="D1825">
        <v>9</v>
      </c>
      <c r="E1825" t="s">
        <v>16</v>
      </c>
      <c r="F1825" t="s">
        <v>125</v>
      </c>
      <c r="G1825" t="s">
        <v>126</v>
      </c>
      <c r="H1825">
        <v>166600</v>
      </c>
      <c r="I1825">
        <v>0</v>
      </c>
      <c r="J1825">
        <v>166600</v>
      </c>
      <c r="L1825">
        <v>33</v>
      </c>
      <c r="M1825">
        <v>549</v>
      </c>
      <c r="N1825" t="s">
        <v>242</v>
      </c>
      <c r="O1825" t="s">
        <v>243</v>
      </c>
    </row>
    <row r="1826" spans="2:15" x14ac:dyDescent="0.25">
      <c r="B1826" t="s">
        <v>15</v>
      </c>
      <c r="C1826" s="4">
        <v>44826</v>
      </c>
      <c r="D1826">
        <v>9</v>
      </c>
      <c r="E1826" t="s">
        <v>21</v>
      </c>
      <c r="F1826" t="s">
        <v>129</v>
      </c>
      <c r="G1826" t="s">
        <v>126</v>
      </c>
      <c r="H1826">
        <v>0</v>
      </c>
      <c r="I1826">
        <v>26600</v>
      </c>
      <c r="J1826">
        <v>-26600</v>
      </c>
      <c r="L1826">
        <v>33</v>
      </c>
      <c r="M1826">
        <v>549</v>
      </c>
      <c r="N1826" t="s">
        <v>242</v>
      </c>
      <c r="O1826" t="s">
        <v>243</v>
      </c>
    </row>
    <row r="1827" spans="2:15" x14ac:dyDescent="0.25">
      <c r="B1827" t="s">
        <v>15</v>
      </c>
      <c r="C1827" s="4">
        <v>44826</v>
      </c>
      <c r="D1827">
        <v>9</v>
      </c>
      <c r="E1827" t="s">
        <v>130</v>
      </c>
      <c r="F1827" t="s">
        <v>131</v>
      </c>
      <c r="G1827" t="s">
        <v>126</v>
      </c>
      <c r="H1827">
        <v>0</v>
      </c>
      <c r="I1827">
        <v>140000</v>
      </c>
      <c r="J1827">
        <v>-140000</v>
      </c>
      <c r="L1827">
        <v>33</v>
      </c>
      <c r="M1827">
        <v>549</v>
      </c>
      <c r="N1827" t="s">
        <v>242</v>
      </c>
      <c r="O1827" t="s">
        <v>243</v>
      </c>
    </row>
    <row r="1828" spans="2:15" x14ac:dyDescent="0.25">
      <c r="B1828" t="s">
        <v>15</v>
      </c>
      <c r="C1828" s="4">
        <v>44826</v>
      </c>
      <c r="D1828">
        <v>9</v>
      </c>
      <c r="E1828" t="s">
        <v>16</v>
      </c>
      <c r="F1828" t="s">
        <v>125</v>
      </c>
      <c r="G1828" t="s">
        <v>126</v>
      </c>
      <c r="H1828">
        <v>832524</v>
      </c>
      <c r="I1828">
        <v>0</v>
      </c>
      <c r="J1828">
        <v>832524</v>
      </c>
      <c r="L1828">
        <v>33</v>
      </c>
      <c r="M1828">
        <v>550</v>
      </c>
      <c r="N1828" t="s">
        <v>244</v>
      </c>
      <c r="O1828" t="s">
        <v>245</v>
      </c>
    </row>
    <row r="1829" spans="2:15" x14ac:dyDescent="0.25">
      <c r="B1829" t="s">
        <v>15</v>
      </c>
      <c r="C1829" s="4">
        <v>44826</v>
      </c>
      <c r="D1829">
        <v>9</v>
      </c>
      <c r="E1829" t="s">
        <v>21</v>
      </c>
      <c r="F1829" t="s">
        <v>129</v>
      </c>
      <c r="G1829" t="s">
        <v>126</v>
      </c>
      <c r="H1829">
        <v>0</v>
      </c>
      <c r="I1829">
        <v>132924</v>
      </c>
      <c r="J1829">
        <v>-132924</v>
      </c>
      <c r="L1829">
        <v>33</v>
      </c>
      <c r="M1829">
        <v>550</v>
      </c>
      <c r="N1829" t="s">
        <v>244</v>
      </c>
      <c r="O1829" t="s">
        <v>245</v>
      </c>
    </row>
    <row r="1830" spans="2:15" x14ac:dyDescent="0.25">
      <c r="B1830" t="s">
        <v>15</v>
      </c>
      <c r="C1830" s="4">
        <v>44826</v>
      </c>
      <c r="D1830">
        <v>9</v>
      </c>
      <c r="E1830" t="s">
        <v>130</v>
      </c>
      <c r="F1830" t="s">
        <v>131</v>
      </c>
      <c r="G1830" t="s">
        <v>126</v>
      </c>
      <c r="H1830">
        <v>0</v>
      </c>
      <c r="I1830">
        <v>699600</v>
      </c>
      <c r="J1830">
        <v>-699600</v>
      </c>
      <c r="L1830">
        <v>33</v>
      </c>
      <c r="M1830">
        <v>550</v>
      </c>
      <c r="N1830" t="s">
        <v>244</v>
      </c>
      <c r="O1830" t="s">
        <v>245</v>
      </c>
    </row>
    <row r="1831" spans="2:15" x14ac:dyDescent="0.25">
      <c r="B1831" t="s">
        <v>15</v>
      </c>
      <c r="C1831" s="4">
        <v>44826</v>
      </c>
      <c r="D1831">
        <v>9</v>
      </c>
      <c r="E1831" t="s">
        <v>16</v>
      </c>
      <c r="F1831" t="s">
        <v>125</v>
      </c>
      <c r="G1831" t="s">
        <v>126</v>
      </c>
      <c r="H1831">
        <v>1251999</v>
      </c>
      <c r="I1831">
        <v>0</v>
      </c>
      <c r="J1831">
        <v>1251999</v>
      </c>
      <c r="L1831">
        <v>33</v>
      </c>
      <c r="M1831">
        <v>552</v>
      </c>
      <c r="N1831" t="s">
        <v>246</v>
      </c>
      <c r="O1831" t="s">
        <v>247</v>
      </c>
    </row>
    <row r="1832" spans="2:15" x14ac:dyDescent="0.25">
      <c r="B1832" t="s">
        <v>15</v>
      </c>
      <c r="C1832" s="4">
        <v>44826</v>
      </c>
      <c r="D1832">
        <v>9</v>
      </c>
      <c r="E1832" t="s">
        <v>21</v>
      </c>
      <c r="F1832" t="s">
        <v>129</v>
      </c>
      <c r="G1832" t="s">
        <v>126</v>
      </c>
      <c r="H1832">
        <v>0</v>
      </c>
      <c r="I1832">
        <v>199899</v>
      </c>
      <c r="J1832">
        <v>-199899</v>
      </c>
      <c r="L1832">
        <v>33</v>
      </c>
      <c r="M1832">
        <v>552</v>
      </c>
      <c r="N1832" t="s">
        <v>246</v>
      </c>
      <c r="O1832" t="s">
        <v>247</v>
      </c>
    </row>
    <row r="1833" spans="2:15" x14ac:dyDescent="0.25">
      <c r="B1833" t="s">
        <v>15</v>
      </c>
      <c r="C1833" s="4">
        <v>44826</v>
      </c>
      <c r="D1833">
        <v>9</v>
      </c>
      <c r="E1833" t="s">
        <v>130</v>
      </c>
      <c r="F1833" t="s">
        <v>131</v>
      </c>
      <c r="G1833" t="s">
        <v>126</v>
      </c>
      <c r="H1833">
        <v>0</v>
      </c>
      <c r="I1833">
        <v>1052100</v>
      </c>
      <c r="J1833">
        <v>-1052100</v>
      </c>
      <c r="L1833">
        <v>33</v>
      </c>
      <c r="M1833">
        <v>552</v>
      </c>
      <c r="N1833" t="s">
        <v>246</v>
      </c>
      <c r="O1833" t="s">
        <v>247</v>
      </c>
    </row>
    <row r="1834" spans="2:15" x14ac:dyDescent="0.25">
      <c r="B1834" t="s">
        <v>15</v>
      </c>
      <c r="C1834" s="4">
        <v>44830</v>
      </c>
      <c r="D1834">
        <v>9</v>
      </c>
      <c r="E1834" t="s">
        <v>16</v>
      </c>
      <c r="F1834" t="s">
        <v>125</v>
      </c>
      <c r="G1834" t="s">
        <v>126</v>
      </c>
      <c r="H1834">
        <v>437920</v>
      </c>
      <c r="I1834">
        <v>0</v>
      </c>
      <c r="J1834">
        <v>437920</v>
      </c>
      <c r="L1834">
        <v>33</v>
      </c>
      <c r="M1834">
        <v>553</v>
      </c>
      <c r="N1834" t="s">
        <v>248</v>
      </c>
      <c r="O1834" t="s">
        <v>249</v>
      </c>
    </row>
    <row r="1835" spans="2:15" x14ac:dyDescent="0.25">
      <c r="B1835" t="s">
        <v>15</v>
      </c>
      <c r="C1835" s="4">
        <v>44830</v>
      </c>
      <c r="D1835">
        <v>9</v>
      </c>
      <c r="E1835" t="s">
        <v>21</v>
      </c>
      <c r="F1835" t="s">
        <v>129</v>
      </c>
      <c r="G1835" t="s">
        <v>126</v>
      </c>
      <c r="H1835">
        <v>0</v>
      </c>
      <c r="I1835">
        <v>69920</v>
      </c>
      <c r="J1835">
        <v>-69920</v>
      </c>
      <c r="L1835">
        <v>33</v>
      </c>
      <c r="M1835">
        <v>553</v>
      </c>
      <c r="N1835" t="s">
        <v>248</v>
      </c>
      <c r="O1835" t="s">
        <v>249</v>
      </c>
    </row>
    <row r="1836" spans="2:15" x14ac:dyDescent="0.25">
      <c r="B1836" t="s">
        <v>15</v>
      </c>
      <c r="C1836" s="4">
        <v>44830</v>
      </c>
      <c r="D1836">
        <v>9</v>
      </c>
      <c r="E1836" t="s">
        <v>130</v>
      </c>
      <c r="F1836" t="s">
        <v>131</v>
      </c>
      <c r="G1836" t="s">
        <v>126</v>
      </c>
      <c r="H1836">
        <v>0</v>
      </c>
      <c r="I1836">
        <v>368000</v>
      </c>
      <c r="J1836">
        <v>-368000</v>
      </c>
      <c r="L1836">
        <v>33</v>
      </c>
      <c r="M1836">
        <v>553</v>
      </c>
      <c r="N1836" t="s">
        <v>248</v>
      </c>
      <c r="O1836" t="s">
        <v>249</v>
      </c>
    </row>
    <row r="1837" spans="2:15" x14ac:dyDescent="0.25">
      <c r="B1837" t="s">
        <v>15</v>
      </c>
      <c r="C1837" s="4">
        <v>44837</v>
      </c>
      <c r="D1837">
        <v>10</v>
      </c>
      <c r="E1837" t="s">
        <v>16</v>
      </c>
      <c r="F1837" t="s">
        <v>125</v>
      </c>
      <c r="G1837" t="s">
        <v>126</v>
      </c>
      <c r="H1837">
        <v>80825</v>
      </c>
      <c r="I1837">
        <v>0</v>
      </c>
      <c r="J1837">
        <v>80825</v>
      </c>
      <c r="L1837">
        <v>33</v>
      </c>
      <c r="M1837">
        <v>554</v>
      </c>
      <c r="N1837" t="s">
        <v>196</v>
      </c>
      <c r="O1837" t="s">
        <v>197</v>
      </c>
    </row>
    <row r="1838" spans="2:15" x14ac:dyDescent="0.25">
      <c r="B1838" t="s">
        <v>15</v>
      </c>
      <c r="C1838" s="4">
        <v>44837</v>
      </c>
      <c r="D1838">
        <v>10</v>
      </c>
      <c r="E1838" t="s">
        <v>21</v>
      </c>
      <c r="F1838" t="s">
        <v>129</v>
      </c>
      <c r="G1838" t="s">
        <v>126</v>
      </c>
      <c r="H1838">
        <v>0</v>
      </c>
      <c r="I1838">
        <v>12905</v>
      </c>
      <c r="J1838">
        <v>-12905</v>
      </c>
      <c r="L1838">
        <v>33</v>
      </c>
      <c r="M1838">
        <v>554</v>
      </c>
      <c r="N1838" t="s">
        <v>196</v>
      </c>
      <c r="O1838" t="s">
        <v>197</v>
      </c>
    </row>
    <row r="1839" spans="2:15" x14ac:dyDescent="0.25">
      <c r="B1839" t="s">
        <v>15</v>
      </c>
      <c r="C1839" s="4">
        <v>44837</v>
      </c>
      <c r="D1839">
        <v>10</v>
      </c>
      <c r="E1839" t="s">
        <v>130</v>
      </c>
      <c r="F1839" t="s">
        <v>131</v>
      </c>
      <c r="G1839" t="s">
        <v>126</v>
      </c>
      <c r="H1839">
        <v>0</v>
      </c>
      <c r="I1839">
        <v>67920</v>
      </c>
      <c r="J1839">
        <v>-67920</v>
      </c>
      <c r="L1839">
        <v>33</v>
      </c>
      <c r="M1839">
        <v>554</v>
      </c>
      <c r="N1839" t="s">
        <v>196</v>
      </c>
      <c r="O1839" t="s">
        <v>197</v>
      </c>
    </row>
    <row r="1840" spans="2:15" x14ac:dyDescent="0.25">
      <c r="B1840" t="s">
        <v>15</v>
      </c>
      <c r="C1840" s="4">
        <v>44848</v>
      </c>
      <c r="D1840">
        <v>10</v>
      </c>
      <c r="E1840" t="s">
        <v>16</v>
      </c>
      <c r="F1840" t="s">
        <v>125</v>
      </c>
      <c r="G1840" t="s">
        <v>126</v>
      </c>
      <c r="H1840">
        <v>6664</v>
      </c>
      <c r="I1840">
        <v>0</v>
      </c>
      <c r="J1840">
        <v>6664</v>
      </c>
      <c r="L1840">
        <v>33</v>
      </c>
      <c r="M1840">
        <v>555</v>
      </c>
      <c r="N1840" t="s">
        <v>250</v>
      </c>
      <c r="O1840" t="s">
        <v>251</v>
      </c>
    </row>
    <row r="1841" spans="2:15" x14ac:dyDescent="0.25">
      <c r="B1841" t="s">
        <v>15</v>
      </c>
      <c r="C1841" s="4">
        <v>44848</v>
      </c>
      <c r="D1841">
        <v>10</v>
      </c>
      <c r="E1841" t="s">
        <v>21</v>
      </c>
      <c r="F1841" t="s">
        <v>129</v>
      </c>
      <c r="G1841" t="s">
        <v>126</v>
      </c>
      <c r="H1841">
        <v>0</v>
      </c>
      <c r="I1841">
        <v>1064</v>
      </c>
      <c r="J1841">
        <v>-1064</v>
      </c>
      <c r="L1841">
        <v>33</v>
      </c>
      <c r="M1841">
        <v>555</v>
      </c>
      <c r="N1841" t="s">
        <v>250</v>
      </c>
      <c r="O1841" t="s">
        <v>251</v>
      </c>
    </row>
    <row r="1842" spans="2:15" x14ac:dyDescent="0.25">
      <c r="B1842" t="s">
        <v>15</v>
      </c>
      <c r="C1842" s="4">
        <v>44848</v>
      </c>
      <c r="D1842">
        <v>10</v>
      </c>
      <c r="E1842" t="s">
        <v>130</v>
      </c>
      <c r="F1842" t="s">
        <v>131</v>
      </c>
      <c r="G1842" t="s">
        <v>126</v>
      </c>
      <c r="H1842">
        <v>0</v>
      </c>
      <c r="I1842">
        <v>5600</v>
      </c>
      <c r="J1842">
        <v>-5600</v>
      </c>
      <c r="L1842">
        <v>33</v>
      </c>
      <c r="M1842">
        <v>555</v>
      </c>
      <c r="N1842" t="s">
        <v>250</v>
      </c>
      <c r="O1842" t="s">
        <v>251</v>
      </c>
    </row>
    <row r="1843" spans="2:15" x14ac:dyDescent="0.25">
      <c r="B1843" t="s">
        <v>15</v>
      </c>
      <c r="C1843" s="4">
        <v>44848</v>
      </c>
      <c r="D1843">
        <v>10</v>
      </c>
      <c r="E1843" t="s">
        <v>16</v>
      </c>
      <c r="F1843" t="s">
        <v>125</v>
      </c>
      <c r="G1843" t="s">
        <v>126</v>
      </c>
      <c r="H1843">
        <v>297500</v>
      </c>
      <c r="I1843">
        <v>0</v>
      </c>
      <c r="J1843">
        <v>297500</v>
      </c>
      <c r="L1843">
        <v>33</v>
      </c>
      <c r="M1843">
        <v>556</v>
      </c>
      <c r="N1843" t="s">
        <v>230</v>
      </c>
      <c r="O1843" t="s">
        <v>231</v>
      </c>
    </row>
    <row r="1844" spans="2:15" x14ac:dyDescent="0.25">
      <c r="B1844" t="s">
        <v>15</v>
      </c>
      <c r="C1844" s="4">
        <v>44848</v>
      </c>
      <c r="D1844">
        <v>10</v>
      </c>
      <c r="E1844" t="s">
        <v>21</v>
      </c>
      <c r="F1844" t="s">
        <v>129</v>
      </c>
      <c r="G1844" t="s">
        <v>126</v>
      </c>
      <c r="H1844">
        <v>0</v>
      </c>
      <c r="I1844">
        <v>47500</v>
      </c>
      <c r="J1844">
        <v>-47500</v>
      </c>
      <c r="L1844">
        <v>33</v>
      </c>
      <c r="M1844">
        <v>556</v>
      </c>
      <c r="N1844" t="s">
        <v>230</v>
      </c>
      <c r="O1844" t="s">
        <v>231</v>
      </c>
    </row>
    <row r="1845" spans="2:15" x14ac:dyDescent="0.25">
      <c r="B1845" t="s">
        <v>15</v>
      </c>
      <c r="C1845" s="4">
        <v>44848</v>
      </c>
      <c r="D1845">
        <v>10</v>
      </c>
      <c r="E1845" t="s">
        <v>130</v>
      </c>
      <c r="F1845" t="s">
        <v>131</v>
      </c>
      <c r="G1845" t="s">
        <v>126</v>
      </c>
      <c r="H1845">
        <v>0</v>
      </c>
      <c r="I1845">
        <v>250000</v>
      </c>
      <c r="J1845">
        <v>-250000</v>
      </c>
      <c r="L1845">
        <v>33</v>
      </c>
      <c r="M1845">
        <v>556</v>
      </c>
      <c r="N1845" t="s">
        <v>230</v>
      </c>
      <c r="O1845" t="s">
        <v>231</v>
      </c>
    </row>
    <row r="1846" spans="2:15" x14ac:dyDescent="0.25">
      <c r="B1846" t="s">
        <v>15</v>
      </c>
      <c r="C1846" s="4">
        <v>44848</v>
      </c>
      <c r="D1846">
        <v>10</v>
      </c>
      <c r="E1846" t="s">
        <v>16</v>
      </c>
      <c r="F1846" t="s">
        <v>125</v>
      </c>
      <c r="G1846" t="s">
        <v>126</v>
      </c>
      <c r="H1846">
        <v>656880</v>
      </c>
      <c r="I1846">
        <v>0</v>
      </c>
      <c r="J1846">
        <v>656880</v>
      </c>
      <c r="L1846">
        <v>33</v>
      </c>
      <c r="M1846">
        <v>557</v>
      </c>
      <c r="N1846" t="s">
        <v>252</v>
      </c>
      <c r="O1846" t="s">
        <v>253</v>
      </c>
    </row>
    <row r="1847" spans="2:15" x14ac:dyDescent="0.25">
      <c r="B1847" t="s">
        <v>15</v>
      </c>
      <c r="C1847" s="4">
        <v>44848</v>
      </c>
      <c r="D1847">
        <v>10</v>
      </c>
      <c r="E1847" t="s">
        <v>21</v>
      </c>
      <c r="F1847" t="s">
        <v>129</v>
      </c>
      <c r="G1847" t="s">
        <v>126</v>
      </c>
      <c r="H1847">
        <v>0</v>
      </c>
      <c r="I1847">
        <v>104880</v>
      </c>
      <c r="J1847">
        <v>-104880</v>
      </c>
      <c r="L1847">
        <v>33</v>
      </c>
      <c r="M1847">
        <v>557</v>
      </c>
      <c r="N1847" t="s">
        <v>252</v>
      </c>
      <c r="O1847" t="s">
        <v>253</v>
      </c>
    </row>
    <row r="1848" spans="2:15" x14ac:dyDescent="0.25">
      <c r="B1848" t="s">
        <v>15</v>
      </c>
      <c r="C1848" s="4">
        <v>44848</v>
      </c>
      <c r="D1848">
        <v>10</v>
      </c>
      <c r="E1848" t="s">
        <v>130</v>
      </c>
      <c r="F1848" t="s">
        <v>131</v>
      </c>
      <c r="G1848" t="s">
        <v>126</v>
      </c>
      <c r="H1848">
        <v>0</v>
      </c>
      <c r="I1848">
        <v>552000</v>
      </c>
      <c r="J1848">
        <v>-552000</v>
      </c>
      <c r="L1848">
        <v>33</v>
      </c>
      <c r="M1848">
        <v>557</v>
      </c>
      <c r="N1848" t="s">
        <v>252</v>
      </c>
      <c r="O1848" t="s">
        <v>253</v>
      </c>
    </row>
    <row r="1849" spans="2:15" x14ac:dyDescent="0.25">
      <c r="B1849" t="s">
        <v>15</v>
      </c>
      <c r="C1849" s="4">
        <v>44848</v>
      </c>
      <c r="D1849">
        <v>10</v>
      </c>
      <c r="E1849" t="s">
        <v>16</v>
      </c>
      <c r="F1849" t="s">
        <v>125</v>
      </c>
      <c r="G1849" t="s">
        <v>126</v>
      </c>
      <c r="H1849">
        <v>297500</v>
      </c>
      <c r="I1849">
        <v>0</v>
      </c>
      <c r="J1849">
        <v>297500</v>
      </c>
      <c r="L1849">
        <v>33</v>
      </c>
      <c r="M1849">
        <v>558</v>
      </c>
      <c r="N1849" t="s">
        <v>230</v>
      </c>
      <c r="O1849" t="s">
        <v>231</v>
      </c>
    </row>
    <row r="1850" spans="2:15" x14ac:dyDescent="0.25">
      <c r="B1850" t="s">
        <v>15</v>
      </c>
      <c r="C1850" s="4">
        <v>44848</v>
      </c>
      <c r="D1850">
        <v>10</v>
      </c>
      <c r="E1850" t="s">
        <v>21</v>
      </c>
      <c r="F1850" t="s">
        <v>129</v>
      </c>
      <c r="G1850" t="s">
        <v>126</v>
      </c>
      <c r="H1850">
        <v>0</v>
      </c>
      <c r="I1850">
        <v>47500</v>
      </c>
      <c r="J1850">
        <v>-47500</v>
      </c>
      <c r="L1850">
        <v>33</v>
      </c>
      <c r="M1850">
        <v>558</v>
      </c>
      <c r="N1850" t="s">
        <v>230</v>
      </c>
      <c r="O1850" t="s">
        <v>231</v>
      </c>
    </row>
    <row r="1851" spans="2:15" x14ac:dyDescent="0.25">
      <c r="B1851" t="s">
        <v>15</v>
      </c>
      <c r="C1851" s="4">
        <v>44848</v>
      </c>
      <c r="D1851">
        <v>10</v>
      </c>
      <c r="E1851" t="s">
        <v>130</v>
      </c>
      <c r="F1851" t="s">
        <v>131</v>
      </c>
      <c r="G1851" t="s">
        <v>126</v>
      </c>
      <c r="H1851">
        <v>0</v>
      </c>
      <c r="I1851">
        <v>250000</v>
      </c>
      <c r="J1851">
        <v>-250000</v>
      </c>
      <c r="L1851">
        <v>33</v>
      </c>
      <c r="M1851">
        <v>558</v>
      </c>
      <c r="N1851" t="s">
        <v>230</v>
      </c>
      <c r="O1851" t="s">
        <v>231</v>
      </c>
    </row>
    <row r="1852" spans="2:15" x14ac:dyDescent="0.25">
      <c r="B1852" t="s">
        <v>15</v>
      </c>
      <c r="C1852" s="4">
        <v>44848</v>
      </c>
      <c r="D1852">
        <v>10</v>
      </c>
      <c r="E1852" t="s">
        <v>16</v>
      </c>
      <c r="F1852" t="s">
        <v>125</v>
      </c>
      <c r="G1852" t="s">
        <v>126</v>
      </c>
      <c r="H1852">
        <v>1140960</v>
      </c>
      <c r="I1852">
        <v>0</v>
      </c>
      <c r="J1852">
        <v>1140960</v>
      </c>
      <c r="L1852">
        <v>33</v>
      </c>
      <c r="M1852">
        <v>559</v>
      </c>
      <c r="N1852" t="s">
        <v>206</v>
      </c>
      <c r="O1852" t="s">
        <v>207</v>
      </c>
    </row>
    <row r="1853" spans="2:15" x14ac:dyDescent="0.25">
      <c r="B1853" t="s">
        <v>15</v>
      </c>
      <c r="C1853" s="4">
        <v>44848</v>
      </c>
      <c r="D1853">
        <v>10</v>
      </c>
      <c r="E1853" t="s">
        <v>21</v>
      </c>
      <c r="F1853" t="s">
        <v>129</v>
      </c>
      <c r="G1853" t="s">
        <v>126</v>
      </c>
      <c r="H1853">
        <v>0</v>
      </c>
      <c r="I1853">
        <v>182170</v>
      </c>
      <c r="J1853">
        <v>-182170</v>
      </c>
      <c r="L1853">
        <v>33</v>
      </c>
      <c r="M1853">
        <v>559</v>
      </c>
      <c r="N1853" t="s">
        <v>206</v>
      </c>
      <c r="O1853" t="s">
        <v>207</v>
      </c>
    </row>
    <row r="1854" spans="2:15" x14ac:dyDescent="0.25">
      <c r="B1854" t="s">
        <v>15</v>
      </c>
      <c r="C1854" s="4">
        <v>44848</v>
      </c>
      <c r="D1854">
        <v>10</v>
      </c>
      <c r="E1854" t="s">
        <v>130</v>
      </c>
      <c r="F1854" t="s">
        <v>131</v>
      </c>
      <c r="G1854" t="s">
        <v>126</v>
      </c>
      <c r="H1854">
        <v>0</v>
      </c>
      <c r="I1854">
        <v>958790</v>
      </c>
      <c r="J1854">
        <v>-958790</v>
      </c>
      <c r="L1854">
        <v>33</v>
      </c>
      <c r="M1854">
        <v>559</v>
      </c>
      <c r="N1854" t="s">
        <v>206</v>
      </c>
      <c r="O1854" t="s">
        <v>207</v>
      </c>
    </row>
    <row r="1855" spans="2:15" x14ac:dyDescent="0.25">
      <c r="B1855" t="s">
        <v>15</v>
      </c>
      <c r="C1855" s="4">
        <v>44848</v>
      </c>
      <c r="D1855">
        <v>10</v>
      </c>
      <c r="E1855" t="s">
        <v>16</v>
      </c>
      <c r="F1855" t="s">
        <v>125</v>
      </c>
      <c r="G1855" t="s">
        <v>126</v>
      </c>
      <c r="H1855">
        <v>456127</v>
      </c>
      <c r="I1855">
        <v>0</v>
      </c>
      <c r="J1855">
        <v>456127</v>
      </c>
      <c r="L1855">
        <v>33</v>
      </c>
      <c r="M1855">
        <v>560</v>
      </c>
      <c r="N1855" t="s">
        <v>216</v>
      </c>
      <c r="O1855" t="s">
        <v>217</v>
      </c>
    </row>
    <row r="1856" spans="2:15" x14ac:dyDescent="0.25">
      <c r="B1856" t="s">
        <v>15</v>
      </c>
      <c r="C1856" s="4">
        <v>44848</v>
      </c>
      <c r="D1856">
        <v>10</v>
      </c>
      <c r="E1856" t="s">
        <v>21</v>
      </c>
      <c r="F1856" t="s">
        <v>129</v>
      </c>
      <c r="G1856" t="s">
        <v>126</v>
      </c>
      <c r="H1856">
        <v>0</v>
      </c>
      <c r="I1856">
        <v>72827</v>
      </c>
      <c r="J1856">
        <v>-72827</v>
      </c>
      <c r="L1856">
        <v>33</v>
      </c>
      <c r="M1856">
        <v>560</v>
      </c>
      <c r="N1856" t="s">
        <v>216</v>
      </c>
      <c r="O1856" t="s">
        <v>217</v>
      </c>
    </row>
    <row r="1857" spans="2:15" x14ac:dyDescent="0.25">
      <c r="B1857" t="s">
        <v>15</v>
      </c>
      <c r="C1857" s="4">
        <v>44848</v>
      </c>
      <c r="D1857">
        <v>10</v>
      </c>
      <c r="E1857" t="s">
        <v>130</v>
      </c>
      <c r="F1857" t="s">
        <v>131</v>
      </c>
      <c r="G1857" t="s">
        <v>126</v>
      </c>
      <c r="H1857">
        <v>0</v>
      </c>
      <c r="I1857">
        <v>383300</v>
      </c>
      <c r="J1857">
        <v>-383300</v>
      </c>
      <c r="L1857">
        <v>33</v>
      </c>
      <c r="M1857">
        <v>560</v>
      </c>
      <c r="N1857" t="s">
        <v>216</v>
      </c>
      <c r="O1857" t="s">
        <v>217</v>
      </c>
    </row>
    <row r="1858" spans="2:15" x14ac:dyDescent="0.25">
      <c r="B1858" t="s">
        <v>15</v>
      </c>
      <c r="C1858" s="4">
        <v>44848</v>
      </c>
      <c r="D1858">
        <v>10</v>
      </c>
      <c r="E1858" t="s">
        <v>16</v>
      </c>
      <c r="F1858" t="s">
        <v>125</v>
      </c>
      <c r="G1858" t="s">
        <v>126</v>
      </c>
      <c r="H1858">
        <v>99365</v>
      </c>
      <c r="I1858">
        <v>0</v>
      </c>
      <c r="J1858">
        <v>99365</v>
      </c>
      <c r="L1858">
        <v>33</v>
      </c>
      <c r="M1858">
        <v>561</v>
      </c>
      <c r="N1858" t="s">
        <v>246</v>
      </c>
      <c r="O1858" t="s">
        <v>247</v>
      </c>
    </row>
    <row r="1859" spans="2:15" x14ac:dyDescent="0.25">
      <c r="B1859" t="s">
        <v>15</v>
      </c>
      <c r="C1859" s="4">
        <v>44848</v>
      </c>
      <c r="D1859">
        <v>10</v>
      </c>
      <c r="E1859" t="s">
        <v>21</v>
      </c>
      <c r="F1859" t="s">
        <v>129</v>
      </c>
      <c r="G1859" t="s">
        <v>126</v>
      </c>
      <c r="H1859">
        <v>0</v>
      </c>
      <c r="I1859">
        <v>15865</v>
      </c>
      <c r="J1859">
        <v>-15865</v>
      </c>
      <c r="L1859">
        <v>33</v>
      </c>
      <c r="M1859">
        <v>561</v>
      </c>
      <c r="N1859" t="s">
        <v>246</v>
      </c>
      <c r="O1859" t="s">
        <v>247</v>
      </c>
    </row>
    <row r="1860" spans="2:15" x14ac:dyDescent="0.25">
      <c r="B1860" t="s">
        <v>15</v>
      </c>
      <c r="C1860" s="4">
        <v>44848</v>
      </c>
      <c r="D1860">
        <v>10</v>
      </c>
      <c r="E1860" t="s">
        <v>130</v>
      </c>
      <c r="F1860" t="s">
        <v>131</v>
      </c>
      <c r="G1860" t="s">
        <v>126</v>
      </c>
      <c r="H1860">
        <v>0</v>
      </c>
      <c r="I1860">
        <v>83500</v>
      </c>
      <c r="J1860">
        <v>-83500</v>
      </c>
      <c r="L1860">
        <v>33</v>
      </c>
      <c r="M1860">
        <v>561</v>
      </c>
      <c r="N1860" t="s">
        <v>246</v>
      </c>
      <c r="O1860" t="s">
        <v>247</v>
      </c>
    </row>
    <row r="1861" spans="2:15" x14ac:dyDescent="0.25">
      <c r="B1861" t="s">
        <v>15</v>
      </c>
      <c r="C1861" s="4">
        <v>44848</v>
      </c>
      <c r="D1861">
        <v>10</v>
      </c>
      <c r="E1861" t="s">
        <v>16</v>
      </c>
      <c r="F1861" t="s">
        <v>125</v>
      </c>
      <c r="G1861" t="s">
        <v>126</v>
      </c>
      <c r="H1861">
        <v>47362</v>
      </c>
      <c r="I1861">
        <v>0</v>
      </c>
      <c r="J1861">
        <v>47362</v>
      </c>
      <c r="L1861">
        <v>33</v>
      </c>
      <c r="M1861">
        <v>562</v>
      </c>
      <c r="N1861" t="s">
        <v>156</v>
      </c>
      <c r="O1861" t="s">
        <v>157</v>
      </c>
    </row>
    <row r="1862" spans="2:15" x14ac:dyDescent="0.25">
      <c r="B1862" t="s">
        <v>15</v>
      </c>
      <c r="C1862" s="4">
        <v>44848</v>
      </c>
      <c r="D1862">
        <v>10</v>
      </c>
      <c r="E1862" t="s">
        <v>21</v>
      </c>
      <c r="F1862" t="s">
        <v>129</v>
      </c>
      <c r="G1862" t="s">
        <v>126</v>
      </c>
      <c r="H1862">
        <v>0</v>
      </c>
      <c r="I1862">
        <v>7562</v>
      </c>
      <c r="J1862">
        <v>-7562</v>
      </c>
      <c r="L1862">
        <v>33</v>
      </c>
      <c r="M1862">
        <v>562</v>
      </c>
      <c r="N1862" t="s">
        <v>156</v>
      </c>
      <c r="O1862" t="s">
        <v>157</v>
      </c>
    </row>
    <row r="1863" spans="2:15" x14ac:dyDescent="0.25">
      <c r="B1863" t="s">
        <v>15</v>
      </c>
      <c r="C1863" s="4">
        <v>44848</v>
      </c>
      <c r="D1863">
        <v>10</v>
      </c>
      <c r="E1863" t="s">
        <v>130</v>
      </c>
      <c r="F1863" t="s">
        <v>131</v>
      </c>
      <c r="G1863" t="s">
        <v>126</v>
      </c>
      <c r="H1863">
        <v>0</v>
      </c>
      <c r="I1863">
        <v>39800</v>
      </c>
      <c r="J1863">
        <v>-39800</v>
      </c>
      <c r="L1863">
        <v>33</v>
      </c>
      <c r="M1863">
        <v>562</v>
      </c>
      <c r="N1863" t="s">
        <v>156</v>
      </c>
      <c r="O1863" t="s">
        <v>157</v>
      </c>
    </row>
    <row r="1864" spans="2:15" x14ac:dyDescent="0.25">
      <c r="B1864" t="s">
        <v>15</v>
      </c>
      <c r="C1864" s="4">
        <v>44858</v>
      </c>
      <c r="D1864">
        <v>10</v>
      </c>
      <c r="E1864" t="s">
        <v>16</v>
      </c>
      <c r="F1864" t="s">
        <v>125</v>
      </c>
      <c r="G1864" t="s">
        <v>126</v>
      </c>
      <c r="H1864">
        <v>53431</v>
      </c>
      <c r="I1864">
        <v>0</v>
      </c>
      <c r="J1864">
        <v>53431</v>
      </c>
      <c r="L1864">
        <v>33</v>
      </c>
      <c r="M1864">
        <v>563</v>
      </c>
      <c r="N1864" t="s">
        <v>254</v>
      </c>
      <c r="O1864" t="s">
        <v>255</v>
      </c>
    </row>
    <row r="1865" spans="2:15" x14ac:dyDescent="0.25">
      <c r="B1865" t="s">
        <v>15</v>
      </c>
      <c r="C1865" s="4">
        <v>44858</v>
      </c>
      <c r="D1865">
        <v>10</v>
      </c>
      <c r="E1865" t="s">
        <v>21</v>
      </c>
      <c r="F1865" t="s">
        <v>129</v>
      </c>
      <c r="G1865" t="s">
        <v>126</v>
      </c>
      <c r="H1865">
        <v>0</v>
      </c>
      <c r="I1865">
        <v>8531</v>
      </c>
      <c r="J1865">
        <v>-8531</v>
      </c>
      <c r="L1865">
        <v>33</v>
      </c>
      <c r="M1865">
        <v>563</v>
      </c>
      <c r="N1865" t="s">
        <v>254</v>
      </c>
      <c r="O1865" t="s">
        <v>255</v>
      </c>
    </row>
    <row r="1866" spans="2:15" x14ac:dyDescent="0.25">
      <c r="B1866" t="s">
        <v>15</v>
      </c>
      <c r="C1866" s="4">
        <v>44858</v>
      </c>
      <c r="D1866">
        <v>10</v>
      </c>
      <c r="E1866" t="s">
        <v>130</v>
      </c>
      <c r="F1866" t="s">
        <v>131</v>
      </c>
      <c r="G1866" t="s">
        <v>126</v>
      </c>
      <c r="H1866">
        <v>0</v>
      </c>
      <c r="I1866">
        <v>44900</v>
      </c>
      <c r="J1866">
        <v>-44900</v>
      </c>
      <c r="L1866">
        <v>33</v>
      </c>
      <c r="M1866">
        <v>563</v>
      </c>
      <c r="N1866" t="s">
        <v>254</v>
      </c>
      <c r="O1866" t="s">
        <v>255</v>
      </c>
    </row>
    <row r="1867" spans="2:15" x14ac:dyDescent="0.25">
      <c r="B1867" t="s">
        <v>15</v>
      </c>
      <c r="C1867" s="4">
        <v>44858</v>
      </c>
      <c r="D1867">
        <v>10</v>
      </c>
      <c r="E1867" t="s">
        <v>16</v>
      </c>
      <c r="F1867" t="s">
        <v>125</v>
      </c>
      <c r="G1867" t="s">
        <v>126</v>
      </c>
      <c r="H1867">
        <v>92772</v>
      </c>
      <c r="I1867">
        <v>0</v>
      </c>
      <c r="J1867">
        <v>92772</v>
      </c>
      <c r="L1867">
        <v>33</v>
      </c>
      <c r="M1867">
        <v>565</v>
      </c>
      <c r="N1867" t="s">
        <v>256</v>
      </c>
      <c r="O1867" t="s">
        <v>257</v>
      </c>
    </row>
    <row r="1868" spans="2:15" x14ac:dyDescent="0.25">
      <c r="B1868" t="s">
        <v>15</v>
      </c>
      <c r="C1868" s="4">
        <v>44858</v>
      </c>
      <c r="D1868">
        <v>10</v>
      </c>
      <c r="E1868" t="s">
        <v>21</v>
      </c>
      <c r="F1868" t="s">
        <v>129</v>
      </c>
      <c r="G1868" t="s">
        <v>126</v>
      </c>
      <c r="H1868">
        <v>0</v>
      </c>
      <c r="I1868">
        <v>14812</v>
      </c>
      <c r="J1868">
        <v>-14812</v>
      </c>
      <c r="L1868">
        <v>33</v>
      </c>
      <c r="M1868">
        <v>565</v>
      </c>
      <c r="N1868" t="s">
        <v>256</v>
      </c>
      <c r="O1868" t="s">
        <v>257</v>
      </c>
    </row>
    <row r="1869" spans="2:15" x14ac:dyDescent="0.25">
      <c r="B1869" t="s">
        <v>15</v>
      </c>
      <c r="C1869" s="4">
        <v>44858</v>
      </c>
      <c r="D1869">
        <v>10</v>
      </c>
      <c r="E1869" t="s">
        <v>130</v>
      </c>
      <c r="F1869" t="s">
        <v>131</v>
      </c>
      <c r="G1869" t="s">
        <v>126</v>
      </c>
      <c r="H1869">
        <v>0</v>
      </c>
      <c r="I1869">
        <v>77960</v>
      </c>
      <c r="J1869">
        <v>-77960</v>
      </c>
      <c r="L1869">
        <v>33</v>
      </c>
      <c r="M1869">
        <v>565</v>
      </c>
      <c r="N1869" t="s">
        <v>256</v>
      </c>
      <c r="O1869" t="s">
        <v>257</v>
      </c>
    </row>
    <row r="1870" spans="2:15" x14ac:dyDescent="0.25">
      <c r="B1870" t="s">
        <v>15</v>
      </c>
      <c r="C1870" s="4">
        <v>44859</v>
      </c>
      <c r="D1870">
        <v>10</v>
      </c>
      <c r="E1870" t="s">
        <v>16</v>
      </c>
      <c r="F1870" t="s">
        <v>125</v>
      </c>
      <c r="G1870" t="s">
        <v>126</v>
      </c>
      <c r="H1870">
        <v>394485</v>
      </c>
      <c r="I1870">
        <v>0</v>
      </c>
      <c r="J1870">
        <v>394485</v>
      </c>
      <c r="L1870">
        <v>33</v>
      </c>
      <c r="M1870">
        <v>566</v>
      </c>
      <c r="N1870" t="s">
        <v>250</v>
      </c>
      <c r="O1870" t="s">
        <v>251</v>
      </c>
    </row>
    <row r="1871" spans="2:15" x14ac:dyDescent="0.25">
      <c r="B1871" t="s">
        <v>15</v>
      </c>
      <c r="C1871" s="4">
        <v>44859</v>
      </c>
      <c r="D1871">
        <v>10</v>
      </c>
      <c r="E1871" t="s">
        <v>21</v>
      </c>
      <c r="F1871" t="s">
        <v>129</v>
      </c>
      <c r="G1871" t="s">
        <v>126</v>
      </c>
      <c r="H1871">
        <v>0</v>
      </c>
      <c r="I1871">
        <v>62985</v>
      </c>
      <c r="J1871">
        <v>-62985</v>
      </c>
      <c r="L1871">
        <v>33</v>
      </c>
      <c r="M1871">
        <v>566</v>
      </c>
      <c r="N1871" t="s">
        <v>250</v>
      </c>
      <c r="O1871" t="s">
        <v>251</v>
      </c>
    </row>
    <row r="1872" spans="2:15" x14ac:dyDescent="0.25">
      <c r="B1872" t="s">
        <v>15</v>
      </c>
      <c r="C1872" s="4">
        <v>44859</v>
      </c>
      <c r="D1872">
        <v>10</v>
      </c>
      <c r="E1872" t="s">
        <v>130</v>
      </c>
      <c r="F1872" t="s">
        <v>131</v>
      </c>
      <c r="G1872" t="s">
        <v>126</v>
      </c>
      <c r="H1872">
        <v>0</v>
      </c>
      <c r="I1872">
        <v>331500</v>
      </c>
      <c r="J1872">
        <v>-331500</v>
      </c>
      <c r="L1872">
        <v>33</v>
      </c>
      <c r="M1872">
        <v>566</v>
      </c>
      <c r="N1872" t="s">
        <v>250</v>
      </c>
      <c r="O1872" t="s">
        <v>251</v>
      </c>
    </row>
    <row r="1873" spans="2:15" x14ac:dyDescent="0.25">
      <c r="B1873" t="s">
        <v>15</v>
      </c>
      <c r="C1873" s="4">
        <v>44859</v>
      </c>
      <c r="D1873">
        <v>10</v>
      </c>
      <c r="E1873" t="s">
        <v>16</v>
      </c>
      <c r="F1873" t="s">
        <v>125</v>
      </c>
      <c r="G1873" t="s">
        <v>126</v>
      </c>
      <c r="H1873">
        <v>88060</v>
      </c>
      <c r="I1873">
        <v>0</v>
      </c>
      <c r="J1873">
        <v>88060</v>
      </c>
      <c r="L1873">
        <v>33</v>
      </c>
      <c r="M1873">
        <v>567</v>
      </c>
      <c r="N1873" t="s">
        <v>258</v>
      </c>
      <c r="O1873" t="s">
        <v>259</v>
      </c>
    </row>
    <row r="1874" spans="2:15" x14ac:dyDescent="0.25">
      <c r="B1874" t="s">
        <v>15</v>
      </c>
      <c r="C1874" s="4">
        <v>44859</v>
      </c>
      <c r="D1874">
        <v>10</v>
      </c>
      <c r="E1874" t="s">
        <v>21</v>
      </c>
      <c r="F1874" t="s">
        <v>129</v>
      </c>
      <c r="G1874" t="s">
        <v>126</v>
      </c>
      <c r="H1874">
        <v>0</v>
      </c>
      <c r="I1874">
        <v>14060</v>
      </c>
      <c r="J1874">
        <v>-14060</v>
      </c>
      <c r="L1874">
        <v>33</v>
      </c>
      <c r="M1874">
        <v>567</v>
      </c>
      <c r="N1874" t="s">
        <v>258</v>
      </c>
      <c r="O1874" t="s">
        <v>259</v>
      </c>
    </row>
    <row r="1875" spans="2:15" x14ac:dyDescent="0.25">
      <c r="B1875" t="s">
        <v>15</v>
      </c>
      <c r="C1875" s="4">
        <v>44859</v>
      </c>
      <c r="D1875">
        <v>10</v>
      </c>
      <c r="E1875" t="s">
        <v>130</v>
      </c>
      <c r="F1875" t="s">
        <v>131</v>
      </c>
      <c r="G1875" t="s">
        <v>126</v>
      </c>
      <c r="H1875">
        <v>0</v>
      </c>
      <c r="I1875">
        <v>74000</v>
      </c>
      <c r="J1875">
        <v>-74000</v>
      </c>
      <c r="L1875">
        <v>33</v>
      </c>
      <c r="M1875">
        <v>567</v>
      </c>
      <c r="N1875" t="s">
        <v>258</v>
      </c>
      <c r="O1875" t="s">
        <v>259</v>
      </c>
    </row>
    <row r="1876" spans="2:15" x14ac:dyDescent="0.25">
      <c r="B1876" t="s">
        <v>15</v>
      </c>
      <c r="C1876" s="4">
        <v>44859</v>
      </c>
      <c r="D1876">
        <v>10</v>
      </c>
      <c r="E1876" t="s">
        <v>16</v>
      </c>
      <c r="F1876" t="s">
        <v>125</v>
      </c>
      <c r="G1876" t="s">
        <v>126</v>
      </c>
      <c r="H1876">
        <v>117810</v>
      </c>
      <c r="I1876">
        <v>0</v>
      </c>
      <c r="J1876">
        <v>117810</v>
      </c>
      <c r="L1876">
        <v>33</v>
      </c>
      <c r="M1876">
        <v>568</v>
      </c>
      <c r="N1876" t="s">
        <v>260</v>
      </c>
      <c r="O1876" t="s">
        <v>261</v>
      </c>
    </row>
    <row r="1877" spans="2:15" x14ac:dyDescent="0.25">
      <c r="B1877" t="s">
        <v>15</v>
      </c>
      <c r="C1877" s="4">
        <v>44859</v>
      </c>
      <c r="D1877">
        <v>10</v>
      </c>
      <c r="E1877" t="s">
        <v>21</v>
      </c>
      <c r="F1877" t="s">
        <v>129</v>
      </c>
      <c r="G1877" t="s">
        <v>126</v>
      </c>
      <c r="H1877">
        <v>0</v>
      </c>
      <c r="I1877">
        <v>18810</v>
      </c>
      <c r="J1877">
        <v>-18810</v>
      </c>
      <c r="L1877">
        <v>33</v>
      </c>
      <c r="M1877">
        <v>568</v>
      </c>
      <c r="N1877" t="s">
        <v>260</v>
      </c>
      <c r="O1877" t="s">
        <v>261</v>
      </c>
    </row>
    <row r="1878" spans="2:15" x14ac:dyDescent="0.25">
      <c r="B1878" t="s">
        <v>15</v>
      </c>
      <c r="C1878" s="4">
        <v>44859</v>
      </c>
      <c r="D1878">
        <v>10</v>
      </c>
      <c r="E1878" t="s">
        <v>130</v>
      </c>
      <c r="F1878" t="s">
        <v>131</v>
      </c>
      <c r="G1878" t="s">
        <v>126</v>
      </c>
      <c r="H1878">
        <v>0</v>
      </c>
      <c r="I1878">
        <v>99000</v>
      </c>
      <c r="J1878">
        <v>-99000</v>
      </c>
      <c r="L1878">
        <v>33</v>
      </c>
      <c r="M1878">
        <v>568</v>
      </c>
      <c r="N1878" t="s">
        <v>260</v>
      </c>
      <c r="O1878" t="s">
        <v>261</v>
      </c>
    </row>
    <row r="1879" spans="2:15" x14ac:dyDescent="0.25">
      <c r="B1879" t="s">
        <v>15</v>
      </c>
      <c r="C1879" s="4">
        <v>44859</v>
      </c>
      <c r="D1879">
        <v>10</v>
      </c>
      <c r="E1879" t="s">
        <v>16</v>
      </c>
      <c r="F1879" t="s">
        <v>125</v>
      </c>
      <c r="G1879" t="s">
        <v>126</v>
      </c>
      <c r="H1879">
        <v>1223272</v>
      </c>
      <c r="I1879">
        <v>0</v>
      </c>
      <c r="J1879">
        <v>1223272</v>
      </c>
      <c r="L1879">
        <v>33</v>
      </c>
      <c r="M1879">
        <v>569</v>
      </c>
      <c r="N1879" t="s">
        <v>262</v>
      </c>
      <c r="O1879" t="s">
        <v>263</v>
      </c>
    </row>
    <row r="1880" spans="2:15" x14ac:dyDescent="0.25">
      <c r="B1880" t="s">
        <v>15</v>
      </c>
      <c r="C1880" s="4">
        <v>44859</v>
      </c>
      <c r="D1880">
        <v>10</v>
      </c>
      <c r="E1880" t="s">
        <v>21</v>
      </c>
      <c r="F1880" t="s">
        <v>129</v>
      </c>
      <c r="G1880" t="s">
        <v>126</v>
      </c>
      <c r="H1880">
        <v>0</v>
      </c>
      <c r="I1880">
        <v>195312</v>
      </c>
      <c r="J1880">
        <v>-195312</v>
      </c>
      <c r="L1880">
        <v>33</v>
      </c>
      <c r="M1880">
        <v>569</v>
      </c>
      <c r="N1880" t="s">
        <v>262</v>
      </c>
      <c r="O1880" t="s">
        <v>263</v>
      </c>
    </row>
    <row r="1881" spans="2:15" x14ac:dyDescent="0.25">
      <c r="B1881" t="s">
        <v>15</v>
      </c>
      <c r="C1881" s="4">
        <v>44859</v>
      </c>
      <c r="D1881">
        <v>10</v>
      </c>
      <c r="E1881" t="s">
        <v>130</v>
      </c>
      <c r="F1881" t="s">
        <v>131</v>
      </c>
      <c r="G1881" t="s">
        <v>126</v>
      </c>
      <c r="H1881">
        <v>0</v>
      </c>
      <c r="I1881">
        <v>1027960</v>
      </c>
      <c r="J1881">
        <v>-1027960</v>
      </c>
      <c r="L1881">
        <v>33</v>
      </c>
      <c r="M1881">
        <v>569</v>
      </c>
      <c r="N1881" t="s">
        <v>262</v>
      </c>
      <c r="O1881" t="s">
        <v>263</v>
      </c>
    </row>
    <row r="1882" spans="2:15" x14ac:dyDescent="0.25">
      <c r="B1882" t="s">
        <v>15</v>
      </c>
      <c r="C1882" s="4">
        <v>44860</v>
      </c>
      <c r="D1882">
        <v>10</v>
      </c>
      <c r="E1882" t="s">
        <v>16</v>
      </c>
      <c r="F1882" t="s">
        <v>125</v>
      </c>
      <c r="G1882" t="s">
        <v>126</v>
      </c>
      <c r="H1882">
        <v>443965</v>
      </c>
      <c r="I1882">
        <v>0</v>
      </c>
      <c r="J1882">
        <v>443965</v>
      </c>
      <c r="L1882">
        <v>33</v>
      </c>
      <c r="M1882">
        <v>570</v>
      </c>
      <c r="N1882" t="s">
        <v>264</v>
      </c>
      <c r="O1882" t="s">
        <v>265</v>
      </c>
    </row>
    <row r="1883" spans="2:15" x14ac:dyDescent="0.25">
      <c r="B1883" t="s">
        <v>15</v>
      </c>
      <c r="C1883" s="4">
        <v>44860</v>
      </c>
      <c r="D1883">
        <v>10</v>
      </c>
      <c r="E1883" t="s">
        <v>21</v>
      </c>
      <c r="F1883" t="s">
        <v>129</v>
      </c>
      <c r="G1883" t="s">
        <v>126</v>
      </c>
      <c r="H1883">
        <v>0</v>
      </c>
      <c r="I1883">
        <v>70885</v>
      </c>
      <c r="J1883">
        <v>-70885</v>
      </c>
      <c r="L1883">
        <v>33</v>
      </c>
      <c r="M1883">
        <v>570</v>
      </c>
      <c r="N1883" t="s">
        <v>264</v>
      </c>
      <c r="O1883" t="s">
        <v>265</v>
      </c>
    </row>
    <row r="1884" spans="2:15" x14ac:dyDescent="0.25">
      <c r="B1884" t="s">
        <v>15</v>
      </c>
      <c r="C1884" s="4">
        <v>44860</v>
      </c>
      <c r="D1884">
        <v>10</v>
      </c>
      <c r="E1884" t="s">
        <v>130</v>
      </c>
      <c r="F1884" t="s">
        <v>131</v>
      </c>
      <c r="G1884" t="s">
        <v>126</v>
      </c>
      <c r="H1884">
        <v>0</v>
      </c>
      <c r="I1884">
        <v>373080</v>
      </c>
      <c r="J1884">
        <v>-373080</v>
      </c>
      <c r="L1884">
        <v>33</v>
      </c>
      <c r="M1884">
        <v>570</v>
      </c>
      <c r="N1884" t="s">
        <v>264</v>
      </c>
      <c r="O1884" t="s">
        <v>265</v>
      </c>
    </row>
    <row r="1885" spans="2:15" x14ac:dyDescent="0.25">
      <c r="B1885" t="s">
        <v>15</v>
      </c>
      <c r="C1885" s="4">
        <v>44862</v>
      </c>
      <c r="D1885">
        <v>10</v>
      </c>
      <c r="E1885" t="s">
        <v>16</v>
      </c>
      <c r="F1885" t="s">
        <v>125</v>
      </c>
      <c r="G1885" t="s">
        <v>126</v>
      </c>
      <c r="H1885">
        <v>171170</v>
      </c>
      <c r="I1885">
        <v>0</v>
      </c>
      <c r="J1885">
        <v>171170</v>
      </c>
      <c r="L1885">
        <v>33</v>
      </c>
      <c r="M1885">
        <v>571</v>
      </c>
      <c r="N1885" t="s">
        <v>226</v>
      </c>
      <c r="O1885" t="s">
        <v>227</v>
      </c>
    </row>
    <row r="1886" spans="2:15" x14ac:dyDescent="0.25">
      <c r="B1886" t="s">
        <v>15</v>
      </c>
      <c r="C1886" s="4">
        <v>44862</v>
      </c>
      <c r="D1886">
        <v>10</v>
      </c>
      <c r="E1886" t="s">
        <v>21</v>
      </c>
      <c r="F1886" t="s">
        <v>129</v>
      </c>
      <c r="G1886" t="s">
        <v>126</v>
      </c>
      <c r="H1886">
        <v>0</v>
      </c>
      <c r="I1886">
        <v>27330</v>
      </c>
      <c r="J1886">
        <v>-27330</v>
      </c>
      <c r="L1886">
        <v>33</v>
      </c>
      <c r="M1886">
        <v>571</v>
      </c>
      <c r="N1886" t="s">
        <v>226</v>
      </c>
      <c r="O1886" t="s">
        <v>227</v>
      </c>
    </row>
    <row r="1887" spans="2:15" x14ac:dyDescent="0.25">
      <c r="B1887" t="s">
        <v>15</v>
      </c>
      <c r="C1887" s="4">
        <v>44862</v>
      </c>
      <c r="D1887">
        <v>10</v>
      </c>
      <c r="E1887" t="s">
        <v>130</v>
      </c>
      <c r="F1887" t="s">
        <v>131</v>
      </c>
      <c r="G1887" t="s">
        <v>126</v>
      </c>
      <c r="H1887">
        <v>0</v>
      </c>
      <c r="I1887">
        <v>143840</v>
      </c>
      <c r="J1887">
        <v>-143840</v>
      </c>
      <c r="L1887">
        <v>33</v>
      </c>
      <c r="M1887">
        <v>571</v>
      </c>
      <c r="N1887" t="s">
        <v>226</v>
      </c>
      <c r="O1887" t="s">
        <v>227</v>
      </c>
    </row>
    <row r="1888" spans="2:15" x14ac:dyDescent="0.25">
      <c r="B1888" t="s">
        <v>15</v>
      </c>
      <c r="C1888" s="4">
        <v>44862</v>
      </c>
      <c r="D1888">
        <v>10</v>
      </c>
      <c r="E1888" t="s">
        <v>16</v>
      </c>
      <c r="F1888" t="s">
        <v>125</v>
      </c>
      <c r="G1888" t="s">
        <v>126</v>
      </c>
      <c r="H1888">
        <v>427924</v>
      </c>
      <c r="I1888">
        <v>0</v>
      </c>
      <c r="J1888">
        <v>427924</v>
      </c>
      <c r="L1888">
        <v>33</v>
      </c>
      <c r="M1888">
        <v>572</v>
      </c>
      <c r="N1888" t="s">
        <v>174</v>
      </c>
      <c r="O1888" t="s">
        <v>175</v>
      </c>
    </row>
    <row r="1889" spans="2:15" x14ac:dyDescent="0.25">
      <c r="B1889" t="s">
        <v>15</v>
      </c>
      <c r="C1889" s="4">
        <v>44862</v>
      </c>
      <c r="D1889">
        <v>10</v>
      </c>
      <c r="E1889" t="s">
        <v>21</v>
      </c>
      <c r="F1889" t="s">
        <v>129</v>
      </c>
      <c r="G1889" t="s">
        <v>126</v>
      </c>
      <c r="H1889">
        <v>0</v>
      </c>
      <c r="I1889">
        <v>68324</v>
      </c>
      <c r="J1889">
        <v>-68324</v>
      </c>
      <c r="L1889">
        <v>33</v>
      </c>
      <c r="M1889">
        <v>572</v>
      </c>
      <c r="N1889" t="s">
        <v>174</v>
      </c>
      <c r="O1889" t="s">
        <v>175</v>
      </c>
    </row>
    <row r="1890" spans="2:15" x14ac:dyDescent="0.25">
      <c r="B1890" t="s">
        <v>15</v>
      </c>
      <c r="C1890" s="4">
        <v>44862</v>
      </c>
      <c r="D1890">
        <v>10</v>
      </c>
      <c r="E1890" t="s">
        <v>130</v>
      </c>
      <c r="F1890" t="s">
        <v>131</v>
      </c>
      <c r="G1890" t="s">
        <v>126</v>
      </c>
      <c r="H1890">
        <v>0</v>
      </c>
      <c r="I1890">
        <v>359600</v>
      </c>
      <c r="J1890">
        <v>-359600</v>
      </c>
      <c r="L1890">
        <v>33</v>
      </c>
      <c r="M1890">
        <v>572</v>
      </c>
      <c r="N1890" t="s">
        <v>174</v>
      </c>
      <c r="O1890" t="s">
        <v>175</v>
      </c>
    </row>
    <row r="1891" spans="2:15" x14ac:dyDescent="0.25">
      <c r="B1891" t="s">
        <v>15</v>
      </c>
      <c r="C1891" s="4">
        <v>44848</v>
      </c>
      <c r="D1891">
        <v>10</v>
      </c>
      <c r="E1891" t="s">
        <v>16</v>
      </c>
      <c r="F1891" t="s">
        <v>125</v>
      </c>
      <c r="G1891" t="s">
        <v>126</v>
      </c>
      <c r="H1891">
        <v>0</v>
      </c>
      <c r="I1891">
        <v>0</v>
      </c>
      <c r="J1891">
        <v>0</v>
      </c>
      <c r="L1891">
        <v>61</v>
      </c>
      <c r="M1891">
        <v>23</v>
      </c>
      <c r="N1891" t="s">
        <v>230</v>
      </c>
      <c r="O1891" t="s">
        <v>231</v>
      </c>
    </row>
    <row r="1892" spans="2:15" x14ac:dyDescent="0.25">
      <c r="B1892" t="s">
        <v>15</v>
      </c>
      <c r="C1892" s="4">
        <v>44848</v>
      </c>
      <c r="D1892">
        <v>10</v>
      </c>
      <c r="E1892" t="s">
        <v>21</v>
      </c>
      <c r="F1892" t="s">
        <v>129</v>
      </c>
      <c r="G1892" t="s">
        <v>126</v>
      </c>
      <c r="H1892">
        <v>0</v>
      </c>
      <c r="I1892">
        <v>0</v>
      </c>
      <c r="J1892">
        <v>0</v>
      </c>
      <c r="L1892">
        <v>61</v>
      </c>
      <c r="M1892">
        <v>23</v>
      </c>
      <c r="N1892" t="s">
        <v>230</v>
      </c>
      <c r="O1892" t="s">
        <v>231</v>
      </c>
    </row>
    <row r="1893" spans="2:15" x14ac:dyDescent="0.25">
      <c r="B1893" t="s">
        <v>15</v>
      </c>
      <c r="C1893" s="4">
        <v>44848</v>
      </c>
      <c r="D1893">
        <v>10</v>
      </c>
      <c r="E1893" t="s">
        <v>130</v>
      </c>
      <c r="F1893" t="s">
        <v>131</v>
      </c>
      <c r="G1893" t="s">
        <v>126</v>
      </c>
      <c r="H1893">
        <v>0</v>
      </c>
      <c r="I1893">
        <v>0</v>
      </c>
      <c r="J1893">
        <v>0</v>
      </c>
      <c r="L1893">
        <v>61</v>
      </c>
      <c r="M1893">
        <v>23</v>
      </c>
      <c r="N1893" t="s">
        <v>230</v>
      </c>
      <c r="O1893" t="s">
        <v>231</v>
      </c>
    </row>
    <row r="1894" spans="2:15" x14ac:dyDescent="0.25">
      <c r="B1894" t="s">
        <v>15</v>
      </c>
      <c r="C1894" s="4">
        <v>44848</v>
      </c>
      <c r="D1894">
        <v>10</v>
      </c>
      <c r="E1894" t="s">
        <v>16</v>
      </c>
      <c r="F1894" t="s">
        <v>125</v>
      </c>
      <c r="G1894" t="s">
        <v>126</v>
      </c>
      <c r="H1894">
        <v>0</v>
      </c>
      <c r="I1894">
        <v>297500</v>
      </c>
      <c r="J1894">
        <v>-297500</v>
      </c>
      <c r="L1894">
        <v>61</v>
      </c>
      <c r="M1894">
        <v>24</v>
      </c>
      <c r="N1894" t="s">
        <v>230</v>
      </c>
      <c r="O1894" t="s">
        <v>231</v>
      </c>
    </row>
    <row r="1895" spans="2:15" x14ac:dyDescent="0.25">
      <c r="B1895" t="s">
        <v>15</v>
      </c>
      <c r="C1895" s="4">
        <v>44848</v>
      </c>
      <c r="D1895">
        <v>10</v>
      </c>
      <c r="E1895" t="s">
        <v>21</v>
      </c>
      <c r="F1895" t="s">
        <v>129</v>
      </c>
      <c r="G1895" t="s">
        <v>126</v>
      </c>
      <c r="H1895">
        <v>47500</v>
      </c>
      <c r="I1895">
        <v>0</v>
      </c>
      <c r="J1895">
        <v>47500</v>
      </c>
      <c r="L1895">
        <v>61</v>
      </c>
      <c r="M1895">
        <v>24</v>
      </c>
      <c r="N1895" t="s">
        <v>230</v>
      </c>
      <c r="O1895" t="s">
        <v>231</v>
      </c>
    </row>
    <row r="1896" spans="2:15" x14ac:dyDescent="0.25">
      <c r="B1896" t="s">
        <v>15</v>
      </c>
      <c r="C1896" s="4">
        <v>44848</v>
      </c>
      <c r="D1896">
        <v>10</v>
      </c>
      <c r="E1896" t="s">
        <v>130</v>
      </c>
      <c r="F1896" t="s">
        <v>131</v>
      </c>
      <c r="G1896" t="s">
        <v>126</v>
      </c>
      <c r="H1896">
        <v>250000</v>
      </c>
      <c r="I1896">
        <v>0</v>
      </c>
      <c r="J1896">
        <v>250000</v>
      </c>
      <c r="L1896">
        <v>61</v>
      </c>
      <c r="M1896">
        <v>24</v>
      </c>
      <c r="N1896" t="s">
        <v>230</v>
      </c>
      <c r="O1896" t="s">
        <v>231</v>
      </c>
    </row>
    <row r="1897" spans="2:15" x14ac:dyDescent="0.25">
      <c r="B1897" t="s">
        <v>15</v>
      </c>
      <c r="C1897" s="4">
        <v>44867</v>
      </c>
      <c r="D1897">
        <v>11</v>
      </c>
      <c r="E1897" t="s">
        <v>16</v>
      </c>
      <c r="F1897" t="s">
        <v>125</v>
      </c>
      <c r="G1897" t="s">
        <v>126</v>
      </c>
      <c r="H1897">
        <v>101638</v>
      </c>
      <c r="I1897">
        <v>0</v>
      </c>
      <c r="J1897">
        <v>101638</v>
      </c>
      <c r="L1897">
        <v>33</v>
      </c>
      <c r="M1897">
        <v>573</v>
      </c>
      <c r="N1897" t="s">
        <v>266</v>
      </c>
      <c r="O1897" t="s">
        <v>267</v>
      </c>
    </row>
    <row r="1898" spans="2:15" x14ac:dyDescent="0.25">
      <c r="B1898" t="s">
        <v>15</v>
      </c>
      <c r="C1898" s="4">
        <v>44867</v>
      </c>
      <c r="D1898">
        <v>11</v>
      </c>
      <c r="E1898" t="s">
        <v>21</v>
      </c>
      <c r="F1898" t="s">
        <v>129</v>
      </c>
      <c r="G1898" t="s">
        <v>126</v>
      </c>
      <c r="H1898">
        <v>0</v>
      </c>
      <c r="I1898">
        <v>16228</v>
      </c>
      <c r="J1898">
        <v>-16228</v>
      </c>
      <c r="L1898">
        <v>33</v>
      </c>
      <c r="M1898">
        <v>573</v>
      </c>
      <c r="N1898" t="s">
        <v>266</v>
      </c>
      <c r="O1898" t="s">
        <v>267</v>
      </c>
    </row>
    <row r="1899" spans="2:15" x14ac:dyDescent="0.25">
      <c r="B1899" t="s">
        <v>15</v>
      </c>
      <c r="C1899" s="4">
        <v>44867</v>
      </c>
      <c r="D1899">
        <v>11</v>
      </c>
      <c r="E1899" t="s">
        <v>130</v>
      </c>
      <c r="F1899" t="s">
        <v>131</v>
      </c>
      <c r="G1899" t="s">
        <v>126</v>
      </c>
      <c r="H1899">
        <v>0</v>
      </c>
      <c r="I1899">
        <v>85410</v>
      </c>
      <c r="J1899">
        <v>-85410</v>
      </c>
      <c r="L1899">
        <v>33</v>
      </c>
      <c r="M1899">
        <v>573</v>
      </c>
      <c r="N1899" t="s">
        <v>266</v>
      </c>
      <c r="O1899" t="s">
        <v>267</v>
      </c>
    </row>
    <row r="1900" spans="2:15" x14ac:dyDescent="0.25">
      <c r="B1900" t="s">
        <v>15</v>
      </c>
      <c r="C1900" s="4">
        <v>44867</v>
      </c>
      <c r="D1900">
        <v>11</v>
      </c>
      <c r="E1900" t="s">
        <v>16</v>
      </c>
      <c r="F1900" t="s">
        <v>125</v>
      </c>
      <c r="G1900" t="s">
        <v>126</v>
      </c>
      <c r="H1900">
        <v>67759</v>
      </c>
      <c r="I1900">
        <v>0</v>
      </c>
      <c r="J1900">
        <v>67759</v>
      </c>
      <c r="L1900">
        <v>33</v>
      </c>
      <c r="M1900">
        <v>574</v>
      </c>
      <c r="N1900" t="s">
        <v>266</v>
      </c>
      <c r="O1900" t="s">
        <v>267</v>
      </c>
    </row>
    <row r="1901" spans="2:15" x14ac:dyDescent="0.25">
      <c r="B1901" t="s">
        <v>15</v>
      </c>
      <c r="C1901" s="4">
        <v>44867</v>
      </c>
      <c r="D1901">
        <v>11</v>
      </c>
      <c r="E1901" t="s">
        <v>21</v>
      </c>
      <c r="F1901" t="s">
        <v>129</v>
      </c>
      <c r="G1901" t="s">
        <v>126</v>
      </c>
      <c r="H1901">
        <v>0</v>
      </c>
      <c r="I1901">
        <v>10819</v>
      </c>
      <c r="J1901">
        <v>-10819</v>
      </c>
      <c r="L1901">
        <v>33</v>
      </c>
      <c r="M1901">
        <v>574</v>
      </c>
      <c r="N1901" t="s">
        <v>266</v>
      </c>
      <c r="O1901" t="s">
        <v>267</v>
      </c>
    </row>
    <row r="1902" spans="2:15" x14ac:dyDescent="0.25">
      <c r="B1902" t="s">
        <v>15</v>
      </c>
      <c r="C1902" s="4">
        <v>44867</v>
      </c>
      <c r="D1902">
        <v>11</v>
      </c>
      <c r="E1902" t="s">
        <v>130</v>
      </c>
      <c r="F1902" t="s">
        <v>131</v>
      </c>
      <c r="G1902" t="s">
        <v>126</v>
      </c>
      <c r="H1902">
        <v>0</v>
      </c>
      <c r="I1902">
        <v>56940</v>
      </c>
      <c r="J1902">
        <v>-56940</v>
      </c>
      <c r="L1902">
        <v>33</v>
      </c>
      <c r="M1902">
        <v>574</v>
      </c>
      <c r="N1902" t="s">
        <v>266</v>
      </c>
      <c r="O1902" t="s">
        <v>267</v>
      </c>
    </row>
    <row r="1903" spans="2:15" x14ac:dyDescent="0.25">
      <c r="B1903" t="s">
        <v>15</v>
      </c>
      <c r="C1903" s="4">
        <v>44874</v>
      </c>
      <c r="D1903">
        <v>11</v>
      </c>
      <c r="E1903" t="s">
        <v>16</v>
      </c>
      <c r="F1903" t="s">
        <v>125</v>
      </c>
      <c r="G1903" t="s">
        <v>126</v>
      </c>
      <c r="H1903">
        <v>389844</v>
      </c>
      <c r="I1903">
        <v>0</v>
      </c>
      <c r="J1903">
        <v>389844</v>
      </c>
      <c r="L1903">
        <v>33</v>
      </c>
      <c r="M1903">
        <v>575</v>
      </c>
      <c r="N1903" t="s">
        <v>250</v>
      </c>
      <c r="O1903" t="s">
        <v>251</v>
      </c>
    </row>
    <row r="1904" spans="2:15" x14ac:dyDescent="0.25">
      <c r="B1904" t="s">
        <v>15</v>
      </c>
      <c r="C1904" s="4">
        <v>44874</v>
      </c>
      <c r="D1904">
        <v>11</v>
      </c>
      <c r="E1904" t="s">
        <v>21</v>
      </c>
      <c r="F1904" t="s">
        <v>129</v>
      </c>
      <c r="G1904" t="s">
        <v>126</v>
      </c>
      <c r="H1904">
        <v>0</v>
      </c>
      <c r="I1904">
        <v>62244</v>
      </c>
      <c r="J1904">
        <v>-62244</v>
      </c>
      <c r="L1904">
        <v>33</v>
      </c>
      <c r="M1904">
        <v>575</v>
      </c>
      <c r="N1904" t="s">
        <v>250</v>
      </c>
      <c r="O1904" t="s">
        <v>251</v>
      </c>
    </row>
    <row r="1905" spans="2:15" x14ac:dyDescent="0.25">
      <c r="B1905" t="s">
        <v>15</v>
      </c>
      <c r="C1905" s="4">
        <v>44874</v>
      </c>
      <c r="D1905">
        <v>11</v>
      </c>
      <c r="E1905" t="s">
        <v>130</v>
      </c>
      <c r="F1905" t="s">
        <v>131</v>
      </c>
      <c r="G1905" t="s">
        <v>126</v>
      </c>
      <c r="H1905">
        <v>0</v>
      </c>
      <c r="I1905">
        <v>327600</v>
      </c>
      <c r="J1905">
        <v>-327600</v>
      </c>
      <c r="L1905">
        <v>33</v>
      </c>
      <c r="M1905">
        <v>575</v>
      </c>
      <c r="N1905" t="s">
        <v>250</v>
      </c>
      <c r="O1905" t="s">
        <v>251</v>
      </c>
    </row>
    <row r="1906" spans="2:15" x14ac:dyDescent="0.25">
      <c r="B1906" t="s">
        <v>15</v>
      </c>
      <c r="C1906" s="4">
        <v>44874</v>
      </c>
      <c r="D1906">
        <v>11</v>
      </c>
      <c r="E1906" t="s">
        <v>16</v>
      </c>
      <c r="F1906" t="s">
        <v>125</v>
      </c>
      <c r="G1906" t="s">
        <v>126</v>
      </c>
      <c r="H1906">
        <v>414120</v>
      </c>
      <c r="I1906">
        <v>0</v>
      </c>
      <c r="J1906">
        <v>414120</v>
      </c>
      <c r="L1906">
        <v>33</v>
      </c>
      <c r="M1906">
        <v>577</v>
      </c>
      <c r="N1906" t="s">
        <v>142</v>
      </c>
      <c r="O1906" t="s">
        <v>143</v>
      </c>
    </row>
    <row r="1907" spans="2:15" x14ac:dyDescent="0.25">
      <c r="B1907" t="s">
        <v>15</v>
      </c>
      <c r="C1907" s="4">
        <v>44874</v>
      </c>
      <c r="D1907">
        <v>11</v>
      </c>
      <c r="E1907" t="s">
        <v>21</v>
      </c>
      <c r="F1907" t="s">
        <v>129</v>
      </c>
      <c r="G1907" t="s">
        <v>126</v>
      </c>
      <c r="H1907">
        <v>0</v>
      </c>
      <c r="I1907">
        <v>66120</v>
      </c>
      <c r="J1907">
        <v>-66120</v>
      </c>
      <c r="L1907">
        <v>33</v>
      </c>
      <c r="M1907">
        <v>577</v>
      </c>
      <c r="N1907" t="s">
        <v>142</v>
      </c>
      <c r="O1907" t="s">
        <v>143</v>
      </c>
    </row>
    <row r="1908" spans="2:15" x14ac:dyDescent="0.25">
      <c r="B1908" t="s">
        <v>15</v>
      </c>
      <c r="C1908" s="4">
        <v>44874</v>
      </c>
      <c r="D1908">
        <v>11</v>
      </c>
      <c r="E1908" t="s">
        <v>130</v>
      </c>
      <c r="F1908" t="s">
        <v>131</v>
      </c>
      <c r="G1908" t="s">
        <v>126</v>
      </c>
      <c r="H1908">
        <v>0</v>
      </c>
      <c r="I1908">
        <v>348000</v>
      </c>
      <c r="J1908">
        <v>-348000</v>
      </c>
      <c r="L1908">
        <v>33</v>
      </c>
      <c r="M1908">
        <v>577</v>
      </c>
      <c r="N1908" t="s">
        <v>142</v>
      </c>
      <c r="O1908" t="s">
        <v>143</v>
      </c>
    </row>
    <row r="1909" spans="2:15" x14ac:dyDescent="0.25">
      <c r="B1909" t="s">
        <v>15</v>
      </c>
      <c r="C1909" s="4">
        <v>44874</v>
      </c>
      <c r="D1909">
        <v>11</v>
      </c>
      <c r="E1909" t="s">
        <v>16</v>
      </c>
      <c r="F1909" t="s">
        <v>125</v>
      </c>
      <c r="G1909" t="s">
        <v>126</v>
      </c>
      <c r="H1909">
        <v>178357</v>
      </c>
      <c r="I1909">
        <v>0</v>
      </c>
      <c r="J1909">
        <v>178357</v>
      </c>
      <c r="L1909">
        <v>33</v>
      </c>
      <c r="M1909">
        <v>578</v>
      </c>
      <c r="N1909" t="s">
        <v>234</v>
      </c>
      <c r="O1909" t="s">
        <v>235</v>
      </c>
    </row>
    <row r="1910" spans="2:15" x14ac:dyDescent="0.25">
      <c r="B1910" t="s">
        <v>15</v>
      </c>
      <c r="C1910" s="4">
        <v>44874</v>
      </c>
      <c r="D1910">
        <v>11</v>
      </c>
      <c r="E1910" t="s">
        <v>21</v>
      </c>
      <c r="F1910" t="s">
        <v>129</v>
      </c>
      <c r="G1910" t="s">
        <v>126</v>
      </c>
      <c r="H1910">
        <v>0</v>
      </c>
      <c r="I1910">
        <v>28477</v>
      </c>
      <c r="J1910">
        <v>-28477</v>
      </c>
      <c r="L1910">
        <v>33</v>
      </c>
      <c r="M1910">
        <v>578</v>
      </c>
      <c r="N1910" t="s">
        <v>234</v>
      </c>
      <c r="O1910" t="s">
        <v>235</v>
      </c>
    </row>
    <row r="1911" spans="2:15" x14ac:dyDescent="0.25">
      <c r="B1911" t="s">
        <v>15</v>
      </c>
      <c r="C1911" s="4">
        <v>44874</v>
      </c>
      <c r="D1911">
        <v>11</v>
      </c>
      <c r="E1911" t="s">
        <v>130</v>
      </c>
      <c r="F1911" t="s">
        <v>131</v>
      </c>
      <c r="G1911" t="s">
        <v>126</v>
      </c>
      <c r="H1911">
        <v>0</v>
      </c>
      <c r="I1911">
        <v>149880</v>
      </c>
      <c r="J1911">
        <v>-149880</v>
      </c>
      <c r="L1911">
        <v>33</v>
      </c>
      <c r="M1911">
        <v>578</v>
      </c>
      <c r="N1911" t="s">
        <v>234</v>
      </c>
      <c r="O1911" t="s">
        <v>235</v>
      </c>
    </row>
    <row r="1912" spans="2:15" x14ac:dyDescent="0.25">
      <c r="B1912" t="s">
        <v>15</v>
      </c>
      <c r="C1912" s="4">
        <v>44876</v>
      </c>
      <c r="D1912">
        <v>11</v>
      </c>
      <c r="E1912" t="s">
        <v>16</v>
      </c>
      <c r="F1912" t="s">
        <v>125</v>
      </c>
      <c r="G1912" t="s">
        <v>126</v>
      </c>
      <c r="H1912">
        <v>1808800</v>
      </c>
      <c r="I1912">
        <v>0</v>
      </c>
      <c r="J1912">
        <v>1808800</v>
      </c>
      <c r="L1912">
        <v>33</v>
      </c>
      <c r="M1912">
        <v>579</v>
      </c>
      <c r="N1912" t="s">
        <v>246</v>
      </c>
      <c r="O1912" t="s">
        <v>247</v>
      </c>
    </row>
    <row r="1913" spans="2:15" x14ac:dyDescent="0.25">
      <c r="B1913" t="s">
        <v>15</v>
      </c>
      <c r="C1913" s="4">
        <v>44876</v>
      </c>
      <c r="D1913">
        <v>11</v>
      </c>
      <c r="E1913" t="s">
        <v>21</v>
      </c>
      <c r="F1913" t="s">
        <v>129</v>
      </c>
      <c r="G1913" t="s">
        <v>126</v>
      </c>
      <c r="H1913">
        <v>0</v>
      </c>
      <c r="I1913">
        <v>288800</v>
      </c>
      <c r="J1913">
        <v>-288800</v>
      </c>
      <c r="L1913">
        <v>33</v>
      </c>
      <c r="M1913">
        <v>579</v>
      </c>
      <c r="N1913" t="s">
        <v>246</v>
      </c>
      <c r="O1913" t="s">
        <v>247</v>
      </c>
    </row>
    <row r="1914" spans="2:15" x14ac:dyDescent="0.25">
      <c r="B1914" t="s">
        <v>15</v>
      </c>
      <c r="C1914" s="4">
        <v>44876</v>
      </c>
      <c r="D1914">
        <v>11</v>
      </c>
      <c r="E1914" t="s">
        <v>130</v>
      </c>
      <c r="F1914" t="s">
        <v>131</v>
      </c>
      <c r="G1914" t="s">
        <v>126</v>
      </c>
      <c r="H1914">
        <v>0</v>
      </c>
      <c r="I1914">
        <v>1520000</v>
      </c>
      <c r="J1914">
        <v>-1520000</v>
      </c>
      <c r="L1914">
        <v>33</v>
      </c>
      <c r="M1914">
        <v>579</v>
      </c>
      <c r="N1914" t="s">
        <v>246</v>
      </c>
      <c r="O1914" t="s">
        <v>247</v>
      </c>
    </row>
    <row r="1915" spans="2:15" x14ac:dyDescent="0.25">
      <c r="B1915" t="s">
        <v>15</v>
      </c>
      <c r="C1915" s="4">
        <v>44893</v>
      </c>
      <c r="D1915">
        <v>11</v>
      </c>
      <c r="E1915" t="s">
        <v>16</v>
      </c>
      <c r="F1915" t="s">
        <v>125</v>
      </c>
      <c r="G1915" t="s">
        <v>126</v>
      </c>
      <c r="H1915">
        <v>109385</v>
      </c>
      <c r="I1915">
        <v>0</v>
      </c>
      <c r="J1915">
        <v>109385</v>
      </c>
      <c r="L1915">
        <v>33</v>
      </c>
      <c r="M1915">
        <v>580</v>
      </c>
      <c r="N1915" t="s">
        <v>268</v>
      </c>
      <c r="O1915" t="s">
        <v>269</v>
      </c>
    </row>
    <row r="1916" spans="2:15" x14ac:dyDescent="0.25">
      <c r="B1916" t="s">
        <v>15</v>
      </c>
      <c r="C1916" s="4">
        <v>44893</v>
      </c>
      <c r="D1916">
        <v>11</v>
      </c>
      <c r="E1916" t="s">
        <v>21</v>
      </c>
      <c r="F1916" t="s">
        <v>129</v>
      </c>
      <c r="G1916" t="s">
        <v>126</v>
      </c>
      <c r="H1916">
        <v>0</v>
      </c>
      <c r="I1916">
        <v>17465</v>
      </c>
      <c r="J1916">
        <v>-17465</v>
      </c>
      <c r="L1916">
        <v>33</v>
      </c>
      <c r="M1916">
        <v>580</v>
      </c>
      <c r="N1916" t="s">
        <v>268</v>
      </c>
      <c r="O1916" t="s">
        <v>269</v>
      </c>
    </row>
    <row r="1917" spans="2:15" x14ac:dyDescent="0.25">
      <c r="B1917" t="s">
        <v>15</v>
      </c>
      <c r="C1917" s="4">
        <v>44893</v>
      </c>
      <c r="D1917">
        <v>11</v>
      </c>
      <c r="E1917" t="s">
        <v>130</v>
      </c>
      <c r="F1917" t="s">
        <v>131</v>
      </c>
      <c r="G1917" t="s">
        <v>126</v>
      </c>
      <c r="H1917">
        <v>0</v>
      </c>
      <c r="I1917">
        <v>91920</v>
      </c>
      <c r="J1917">
        <v>-91920</v>
      </c>
      <c r="L1917">
        <v>33</v>
      </c>
      <c r="M1917">
        <v>580</v>
      </c>
      <c r="N1917" t="s">
        <v>268</v>
      </c>
      <c r="O1917" t="s">
        <v>269</v>
      </c>
    </row>
    <row r="1918" spans="2:15" x14ac:dyDescent="0.25">
      <c r="B1918" t="s">
        <v>15</v>
      </c>
      <c r="C1918" s="4">
        <v>44893</v>
      </c>
      <c r="D1918">
        <v>11</v>
      </c>
      <c r="E1918" t="s">
        <v>16</v>
      </c>
      <c r="F1918" t="s">
        <v>125</v>
      </c>
      <c r="G1918" t="s">
        <v>126</v>
      </c>
      <c r="H1918">
        <v>272784</v>
      </c>
      <c r="I1918">
        <v>0</v>
      </c>
      <c r="J1918">
        <v>272784</v>
      </c>
      <c r="L1918">
        <v>33</v>
      </c>
      <c r="M1918">
        <v>581</v>
      </c>
      <c r="N1918" t="s">
        <v>226</v>
      </c>
      <c r="O1918" t="s">
        <v>227</v>
      </c>
    </row>
    <row r="1919" spans="2:15" x14ac:dyDescent="0.25">
      <c r="B1919" t="s">
        <v>15</v>
      </c>
      <c r="C1919" s="4">
        <v>44893</v>
      </c>
      <c r="D1919">
        <v>11</v>
      </c>
      <c r="E1919" t="s">
        <v>21</v>
      </c>
      <c r="F1919" t="s">
        <v>129</v>
      </c>
      <c r="G1919" t="s">
        <v>126</v>
      </c>
      <c r="H1919">
        <v>0</v>
      </c>
      <c r="I1919">
        <v>43554</v>
      </c>
      <c r="J1919">
        <v>-43554</v>
      </c>
      <c r="L1919">
        <v>33</v>
      </c>
      <c r="M1919">
        <v>581</v>
      </c>
      <c r="N1919" t="s">
        <v>226</v>
      </c>
      <c r="O1919" t="s">
        <v>227</v>
      </c>
    </row>
    <row r="1920" spans="2:15" x14ac:dyDescent="0.25">
      <c r="B1920" t="s">
        <v>15</v>
      </c>
      <c r="C1920" s="4">
        <v>44893</v>
      </c>
      <c r="D1920">
        <v>11</v>
      </c>
      <c r="E1920" t="s">
        <v>130</v>
      </c>
      <c r="F1920" t="s">
        <v>131</v>
      </c>
      <c r="G1920" t="s">
        <v>126</v>
      </c>
      <c r="H1920">
        <v>0</v>
      </c>
      <c r="I1920">
        <v>229230</v>
      </c>
      <c r="J1920">
        <v>-229230</v>
      </c>
      <c r="L1920">
        <v>33</v>
      </c>
      <c r="M1920">
        <v>581</v>
      </c>
      <c r="N1920" t="s">
        <v>226</v>
      </c>
      <c r="O1920" t="s">
        <v>227</v>
      </c>
    </row>
    <row r="1921" spans="2:15" x14ac:dyDescent="0.25">
      <c r="B1921" t="s">
        <v>15</v>
      </c>
      <c r="C1921" s="4">
        <v>44894</v>
      </c>
      <c r="D1921">
        <v>11</v>
      </c>
      <c r="E1921" t="s">
        <v>16</v>
      </c>
      <c r="F1921" t="s">
        <v>125</v>
      </c>
      <c r="G1921" t="s">
        <v>126</v>
      </c>
      <c r="H1921">
        <v>59500</v>
      </c>
      <c r="I1921">
        <v>0</v>
      </c>
      <c r="J1921">
        <v>59500</v>
      </c>
      <c r="L1921">
        <v>33</v>
      </c>
      <c r="M1921">
        <v>582</v>
      </c>
      <c r="N1921" t="s">
        <v>140</v>
      </c>
      <c r="O1921" t="s">
        <v>141</v>
      </c>
    </row>
    <row r="1922" spans="2:15" x14ac:dyDescent="0.25">
      <c r="B1922" t="s">
        <v>15</v>
      </c>
      <c r="C1922" s="4">
        <v>44894</v>
      </c>
      <c r="D1922">
        <v>11</v>
      </c>
      <c r="E1922" t="s">
        <v>21</v>
      </c>
      <c r="F1922" t="s">
        <v>129</v>
      </c>
      <c r="G1922" t="s">
        <v>126</v>
      </c>
      <c r="H1922">
        <v>0</v>
      </c>
      <c r="I1922">
        <v>9500</v>
      </c>
      <c r="J1922">
        <v>-9500</v>
      </c>
      <c r="L1922">
        <v>33</v>
      </c>
      <c r="M1922">
        <v>582</v>
      </c>
      <c r="N1922" t="s">
        <v>140</v>
      </c>
      <c r="O1922" t="s">
        <v>141</v>
      </c>
    </row>
    <row r="1923" spans="2:15" x14ac:dyDescent="0.25">
      <c r="B1923" t="s">
        <v>15</v>
      </c>
      <c r="C1923" s="4">
        <v>44894</v>
      </c>
      <c r="D1923">
        <v>11</v>
      </c>
      <c r="E1923" t="s">
        <v>130</v>
      </c>
      <c r="F1923" t="s">
        <v>131</v>
      </c>
      <c r="G1923" t="s">
        <v>126</v>
      </c>
      <c r="H1923">
        <v>0</v>
      </c>
      <c r="I1923">
        <v>50000</v>
      </c>
      <c r="J1923">
        <v>-50000</v>
      </c>
      <c r="L1923">
        <v>33</v>
      </c>
      <c r="M1923">
        <v>582</v>
      </c>
      <c r="N1923" t="s">
        <v>140</v>
      </c>
      <c r="O1923" t="s">
        <v>141</v>
      </c>
    </row>
    <row r="1924" spans="2:15" x14ac:dyDescent="0.25">
      <c r="B1924" t="s">
        <v>15</v>
      </c>
      <c r="C1924" s="4">
        <v>44895</v>
      </c>
      <c r="D1924">
        <v>11</v>
      </c>
      <c r="E1924" t="s">
        <v>16</v>
      </c>
      <c r="F1924" t="s">
        <v>125</v>
      </c>
      <c r="G1924" t="s">
        <v>126</v>
      </c>
      <c r="H1924">
        <v>241618</v>
      </c>
      <c r="I1924">
        <v>0</v>
      </c>
      <c r="J1924">
        <v>241618</v>
      </c>
      <c r="L1924">
        <v>33</v>
      </c>
      <c r="M1924">
        <v>583</v>
      </c>
      <c r="N1924" t="s">
        <v>270</v>
      </c>
      <c r="O1924" t="s">
        <v>271</v>
      </c>
    </row>
    <row r="1925" spans="2:15" x14ac:dyDescent="0.25">
      <c r="B1925" t="s">
        <v>15</v>
      </c>
      <c r="C1925" s="4">
        <v>44895</v>
      </c>
      <c r="D1925">
        <v>11</v>
      </c>
      <c r="E1925" t="s">
        <v>21</v>
      </c>
      <c r="F1925" t="s">
        <v>129</v>
      </c>
      <c r="G1925" t="s">
        <v>126</v>
      </c>
      <c r="H1925">
        <v>0</v>
      </c>
      <c r="I1925">
        <v>38578</v>
      </c>
      <c r="J1925">
        <v>-38578</v>
      </c>
      <c r="L1925">
        <v>33</v>
      </c>
      <c r="M1925">
        <v>583</v>
      </c>
      <c r="N1925" t="s">
        <v>270</v>
      </c>
      <c r="O1925" t="s">
        <v>271</v>
      </c>
    </row>
    <row r="1926" spans="2:15" x14ac:dyDescent="0.25">
      <c r="B1926" t="s">
        <v>15</v>
      </c>
      <c r="C1926" s="4">
        <v>44895</v>
      </c>
      <c r="D1926">
        <v>11</v>
      </c>
      <c r="E1926" t="s">
        <v>130</v>
      </c>
      <c r="F1926" t="s">
        <v>131</v>
      </c>
      <c r="G1926" t="s">
        <v>126</v>
      </c>
      <c r="H1926">
        <v>0</v>
      </c>
      <c r="I1926">
        <v>203040</v>
      </c>
      <c r="J1926">
        <v>-203040</v>
      </c>
      <c r="L1926">
        <v>33</v>
      </c>
      <c r="M1926">
        <v>583</v>
      </c>
      <c r="N1926" t="s">
        <v>270</v>
      </c>
      <c r="O1926" t="s">
        <v>271</v>
      </c>
    </row>
    <row r="1927" spans="2:15" x14ac:dyDescent="0.25">
      <c r="B1927" t="s">
        <v>15</v>
      </c>
      <c r="C1927" s="4">
        <v>44897</v>
      </c>
      <c r="D1927">
        <v>12</v>
      </c>
      <c r="E1927" t="s">
        <v>16</v>
      </c>
      <c r="F1927" t="s">
        <v>125</v>
      </c>
      <c r="G1927" t="s">
        <v>126</v>
      </c>
      <c r="H1927">
        <v>719950</v>
      </c>
      <c r="I1927">
        <v>0</v>
      </c>
      <c r="J1927">
        <v>719950</v>
      </c>
      <c r="L1927">
        <v>33</v>
      </c>
      <c r="M1927">
        <v>584</v>
      </c>
      <c r="N1927" t="s">
        <v>142</v>
      </c>
      <c r="O1927" t="s">
        <v>143</v>
      </c>
    </row>
    <row r="1928" spans="2:15" x14ac:dyDescent="0.25">
      <c r="B1928" t="s">
        <v>15</v>
      </c>
      <c r="C1928" s="4">
        <v>44897</v>
      </c>
      <c r="D1928">
        <v>12</v>
      </c>
      <c r="E1928" t="s">
        <v>21</v>
      </c>
      <c r="F1928" t="s">
        <v>129</v>
      </c>
      <c r="G1928" t="s">
        <v>126</v>
      </c>
      <c r="H1928">
        <v>0</v>
      </c>
      <c r="I1928">
        <v>114950</v>
      </c>
      <c r="J1928">
        <v>-114950</v>
      </c>
      <c r="L1928">
        <v>33</v>
      </c>
      <c r="M1928">
        <v>584</v>
      </c>
      <c r="N1928" t="s">
        <v>142</v>
      </c>
      <c r="O1928" t="s">
        <v>143</v>
      </c>
    </row>
    <row r="1929" spans="2:15" x14ac:dyDescent="0.25">
      <c r="B1929" t="s">
        <v>15</v>
      </c>
      <c r="C1929" s="4">
        <v>44897</v>
      </c>
      <c r="D1929">
        <v>12</v>
      </c>
      <c r="E1929" t="s">
        <v>130</v>
      </c>
      <c r="F1929" t="s">
        <v>131</v>
      </c>
      <c r="G1929" t="s">
        <v>126</v>
      </c>
      <c r="H1929">
        <v>0</v>
      </c>
      <c r="I1929">
        <v>605000</v>
      </c>
      <c r="J1929">
        <v>-605000</v>
      </c>
      <c r="L1929">
        <v>33</v>
      </c>
      <c r="M1929">
        <v>584</v>
      </c>
      <c r="N1929" t="s">
        <v>142</v>
      </c>
      <c r="O1929" t="s">
        <v>143</v>
      </c>
    </row>
    <row r="1930" spans="2:15" x14ac:dyDescent="0.25">
      <c r="B1930" t="s">
        <v>15</v>
      </c>
      <c r="C1930" s="4">
        <v>44900</v>
      </c>
      <c r="D1930">
        <v>12</v>
      </c>
      <c r="E1930" t="s">
        <v>16</v>
      </c>
      <c r="F1930" t="s">
        <v>125</v>
      </c>
      <c r="G1930" t="s">
        <v>126</v>
      </c>
      <c r="H1930">
        <v>445655</v>
      </c>
      <c r="I1930">
        <v>0</v>
      </c>
      <c r="J1930">
        <v>445655</v>
      </c>
      <c r="L1930">
        <v>33</v>
      </c>
      <c r="M1930">
        <v>585</v>
      </c>
      <c r="N1930" t="s">
        <v>272</v>
      </c>
      <c r="O1930" t="s">
        <v>273</v>
      </c>
    </row>
    <row r="1931" spans="2:15" x14ac:dyDescent="0.25">
      <c r="B1931" t="s">
        <v>15</v>
      </c>
      <c r="C1931" s="4">
        <v>44900</v>
      </c>
      <c r="D1931">
        <v>12</v>
      </c>
      <c r="E1931" t="s">
        <v>21</v>
      </c>
      <c r="F1931" t="s">
        <v>129</v>
      </c>
      <c r="G1931" t="s">
        <v>126</v>
      </c>
      <c r="H1931">
        <v>0</v>
      </c>
      <c r="I1931">
        <v>71155</v>
      </c>
      <c r="J1931">
        <v>-71155</v>
      </c>
      <c r="L1931">
        <v>33</v>
      </c>
      <c r="M1931">
        <v>585</v>
      </c>
      <c r="N1931" t="s">
        <v>272</v>
      </c>
      <c r="O1931" t="s">
        <v>273</v>
      </c>
    </row>
    <row r="1932" spans="2:15" x14ac:dyDescent="0.25">
      <c r="B1932" t="s">
        <v>15</v>
      </c>
      <c r="C1932" s="4">
        <v>44900</v>
      </c>
      <c r="D1932">
        <v>12</v>
      </c>
      <c r="E1932" t="s">
        <v>130</v>
      </c>
      <c r="F1932" t="s">
        <v>131</v>
      </c>
      <c r="G1932" t="s">
        <v>126</v>
      </c>
      <c r="H1932">
        <v>0</v>
      </c>
      <c r="I1932">
        <v>374500</v>
      </c>
      <c r="J1932">
        <v>-374500</v>
      </c>
      <c r="L1932">
        <v>33</v>
      </c>
      <c r="M1932">
        <v>585</v>
      </c>
      <c r="N1932" t="s">
        <v>272</v>
      </c>
      <c r="O1932" t="s">
        <v>273</v>
      </c>
    </row>
    <row r="1933" spans="2:15" x14ac:dyDescent="0.25">
      <c r="B1933" t="s">
        <v>15</v>
      </c>
      <c r="C1933" s="4">
        <v>44900</v>
      </c>
      <c r="D1933">
        <v>12</v>
      </c>
      <c r="E1933" t="s">
        <v>16</v>
      </c>
      <c r="F1933" t="s">
        <v>125</v>
      </c>
      <c r="G1933" t="s">
        <v>126</v>
      </c>
      <c r="H1933">
        <v>445655</v>
      </c>
      <c r="I1933">
        <v>0</v>
      </c>
      <c r="J1933">
        <v>445655</v>
      </c>
      <c r="L1933">
        <v>33</v>
      </c>
      <c r="M1933">
        <v>586</v>
      </c>
      <c r="N1933" t="s">
        <v>274</v>
      </c>
      <c r="O1933" t="s">
        <v>273</v>
      </c>
    </row>
    <row r="1934" spans="2:15" x14ac:dyDescent="0.25">
      <c r="B1934" t="s">
        <v>15</v>
      </c>
      <c r="C1934" s="4">
        <v>44900</v>
      </c>
      <c r="D1934">
        <v>12</v>
      </c>
      <c r="E1934" t="s">
        <v>21</v>
      </c>
      <c r="F1934" t="s">
        <v>129</v>
      </c>
      <c r="G1934" t="s">
        <v>126</v>
      </c>
      <c r="H1934">
        <v>0</v>
      </c>
      <c r="I1934">
        <v>71155</v>
      </c>
      <c r="J1934">
        <v>-71155</v>
      </c>
      <c r="L1934">
        <v>33</v>
      </c>
      <c r="M1934">
        <v>586</v>
      </c>
      <c r="N1934" t="s">
        <v>274</v>
      </c>
      <c r="O1934" t="s">
        <v>273</v>
      </c>
    </row>
    <row r="1935" spans="2:15" x14ac:dyDescent="0.25">
      <c r="B1935" t="s">
        <v>15</v>
      </c>
      <c r="C1935" s="4">
        <v>44900</v>
      </c>
      <c r="D1935">
        <v>12</v>
      </c>
      <c r="E1935" t="s">
        <v>130</v>
      </c>
      <c r="F1935" t="s">
        <v>131</v>
      </c>
      <c r="G1935" t="s">
        <v>126</v>
      </c>
      <c r="H1935">
        <v>0</v>
      </c>
      <c r="I1935">
        <v>374500</v>
      </c>
      <c r="J1935">
        <v>-374500</v>
      </c>
      <c r="L1935">
        <v>33</v>
      </c>
      <c r="M1935">
        <v>586</v>
      </c>
      <c r="N1935" t="s">
        <v>274</v>
      </c>
      <c r="O1935" t="s">
        <v>273</v>
      </c>
    </row>
    <row r="1936" spans="2:15" x14ac:dyDescent="0.25">
      <c r="B1936" t="s">
        <v>15</v>
      </c>
      <c r="C1936" s="4">
        <v>44902</v>
      </c>
      <c r="D1936">
        <v>12</v>
      </c>
      <c r="E1936" t="s">
        <v>16</v>
      </c>
      <c r="F1936" t="s">
        <v>125</v>
      </c>
      <c r="G1936" t="s">
        <v>126</v>
      </c>
      <c r="H1936">
        <v>341828</v>
      </c>
      <c r="I1936">
        <v>0</v>
      </c>
      <c r="J1936">
        <v>341828</v>
      </c>
      <c r="L1936">
        <v>33</v>
      </c>
      <c r="M1936">
        <v>587</v>
      </c>
      <c r="N1936" t="s">
        <v>240</v>
      </c>
      <c r="O1936" t="s">
        <v>241</v>
      </c>
    </row>
    <row r="1937" spans="2:15" x14ac:dyDescent="0.25">
      <c r="B1937" t="s">
        <v>15</v>
      </c>
      <c r="C1937" s="4">
        <v>44902</v>
      </c>
      <c r="D1937">
        <v>12</v>
      </c>
      <c r="E1937" t="s">
        <v>21</v>
      </c>
      <c r="F1937" t="s">
        <v>129</v>
      </c>
      <c r="G1937" t="s">
        <v>126</v>
      </c>
      <c r="H1937">
        <v>0</v>
      </c>
      <c r="I1937">
        <v>54578</v>
      </c>
      <c r="J1937">
        <v>-54578</v>
      </c>
      <c r="L1937">
        <v>33</v>
      </c>
      <c r="M1937">
        <v>587</v>
      </c>
      <c r="N1937" t="s">
        <v>240</v>
      </c>
      <c r="O1937" t="s">
        <v>241</v>
      </c>
    </row>
    <row r="1938" spans="2:15" x14ac:dyDescent="0.25">
      <c r="B1938" t="s">
        <v>15</v>
      </c>
      <c r="C1938" s="4">
        <v>44902</v>
      </c>
      <c r="D1938">
        <v>12</v>
      </c>
      <c r="E1938" t="s">
        <v>130</v>
      </c>
      <c r="F1938" t="s">
        <v>131</v>
      </c>
      <c r="G1938" t="s">
        <v>126</v>
      </c>
      <c r="H1938">
        <v>0</v>
      </c>
      <c r="I1938">
        <v>287250</v>
      </c>
      <c r="J1938">
        <v>-287250</v>
      </c>
      <c r="L1938">
        <v>33</v>
      </c>
      <c r="M1938">
        <v>587</v>
      </c>
      <c r="N1938" t="s">
        <v>240</v>
      </c>
      <c r="O1938" t="s">
        <v>241</v>
      </c>
    </row>
    <row r="1939" spans="2:15" x14ac:dyDescent="0.25">
      <c r="B1939" t="s">
        <v>15</v>
      </c>
      <c r="C1939" s="4">
        <v>44902</v>
      </c>
      <c r="D1939">
        <v>12</v>
      </c>
      <c r="E1939" t="s">
        <v>16</v>
      </c>
      <c r="F1939" t="s">
        <v>125</v>
      </c>
      <c r="G1939" t="s">
        <v>126</v>
      </c>
      <c r="H1939">
        <v>172074</v>
      </c>
      <c r="I1939">
        <v>0</v>
      </c>
      <c r="J1939">
        <v>172074</v>
      </c>
      <c r="L1939">
        <v>33</v>
      </c>
      <c r="M1939">
        <v>588</v>
      </c>
      <c r="N1939" t="s">
        <v>275</v>
      </c>
      <c r="O1939" t="s">
        <v>276</v>
      </c>
    </row>
    <row r="1940" spans="2:15" x14ac:dyDescent="0.25">
      <c r="B1940" t="s">
        <v>15</v>
      </c>
      <c r="C1940" s="4">
        <v>44902</v>
      </c>
      <c r="D1940">
        <v>12</v>
      </c>
      <c r="E1940" t="s">
        <v>21</v>
      </c>
      <c r="F1940" t="s">
        <v>129</v>
      </c>
      <c r="G1940" t="s">
        <v>126</v>
      </c>
      <c r="H1940">
        <v>0</v>
      </c>
      <c r="I1940">
        <v>27474</v>
      </c>
      <c r="J1940">
        <v>-27474</v>
      </c>
      <c r="L1940">
        <v>33</v>
      </c>
      <c r="M1940">
        <v>588</v>
      </c>
      <c r="N1940" t="s">
        <v>275</v>
      </c>
      <c r="O1940" t="s">
        <v>276</v>
      </c>
    </row>
    <row r="1941" spans="2:15" x14ac:dyDescent="0.25">
      <c r="B1941" t="s">
        <v>15</v>
      </c>
      <c r="C1941" s="4">
        <v>44902</v>
      </c>
      <c r="D1941">
        <v>12</v>
      </c>
      <c r="E1941" t="s">
        <v>130</v>
      </c>
      <c r="F1941" t="s">
        <v>131</v>
      </c>
      <c r="G1941" t="s">
        <v>126</v>
      </c>
      <c r="H1941">
        <v>0</v>
      </c>
      <c r="I1941">
        <v>144600</v>
      </c>
      <c r="J1941">
        <v>-144600</v>
      </c>
      <c r="L1941">
        <v>33</v>
      </c>
      <c r="M1941">
        <v>588</v>
      </c>
      <c r="N1941" t="s">
        <v>275</v>
      </c>
      <c r="O1941" t="s">
        <v>276</v>
      </c>
    </row>
    <row r="1942" spans="2:15" x14ac:dyDescent="0.25">
      <c r="B1942" t="s">
        <v>15</v>
      </c>
      <c r="C1942" s="4">
        <v>44902</v>
      </c>
      <c r="D1942">
        <v>12</v>
      </c>
      <c r="E1942" t="s">
        <v>16</v>
      </c>
      <c r="F1942" t="s">
        <v>125</v>
      </c>
      <c r="G1942" t="s">
        <v>126</v>
      </c>
      <c r="H1942">
        <v>106029</v>
      </c>
      <c r="I1942">
        <v>0</v>
      </c>
      <c r="J1942">
        <v>106029</v>
      </c>
      <c r="L1942">
        <v>33</v>
      </c>
      <c r="M1942">
        <v>589</v>
      </c>
      <c r="N1942" t="s">
        <v>230</v>
      </c>
      <c r="O1942" t="s">
        <v>231</v>
      </c>
    </row>
    <row r="1943" spans="2:15" x14ac:dyDescent="0.25">
      <c r="B1943" t="s">
        <v>15</v>
      </c>
      <c r="C1943" s="4">
        <v>44902</v>
      </c>
      <c r="D1943">
        <v>12</v>
      </c>
      <c r="E1943" t="s">
        <v>21</v>
      </c>
      <c r="F1943" t="s">
        <v>129</v>
      </c>
      <c r="G1943" t="s">
        <v>126</v>
      </c>
      <c r="H1943">
        <v>0</v>
      </c>
      <c r="I1943">
        <v>16929</v>
      </c>
      <c r="J1943">
        <v>-16929</v>
      </c>
      <c r="L1943">
        <v>33</v>
      </c>
      <c r="M1943">
        <v>589</v>
      </c>
      <c r="N1943" t="s">
        <v>230</v>
      </c>
      <c r="O1943" t="s">
        <v>231</v>
      </c>
    </row>
    <row r="1944" spans="2:15" x14ac:dyDescent="0.25">
      <c r="B1944" t="s">
        <v>15</v>
      </c>
      <c r="C1944" s="4">
        <v>44902</v>
      </c>
      <c r="D1944">
        <v>12</v>
      </c>
      <c r="E1944" t="s">
        <v>130</v>
      </c>
      <c r="F1944" t="s">
        <v>131</v>
      </c>
      <c r="G1944" t="s">
        <v>126</v>
      </c>
      <c r="H1944">
        <v>0</v>
      </c>
      <c r="I1944">
        <v>89100</v>
      </c>
      <c r="J1944">
        <v>-89100</v>
      </c>
      <c r="L1944">
        <v>33</v>
      </c>
      <c r="M1944">
        <v>589</v>
      </c>
      <c r="N1944" t="s">
        <v>230</v>
      </c>
      <c r="O1944" t="s">
        <v>231</v>
      </c>
    </row>
    <row r="1945" spans="2:15" x14ac:dyDescent="0.25">
      <c r="B1945" t="s">
        <v>15</v>
      </c>
      <c r="C1945" s="4">
        <v>44902</v>
      </c>
      <c r="D1945">
        <v>12</v>
      </c>
      <c r="E1945" t="s">
        <v>16</v>
      </c>
      <c r="F1945" t="s">
        <v>125</v>
      </c>
      <c r="G1945" t="s">
        <v>126</v>
      </c>
      <c r="H1945">
        <v>94248</v>
      </c>
      <c r="I1945">
        <v>0</v>
      </c>
      <c r="J1945">
        <v>94248</v>
      </c>
      <c r="L1945">
        <v>33</v>
      </c>
      <c r="M1945">
        <v>591</v>
      </c>
      <c r="N1945" t="s">
        <v>230</v>
      </c>
      <c r="O1945" t="s">
        <v>231</v>
      </c>
    </row>
    <row r="1946" spans="2:15" x14ac:dyDescent="0.25">
      <c r="B1946" t="s">
        <v>15</v>
      </c>
      <c r="C1946" s="4">
        <v>44902</v>
      </c>
      <c r="D1946">
        <v>12</v>
      </c>
      <c r="E1946" t="s">
        <v>21</v>
      </c>
      <c r="F1946" t="s">
        <v>129</v>
      </c>
      <c r="G1946" t="s">
        <v>126</v>
      </c>
      <c r="H1946">
        <v>0</v>
      </c>
      <c r="I1946">
        <v>15048</v>
      </c>
      <c r="J1946">
        <v>-15048</v>
      </c>
      <c r="L1946">
        <v>33</v>
      </c>
      <c r="M1946">
        <v>591</v>
      </c>
      <c r="N1946" t="s">
        <v>230</v>
      </c>
      <c r="O1946" t="s">
        <v>231</v>
      </c>
    </row>
    <row r="1947" spans="2:15" x14ac:dyDescent="0.25">
      <c r="B1947" t="s">
        <v>15</v>
      </c>
      <c r="C1947" s="4">
        <v>44902</v>
      </c>
      <c r="D1947">
        <v>12</v>
      </c>
      <c r="E1947" t="s">
        <v>130</v>
      </c>
      <c r="F1947" t="s">
        <v>131</v>
      </c>
      <c r="G1947" t="s">
        <v>126</v>
      </c>
      <c r="H1947">
        <v>0</v>
      </c>
      <c r="I1947">
        <v>79200</v>
      </c>
      <c r="J1947">
        <v>-79200</v>
      </c>
      <c r="L1947">
        <v>33</v>
      </c>
      <c r="M1947">
        <v>591</v>
      </c>
      <c r="N1947" t="s">
        <v>230</v>
      </c>
      <c r="O1947" t="s">
        <v>231</v>
      </c>
    </row>
    <row r="1948" spans="2:15" x14ac:dyDescent="0.25">
      <c r="B1948" t="s">
        <v>15</v>
      </c>
      <c r="C1948" s="4">
        <v>44907</v>
      </c>
      <c r="D1948">
        <v>12</v>
      </c>
      <c r="E1948" t="s">
        <v>16</v>
      </c>
      <c r="F1948" t="s">
        <v>125</v>
      </c>
      <c r="G1948" t="s">
        <v>126</v>
      </c>
      <c r="H1948">
        <v>158103</v>
      </c>
      <c r="I1948">
        <v>0</v>
      </c>
      <c r="J1948">
        <v>158103</v>
      </c>
      <c r="L1948">
        <v>33</v>
      </c>
      <c r="M1948">
        <v>592</v>
      </c>
      <c r="N1948" t="s">
        <v>154</v>
      </c>
      <c r="O1948" t="s">
        <v>155</v>
      </c>
    </row>
    <row r="1949" spans="2:15" x14ac:dyDescent="0.25">
      <c r="B1949" t="s">
        <v>15</v>
      </c>
      <c r="C1949" s="4">
        <v>44907</v>
      </c>
      <c r="D1949">
        <v>12</v>
      </c>
      <c r="E1949" t="s">
        <v>21</v>
      </c>
      <c r="F1949" t="s">
        <v>129</v>
      </c>
      <c r="G1949" t="s">
        <v>126</v>
      </c>
      <c r="H1949">
        <v>0</v>
      </c>
      <c r="I1949">
        <v>25243</v>
      </c>
      <c r="J1949">
        <v>-25243</v>
      </c>
      <c r="L1949">
        <v>33</v>
      </c>
      <c r="M1949">
        <v>592</v>
      </c>
      <c r="N1949" t="s">
        <v>154</v>
      </c>
      <c r="O1949" t="s">
        <v>155</v>
      </c>
    </row>
    <row r="1950" spans="2:15" x14ac:dyDescent="0.25">
      <c r="B1950" t="s">
        <v>15</v>
      </c>
      <c r="C1950" s="4">
        <v>44907</v>
      </c>
      <c r="D1950">
        <v>12</v>
      </c>
      <c r="E1950" t="s">
        <v>130</v>
      </c>
      <c r="F1950" t="s">
        <v>131</v>
      </c>
      <c r="G1950" t="s">
        <v>126</v>
      </c>
      <c r="H1950">
        <v>0</v>
      </c>
      <c r="I1950">
        <v>132860</v>
      </c>
      <c r="J1950">
        <v>-132860</v>
      </c>
      <c r="L1950">
        <v>33</v>
      </c>
      <c r="M1950">
        <v>592</v>
      </c>
      <c r="N1950" t="s">
        <v>154</v>
      </c>
      <c r="O1950" t="s">
        <v>155</v>
      </c>
    </row>
    <row r="1951" spans="2:15" x14ac:dyDescent="0.25">
      <c r="B1951" t="s">
        <v>15</v>
      </c>
      <c r="C1951" s="4">
        <v>44907</v>
      </c>
      <c r="D1951">
        <v>12</v>
      </c>
      <c r="E1951" t="s">
        <v>16</v>
      </c>
      <c r="F1951" t="s">
        <v>125</v>
      </c>
      <c r="G1951" t="s">
        <v>126</v>
      </c>
      <c r="H1951">
        <v>249900</v>
      </c>
      <c r="I1951">
        <v>0</v>
      </c>
      <c r="J1951">
        <v>249900</v>
      </c>
      <c r="L1951">
        <v>33</v>
      </c>
      <c r="M1951">
        <v>594</v>
      </c>
      <c r="N1951" t="s">
        <v>140</v>
      </c>
      <c r="O1951" t="s">
        <v>141</v>
      </c>
    </row>
    <row r="1952" spans="2:15" x14ac:dyDescent="0.25">
      <c r="B1952" t="s">
        <v>15</v>
      </c>
      <c r="C1952" s="4">
        <v>44907</v>
      </c>
      <c r="D1952">
        <v>12</v>
      </c>
      <c r="E1952" t="s">
        <v>21</v>
      </c>
      <c r="F1952" t="s">
        <v>129</v>
      </c>
      <c r="G1952" t="s">
        <v>126</v>
      </c>
      <c r="H1952">
        <v>0</v>
      </c>
      <c r="I1952">
        <v>39900</v>
      </c>
      <c r="J1952">
        <v>-39900</v>
      </c>
      <c r="L1952">
        <v>33</v>
      </c>
      <c r="M1952">
        <v>594</v>
      </c>
      <c r="N1952" t="s">
        <v>140</v>
      </c>
      <c r="O1952" t="s">
        <v>141</v>
      </c>
    </row>
    <row r="1953" spans="2:15" x14ac:dyDescent="0.25">
      <c r="B1953" t="s">
        <v>15</v>
      </c>
      <c r="C1953" s="4">
        <v>44907</v>
      </c>
      <c r="D1953">
        <v>12</v>
      </c>
      <c r="E1953" t="s">
        <v>130</v>
      </c>
      <c r="F1953" t="s">
        <v>131</v>
      </c>
      <c r="G1953" t="s">
        <v>126</v>
      </c>
      <c r="H1953">
        <v>0</v>
      </c>
      <c r="I1953">
        <v>210000</v>
      </c>
      <c r="J1953">
        <v>-210000</v>
      </c>
      <c r="L1953">
        <v>33</v>
      </c>
      <c r="M1953">
        <v>594</v>
      </c>
      <c r="N1953" t="s">
        <v>140</v>
      </c>
      <c r="O1953" t="s">
        <v>141</v>
      </c>
    </row>
    <row r="1954" spans="2:15" x14ac:dyDescent="0.25">
      <c r="B1954" t="s">
        <v>15</v>
      </c>
      <c r="C1954" s="4">
        <v>44909</v>
      </c>
      <c r="D1954">
        <v>12</v>
      </c>
      <c r="E1954" t="s">
        <v>16</v>
      </c>
      <c r="F1954" t="s">
        <v>125</v>
      </c>
      <c r="G1954" t="s">
        <v>126</v>
      </c>
      <c r="H1954">
        <v>1331134</v>
      </c>
      <c r="I1954">
        <v>0</v>
      </c>
      <c r="J1954">
        <v>1331134</v>
      </c>
      <c r="L1954">
        <v>33</v>
      </c>
      <c r="M1954">
        <v>595</v>
      </c>
      <c r="N1954" t="s">
        <v>180</v>
      </c>
      <c r="O1954" t="s">
        <v>181</v>
      </c>
    </row>
    <row r="1955" spans="2:15" x14ac:dyDescent="0.25">
      <c r="B1955" t="s">
        <v>15</v>
      </c>
      <c r="C1955" s="4">
        <v>44909</v>
      </c>
      <c r="D1955">
        <v>12</v>
      </c>
      <c r="E1955" t="s">
        <v>21</v>
      </c>
      <c r="F1955" t="s">
        <v>129</v>
      </c>
      <c r="G1955" t="s">
        <v>126</v>
      </c>
      <c r="H1955">
        <v>0</v>
      </c>
      <c r="I1955">
        <v>212534</v>
      </c>
      <c r="J1955">
        <v>-212534</v>
      </c>
      <c r="L1955">
        <v>33</v>
      </c>
      <c r="M1955">
        <v>595</v>
      </c>
      <c r="N1955" t="s">
        <v>180</v>
      </c>
      <c r="O1955" t="s">
        <v>181</v>
      </c>
    </row>
    <row r="1956" spans="2:15" x14ac:dyDescent="0.25">
      <c r="B1956" t="s">
        <v>15</v>
      </c>
      <c r="C1956" s="4">
        <v>44909</v>
      </c>
      <c r="D1956">
        <v>12</v>
      </c>
      <c r="E1956" t="s">
        <v>130</v>
      </c>
      <c r="F1956" t="s">
        <v>131</v>
      </c>
      <c r="G1956" t="s">
        <v>126</v>
      </c>
      <c r="H1956">
        <v>0</v>
      </c>
      <c r="I1956">
        <v>1118600</v>
      </c>
      <c r="J1956">
        <v>-1118600</v>
      </c>
      <c r="L1956">
        <v>33</v>
      </c>
      <c r="M1956">
        <v>595</v>
      </c>
      <c r="N1956" t="s">
        <v>180</v>
      </c>
      <c r="O1956" t="s">
        <v>181</v>
      </c>
    </row>
    <row r="1957" spans="2:15" x14ac:dyDescent="0.25">
      <c r="B1957" t="s">
        <v>15</v>
      </c>
      <c r="C1957" s="4">
        <v>44916</v>
      </c>
      <c r="D1957">
        <v>12</v>
      </c>
      <c r="E1957" t="s">
        <v>16</v>
      </c>
      <c r="F1957" t="s">
        <v>125</v>
      </c>
      <c r="G1957" t="s">
        <v>126</v>
      </c>
      <c r="H1957">
        <v>296667</v>
      </c>
      <c r="I1957">
        <v>0</v>
      </c>
      <c r="J1957">
        <v>296667</v>
      </c>
      <c r="L1957">
        <v>33</v>
      </c>
      <c r="M1957">
        <v>596</v>
      </c>
      <c r="N1957" t="s">
        <v>277</v>
      </c>
      <c r="O1957" t="s">
        <v>278</v>
      </c>
    </row>
    <row r="1958" spans="2:15" x14ac:dyDescent="0.25">
      <c r="B1958" t="s">
        <v>15</v>
      </c>
      <c r="C1958" s="4">
        <v>44916</v>
      </c>
      <c r="D1958">
        <v>12</v>
      </c>
      <c r="E1958" t="s">
        <v>21</v>
      </c>
      <c r="F1958" t="s">
        <v>129</v>
      </c>
      <c r="G1958" t="s">
        <v>126</v>
      </c>
      <c r="H1958">
        <v>0</v>
      </c>
      <c r="I1958">
        <v>47367</v>
      </c>
      <c r="J1958">
        <v>-47367</v>
      </c>
      <c r="L1958">
        <v>33</v>
      </c>
      <c r="M1958">
        <v>596</v>
      </c>
      <c r="N1958" t="s">
        <v>277</v>
      </c>
      <c r="O1958" t="s">
        <v>278</v>
      </c>
    </row>
    <row r="1959" spans="2:15" x14ac:dyDescent="0.25">
      <c r="B1959" t="s">
        <v>15</v>
      </c>
      <c r="C1959" s="4">
        <v>44916</v>
      </c>
      <c r="D1959">
        <v>12</v>
      </c>
      <c r="E1959" t="s">
        <v>130</v>
      </c>
      <c r="F1959" t="s">
        <v>131</v>
      </c>
      <c r="G1959" t="s">
        <v>126</v>
      </c>
      <c r="H1959">
        <v>0</v>
      </c>
      <c r="I1959">
        <v>249300</v>
      </c>
      <c r="J1959">
        <v>-249300</v>
      </c>
      <c r="L1959">
        <v>33</v>
      </c>
      <c r="M1959">
        <v>596</v>
      </c>
      <c r="N1959" t="s">
        <v>277</v>
      </c>
      <c r="O1959" t="s">
        <v>278</v>
      </c>
    </row>
    <row r="1960" spans="2:15" x14ac:dyDescent="0.25">
      <c r="B1960" t="s">
        <v>15</v>
      </c>
      <c r="C1960" s="4">
        <v>44917</v>
      </c>
      <c r="D1960">
        <v>12</v>
      </c>
      <c r="E1960" t="s">
        <v>16</v>
      </c>
      <c r="F1960" t="s">
        <v>125</v>
      </c>
      <c r="G1960" t="s">
        <v>126</v>
      </c>
      <c r="H1960">
        <v>59976</v>
      </c>
      <c r="I1960">
        <v>0</v>
      </c>
      <c r="J1960">
        <v>59976</v>
      </c>
      <c r="L1960">
        <v>33</v>
      </c>
      <c r="M1960">
        <v>597</v>
      </c>
      <c r="N1960" t="s">
        <v>156</v>
      </c>
      <c r="O1960" t="s">
        <v>157</v>
      </c>
    </row>
    <row r="1961" spans="2:15" x14ac:dyDescent="0.25">
      <c r="B1961" t="s">
        <v>15</v>
      </c>
      <c r="C1961" s="4">
        <v>44917</v>
      </c>
      <c r="D1961">
        <v>12</v>
      </c>
      <c r="E1961" t="s">
        <v>21</v>
      </c>
      <c r="F1961" t="s">
        <v>129</v>
      </c>
      <c r="G1961" t="s">
        <v>126</v>
      </c>
      <c r="H1961">
        <v>0</v>
      </c>
      <c r="I1961">
        <v>9576</v>
      </c>
      <c r="J1961">
        <v>-9576</v>
      </c>
      <c r="L1961">
        <v>33</v>
      </c>
      <c r="M1961">
        <v>597</v>
      </c>
      <c r="N1961" t="s">
        <v>156</v>
      </c>
      <c r="O1961" t="s">
        <v>157</v>
      </c>
    </row>
    <row r="1962" spans="2:15" x14ac:dyDescent="0.25">
      <c r="B1962" t="s">
        <v>15</v>
      </c>
      <c r="C1962" s="4">
        <v>44917</v>
      </c>
      <c r="D1962">
        <v>12</v>
      </c>
      <c r="E1962" t="s">
        <v>130</v>
      </c>
      <c r="F1962" t="s">
        <v>131</v>
      </c>
      <c r="G1962" t="s">
        <v>126</v>
      </c>
      <c r="H1962">
        <v>0</v>
      </c>
      <c r="I1962">
        <v>50400</v>
      </c>
      <c r="J1962">
        <v>-50400</v>
      </c>
      <c r="L1962">
        <v>33</v>
      </c>
      <c r="M1962">
        <v>597</v>
      </c>
      <c r="N1962" t="s">
        <v>156</v>
      </c>
      <c r="O1962" t="s">
        <v>157</v>
      </c>
    </row>
    <row r="1963" spans="2:15" x14ac:dyDescent="0.25">
      <c r="B1963" t="s">
        <v>15</v>
      </c>
      <c r="C1963" s="4">
        <v>44918</v>
      </c>
      <c r="D1963">
        <v>12</v>
      </c>
      <c r="E1963" t="s">
        <v>16</v>
      </c>
      <c r="F1963" t="s">
        <v>125</v>
      </c>
      <c r="G1963" t="s">
        <v>126</v>
      </c>
      <c r="H1963">
        <v>309400</v>
      </c>
      <c r="I1963">
        <v>0</v>
      </c>
      <c r="J1963">
        <v>309400</v>
      </c>
      <c r="L1963">
        <v>33</v>
      </c>
      <c r="M1963">
        <v>598</v>
      </c>
      <c r="N1963" t="s">
        <v>140</v>
      </c>
      <c r="O1963" t="s">
        <v>141</v>
      </c>
    </row>
    <row r="1964" spans="2:15" x14ac:dyDescent="0.25">
      <c r="B1964" t="s">
        <v>15</v>
      </c>
      <c r="C1964" s="4">
        <v>44918</v>
      </c>
      <c r="D1964">
        <v>12</v>
      </c>
      <c r="E1964" t="s">
        <v>21</v>
      </c>
      <c r="F1964" t="s">
        <v>129</v>
      </c>
      <c r="G1964" t="s">
        <v>126</v>
      </c>
      <c r="H1964">
        <v>0</v>
      </c>
      <c r="I1964">
        <v>49400</v>
      </c>
      <c r="J1964">
        <v>-49400</v>
      </c>
      <c r="L1964">
        <v>33</v>
      </c>
      <c r="M1964">
        <v>598</v>
      </c>
      <c r="N1964" t="s">
        <v>140</v>
      </c>
      <c r="O1964" t="s">
        <v>141</v>
      </c>
    </row>
    <row r="1965" spans="2:15" x14ac:dyDescent="0.25">
      <c r="B1965" t="s">
        <v>15</v>
      </c>
      <c r="C1965" s="4">
        <v>44918</v>
      </c>
      <c r="D1965">
        <v>12</v>
      </c>
      <c r="E1965" t="s">
        <v>130</v>
      </c>
      <c r="F1965" t="s">
        <v>131</v>
      </c>
      <c r="G1965" t="s">
        <v>126</v>
      </c>
      <c r="H1965">
        <v>0</v>
      </c>
      <c r="I1965">
        <v>260000</v>
      </c>
      <c r="J1965">
        <v>-260000</v>
      </c>
      <c r="L1965">
        <v>33</v>
      </c>
      <c r="M1965">
        <v>598</v>
      </c>
      <c r="N1965" t="s">
        <v>140</v>
      </c>
      <c r="O1965" t="s">
        <v>141</v>
      </c>
    </row>
    <row r="1966" spans="2:15" x14ac:dyDescent="0.25">
      <c r="B1966" t="s">
        <v>15</v>
      </c>
      <c r="C1966" s="4">
        <v>44923</v>
      </c>
      <c r="D1966">
        <v>12</v>
      </c>
      <c r="E1966" t="s">
        <v>16</v>
      </c>
      <c r="F1966" t="s">
        <v>125</v>
      </c>
      <c r="G1966" t="s">
        <v>126</v>
      </c>
      <c r="H1966">
        <v>53431</v>
      </c>
      <c r="I1966">
        <v>0</v>
      </c>
      <c r="J1966">
        <v>53431</v>
      </c>
      <c r="L1966">
        <v>33</v>
      </c>
      <c r="M1966">
        <v>599</v>
      </c>
      <c r="N1966" t="s">
        <v>279</v>
      </c>
      <c r="O1966" t="s">
        <v>280</v>
      </c>
    </row>
    <row r="1967" spans="2:15" x14ac:dyDescent="0.25">
      <c r="B1967" t="s">
        <v>15</v>
      </c>
      <c r="C1967" s="4">
        <v>44923</v>
      </c>
      <c r="D1967">
        <v>12</v>
      </c>
      <c r="E1967" t="s">
        <v>21</v>
      </c>
      <c r="F1967" t="s">
        <v>129</v>
      </c>
      <c r="G1967" t="s">
        <v>126</v>
      </c>
      <c r="H1967">
        <v>0</v>
      </c>
      <c r="I1967">
        <v>8531</v>
      </c>
      <c r="J1967">
        <v>-8531</v>
      </c>
      <c r="L1967">
        <v>33</v>
      </c>
      <c r="M1967">
        <v>599</v>
      </c>
      <c r="N1967" t="s">
        <v>279</v>
      </c>
      <c r="O1967" t="s">
        <v>280</v>
      </c>
    </row>
    <row r="1968" spans="2:15" x14ac:dyDescent="0.25">
      <c r="B1968" t="s">
        <v>15</v>
      </c>
      <c r="C1968" s="4">
        <v>44923</v>
      </c>
      <c r="D1968">
        <v>12</v>
      </c>
      <c r="E1968" t="s">
        <v>130</v>
      </c>
      <c r="F1968" t="s">
        <v>131</v>
      </c>
      <c r="G1968" t="s">
        <v>126</v>
      </c>
      <c r="H1968">
        <v>0</v>
      </c>
      <c r="I1968">
        <v>44900</v>
      </c>
      <c r="J1968">
        <v>-44900</v>
      </c>
      <c r="L1968">
        <v>33</v>
      </c>
      <c r="M1968">
        <v>599</v>
      </c>
      <c r="N1968" t="s">
        <v>279</v>
      </c>
      <c r="O1968" t="s">
        <v>280</v>
      </c>
    </row>
    <row r="1969" spans="2:15" x14ac:dyDescent="0.25">
      <c r="B1969" t="s">
        <v>15</v>
      </c>
      <c r="C1969" s="4">
        <v>44923</v>
      </c>
      <c r="D1969">
        <v>12</v>
      </c>
      <c r="E1969" t="s">
        <v>16</v>
      </c>
      <c r="F1969" t="s">
        <v>125</v>
      </c>
      <c r="G1969" t="s">
        <v>126</v>
      </c>
      <c r="H1969">
        <v>440431</v>
      </c>
      <c r="I1969">
        <v>0</v>
      </c>
      <c r="J1969">
        <v>440431</v>
      </c>
      <c r="L1969">
        <v>33</v>
      </c>
      <c r="M1969">
        <v>600</v>
      </c>
      <c r="N1969" t="s">
        <v>281</v>
      </c>
      <c r="O1969" t="s">
        <v>282</v>
      </c>
    </row>
    <row r="1970" spans="2:15" x14ac:dyDescent="0.25">
      <c r="B1970" t="s">
        <v>15</v>
      </c>
      <c r="C1970" s="4">
        <v>44923</v>
      </c>
      <c r="D1970">
        <v>12</v>
      </c>
      <c r="E1970" t="s">
        <v>21</v>
      </c>
      <c r="F1970" t="s">
        <v>129</v>
      </c>
      <c r="G1970" t="s">
        <v>126</v>
      </c>
      <c r="H1970">
        <v>0</v>
      </c>
      <c r="I1970">
        <v>70321</v>
      </c>
      <c r="J1970">
        <v>-70321</v>
      </c>
      <c r="L1970">
        <v>33</v>
      </c>
      <c r="M1970">
        <v>600</v>
      </c>
      <c r="N1970" t="s">
        <v>281</v>
      </c>
      <c r="O1970" t="s">
        <v>282</v>
      </c>
    </row>
    <row r="1971" spans="2:15" x14ac:dyDescent="0.25">
      <c r="B1971" t="s">
        <v>15</v>
      </c>
      <c r="C1971" s="4">
        <v>44923</v>
      </c>
      <c r="D1971">
        <v>12</v>
      </c>
      <c r="E1971" t="s">
        <v>130</v>
      </c>
      <c r="F1971" t="s">
        <v>131</v>
      </c>
      <c r="G1971" t="s">
        <v>126</v>
      </c>
      <c r="H1971">
        <v>0</v>
      </c>
      <c r="I1971">
        <v>370110</v>
      </c>
      <c r="J1971">
        <v>-370110</v>
      </c>
      <c r="L1971">
        <v>33</v>
      </c>
      <c r="M1971">
        <v>600</v>
      </c>
      <c r="N1971" t="s">
        <v>281</v>
      </c>
      <c r="O1971" t="s">
        <v>282</v>
      </c>
    </row>
    <row r="1972" spans="2:15" x14ac:dyDescent="0.25">
      <c r="B1972" t="s">
        <v>15</v>
      </c>
      <c r="C1972" s="4">
        <v>44923</v>
      </c>
      <c r="D1972">
        <v>12</v>
      </c>
      <c r="E1972" t="s">
        <v>16</v>
      </c>
      <c r="F1972" t="s">
        <v>125</v>
      </c>
      <c r="G1972" t="s">
        <v>126</v>
      </c>
      <c r="H1972">
        <v>583100</v>
      </c>
      <c r="I1972">
        <v>0</v>
      </c>
      <c r="J1972">
        <v>583100</v>
      </c>
      <c r="L1972">
        <v>33</v>
      </c>
      <c r="M1972">
        <v>601</v>
      </c>
      <c r="N1972" t="s">
        <v>283</v>
      </c>
      <c r="O1972" t="s">
        <v>284</v>
      </c>
    </row>
    <row r="1973" spans="2:15" x14ac:dyDescent="0.25">
      <c r="B1973" t="s">
        <v>15</v>
      </c>
      <c r="C1973" s="4">
        <v>44923</v>
      </c>
      <c r="D1973">
        <v>12</v>
      </c>
      <c r="E1973" t="s">
        <v>21</v>
      </c>
      <c r="F1973" t="s">
        <v>129</v>
      </c>
      <c r="G1973" t="s">
        <v>126</v>
      </c>
      <c r="H1973">
        <v>0</v>
      </c>
      <c r="I1973">
        <v>93100</v>
      </c>
      <c r="J1973">
        <v>-93100</v>
      </c>
      <c r="L1973">
        <v>33</v>
      </c>
      <c r="M1973">
        <v>601</v>
      </c>
      <c r="N1973" t="s">
        <v>283</v>
      </c>
      <c r="O1973" t="s">
        <v>284</v>
      </c>
    </row>
    <row r="1974" spans="2:15" x14ac:dyDescent="0.25">
      <c r="B1974" t="s">
        <v>15</v>
      </c>
      <c r="C1974" s="4">
        <v>44923</v>
      </c>
      <c r="D1974">
        <v>12</v>
      </c>
      <c r="E1974" t="s">
        <v>130</v>
      </c>
      <c r="F1974" t="s">
        <v>131</v>
      </c>
      <c r="G1974" t="s">
        <v>126</v>
      </c>
      <c r="H1974">
        <v>0</v>
      </c>
      <c r="I1974">
        <v>490000</v>
      </c>
      <c r="J1974">
        <v>-490000</v>
      </c>
      <c r="L1974">
        <v>33</v>
      </c>
      <c r="M1974">
        <v>601</v>
      </c>
      <c r="N1974" t="s">
        <v>283</v>
      </c>
      <c r="O1974" t="s">
        <v>284</v>
      </c>
    </row>
    <row r="1975" spans="2:15" x14ac:dyDescent="0.25">
      <c r="B1975" t="s">
        <v>15</v>
      </c>
      <c r="C1975" s="4">
        <v>44923</v>
      </c>
      <c r="D1975">
        <v>12</v>
      </c>
      <c r="E1975" t="s">
        <v>16</v>
      </c>
      <c r="F1975" t="s">
        <v>125</v>
      </c>
      <c r="G1975" t="s">
        <v>126</v>
      </c>
      <c r="H1975">
        <v>28322</v>
      </c>
      <c r="I1975">
        <v>0</v>
      </c>
      <c r="J1975">
        <v>28322</v>
      </c>
      <c r="L1975">
        <v>33</v>
      </c>
      <c r="M1975">
        <v>602</v>
      </c>
      <c r="N1975" t="s">
        <v>230</v>
      </c>
      <c r="O1975" t="s">
        <v>231</v>
      </c>
    </row>
    <row r="1976" spans="2:15" x14ac:dyDescent="0.25">
      <c r="B1976" t="s">
        <v>15</v>
      </c>
      <c r="C1976" s="4">
        <v>44923</v>
      </c>
      <c r="D1976">
        <v>12</v>
      </c>
      <c r="E1976" t="s">
        <v>21</v>
      </c>
      <c r="F1976" t="s">
        <v>129</v>
      </c>
      <c r="G1976" t="s">
        <v>126</v>
      </c>
      <c r="H1976">
        <v>0</v>
      </c>
      <c r="I1976">
        <v>4522</v>
      </c>
      <c r="J1976">
        <v>-4522</v>
      </c>
      <c r="L1976">
        <v>33</v>
      </c>
      <c r="M1976">
        <v>602</v>
      </c>
      <c r="N1976" t="s">
        <v>230</v>
      </c>
      <c r="O1976" t="s">
        <v>231</v>
      </c>
    </row>
    <row r="1977" spans="2:15" x14ac:dyDescent="0.25">
      <c r="B1977" t="s">
        <v>15</v>
      </c>
      <c r="C1977" s="4">
        <v>44923</v>
      </c>
      <c r="D1977">
        <v>12</v>
      </c>
      <c r="E1977" t="s">
        <v>130</v>
      </c>
      <c r="F1977" t="s">
        <v>131</v>
      </c>
      <c r="G1977" t="s">
        <v>126</v>
      </c>
      <c r="H1977">
        <v>0</v>
      </c>
      <c r="I1977">
        <v>23800</v>
      </c>
      <c r="J1977">
        <v>-23800</v>
      </c>
      <c r="L1977">
        <v>33</v>
      </c>
      <c r="M1977">
        <v>602</v>
      </c>
      <c r="N1977" t="s">
        <v>230</v>
      </c>
      <c r="O1977" t="s">
        <v>231</v>
      </c>
    </row>
    <row r="1978" spans="2:15" x14ac:dyDescent="0.25">
      <c r="B1978" t="s">
        <v>15</v>
      </c>
      <c r="C1978" s="4">
        <v>44925</v>
      </c>
      <c r="D1978">
        <v>12</v>
      </c>
      <c r="E1978" t="s">
        <v>16</v>
      </c>
      <c r="F1978" t="s">
        <v>125</v>
      </c>
      <c r="G1978" t="s">
        <v>126</v>
      </c>
      <c r="H1978">
        <v>0</v>
      </c>
      <c r="I1978">
        <v>296667</v>
      </c>
      <c r="J1978">
        <v>-296667</v>
      </c>
      <c r="L1978">
        <v>61</v>
      </c>
      <c r="M1978">
        <v>25</v>
      </c>
      <c r="N1978" t="s">
        <v>277</v>
      </c>
      <c r="O1978" t="s">
        <v>278</v>
      </c>
    </row>
    <row r="1979" spans="2:15" x14ac:dyDescent="0.25">
      <c r="B1979" t="s">
        <v>15</v>
      </c>
      <c r="C1979" s="4">
        <v>44925</v>
      </c>
      <c r="D1979">
        <v>12</v>
      </c>
      <c r="E1979" t="s">
        <v>21</v>
      </c>
      <c r="F1979" t="s">
        <v>129</v>
      </c>
      <c r="G1979" t="s">
        <v>126</v>
      </c>
      <c r="H1979">
        <v>47367</v>
      </c>
      <c r="I1979">
        <v>0</v>
      </c>
      <c r="J1979">
        <v>47367</v>
      </c>
      <c r="L1979">
        <v>61</v>
      </c>
      <c r="M1979">
        <v>25</v>
      </c>
      <c r="N1979" t="s">
        <v>277</v>
      </c>
      <c r="O1979" t="s">
        <v>278</v>
      </c>
    </row>
    <row r="1980" spans="2:15" x14ac:dyDescent="0.25">
      <c r="B1980" t="s">
        <v>15</v>
      </c>
      <c r="C1980" s="4">
        <v>44925</v>
      </c>
      <c r="D1980">
        <v>12</v>
      </c>
      <c r="E1980" t="s">
        <v>130</v>
      </c>
      <c r="F1980" t="s">
        <v>131</v>
      </c>
      <c r="G1980" t="s">
        <v>126</v>
      </c>
      <c r="H1980">
        <v>249300</v>
      </c>
      <c r="I1980">
        <v>0</v>
      </c>
      <c r="J1980">
        <v>249300</v>
      </c>
      <c r="L1980">
        <v>61</v>
      </c>
      <c r="M1980">
        <v>25</v>
      </c>
      <c r="N1980" t="s">
        <v>277</v>
      </c>
      <c r="O1980" t="s">
        <v>278</v>
      </c>
    </row>
    <row r="1981" spans="2:15" x14ac:dyDescent="0.25">
      <c r="B1981" t="s">
        <v>285</v>
      </c>
      <c r="C1981" s="4">
        <v>44564</v>
      </c>
      <c r="D1981">
        <v>1</v>
      </c>
      <c r="E1981" t="s">
        <v>16</v>
      </c>
      <c r="F1981" t="s">
        <v>125</v>
      </c>
      <c r="G1981" t="s">
        <v>286</v>
      </c>
      <c r="H1981">
        <v>0</v>
      </c>
      <c r="I1981">
        <v>464171</v>
      </c>
      <c r="J1981">
        <v>-464171</v>
      </c>
      <c r="L1981">
        <v>33</v>
      </c>
      <c r="M1981">
        <v>441</v>
      </c>
      <c r="N1981" t="s">
        <v>127</v>
      </c>
      <c r="O1981" t="s">
        <v>128</v>
      </c>
    </row>
    <row r="1982" spans="2:15" x14ac:dyDescent="0.25">
      <c r="B1982" t="s">
        <v>285</v>
      </c>
      <c r="C1982" s="4">
        <v>44564</v>
      </c>
      <c r="D1982">
        <v>1</v>
      </c>
      <c r="E1982" t="s">
        <v>16</v>
      </c>
      <c r="F1982" t="s">
        <v>17</v>
      </c>
      <c r="G1982" t="s">
        <v>286</v>
      </c>
      <c r="H1982">
        <v>464171</v>
      </c>
      <c r="I1982">
        <v>0</v>
      </c>
      <c r="J1982">
        <v>464171</v>
      </c>
      <c r="L1982">
        <v>33</v>
      </c>
      <c r="M1982">
        <v>441</v>
      </c>
      <c r="N1982" t="s">
        <v>127</v>
      </c>
      <c r="O1982" t="s">
        <v>128</v>
      </c>
    </row>
    <row r="1983" spans="2:15" x14ac:dyDescent="0.25">
      <c r="B1983" t="s">
        <v>285</v>
      </c>
      <c r="C1983" s="4">
        <v>44564</v>
      </c>
      <c r="D1983">
        <v>1</v>
      </c>
      <c r="E1983" t="s">
        <v>16</v>
      </c>
      <c r="F1983" t="s">
        <v>125</v>
      </c>
      <c r="G1983" t="s">
        <v>286</v>
      </c>
      <c r="H1983">
        <v>0</v>
      </c>
      <c r="I1983">
        <v>170658</v>
      </c>
      <c r="J1983">
        <v>-170658</v>
      </c>
      <c r="L1983">
        <v>33</v>
      </c>
      <c r="M1983">
        <v>442</v>
      </c>
      <c r="N1983" t="s">
        <v>132</v>
      </c>
      <c r="O1983" t="s">
        <v>133</v>
      </c>
    </row>
    <row r="1984" spans="2:15" x14ac:dyDescent="0.25">
      <c r="B1984" t="s">
        <v>285</v>
      </c>
      <c r="C1984" s="4">
        <v>44564</v>
      </c>
      <c r="D1984">
        <v>1</v>
      </c>
      <c r="E1984" t="s">
        <v>16</v>
      </c>
      <c r="F1984" t="s">
        <v>17</v>
      </c>
      <c r="G1984" t="s">
        <v>286</v>
      </c>
      <c r="H1984">
        <v>170658</v>
      </c>
      <c r="I1984">
        <v>0</v>
      </c>
      <c r="J1984">
        <v>170658</v>
      </c>
      <c r="L1984">
        <v>33</v>
      </c>
      <c r="M1984">
        <v>442</v>
      </c>
      <c r="N1984" t="s">
        <v>132</v>
      </c>
      <c r="O1984" t="s">
        <v>133</v>
      </c>
    </row>
    <row r="1985" spans="2:15" x14ac:dyDescent="0.25">
      <c r="B1985" t="s">
        <v>285</v>
      </c>
      <c r="C1985" s="4">
        <v>44564</v>
      </c>
      <c r="D1985">
        <v>1</v>
      </c>
      <c r="E1985" t="s">
        <v>16</v>
      </c>
      <c r="F1985" t="s">
        <v>125</v>
      </c>
      <c r="G1985" t="s">
        <v>286</v>
      </c>
      <c r="H1985">
        <v>0</v>
      </c>
      <c r="I1985">
        <v>395830</v>
      </c>
      <c r="J1985">
        <v>-395830</v>
      </c>
      <c r="L1985">
        <v>33</v>
      </c>
      <c r="M1985">
        <v>443</v>
      </c>
      <c r="N1985" t="s">
        <v>134</v>
      </c>
      <c r="O1985" t="s">
        <v>135</v>
      </c>
    </row>
    <row r="1986" spans="2:15" x14ac:dyDescent="0.25">
      <c r="B1986" t="s">
        <v>285</v>
      </c>
      <c r="C1986" s="4">
        <v>44564</v>
      </c>
      <c r="D1986">
        <v>1</v>
      </c>
      <c r="E1986" t="s">
        <v>16</v>
      </c>
      <c r="F1986" t="s">
        <v>17</v>
      </c>
      <c r="G1986" t="s">
        <v>286</v>
      </c>
      <c r="H1986">
        <v>395830</v>
      </c>
      <c r="I1986">
        <v>0</v>
      </c>
      <c r="J1986">
        <v>395830</v>
      </c>
      <c r="L1986">
        <v>33</v>
      </c>
      <c r="M1986">
        <v>443</v>
      </c>
      <c r="N1986" t="s">
        <v>134</v>
      </c>
      <c r="O1986" t="s">
        <v>135</v>
      </c>
    </row>
    <row r="1987" spans="2:15" x14ac:dyDescent="0.25">
      <c r="B1987" t="s">
        <v>285</v>
      </c>
      <c r="C1987" s="4">
        <v>44564</v>
      </c>
      <c r="D1987">
        <v>1</v>
      </c>
      <c r="E1987" t="s">
        <v>16</v>
      </c>
      <c r="F1987" t="s">
        <v>125</v>
      </c>
      <c r="G1987" t="s">
        <v>286</v>
      </c>
      <c r="H1987">
        <v>0</v>
      </c>
      <c r="I1987">
        <v>338793</v>
      </c>
      <c r="J1987">
        <v>-338793</v>
      </c>
      <c r="L1987">
        <v>33</v>
      </c>
      <c r="M1987">
        <v>445</v>
      </c>
      <c r="N1987" t="s">
        <v>136</v>
      </c>
      <c r="O1987" t="s">
        <v>137</v>
      </c>
    </row>
    <row r="1988" spans="2:15" x14ac:dyDescent="0.25">
      <c r="B1988" t="s">
        <v>285</v>
      </c>
      <c r="C1988" s="4">
        <v>44564</v>
      </c>
      <c r="D1988">
        <v>1</v>
      </c>
      <c r="E1988" t="s">
        <v>16</v>
      </c>
      <c r="F1988" t="s">
        <v>17</v>
      </c>
      <c r="G1988" t="s">
        <v>286</v>
      </c>
      <c r="H1988">
        <v>338793</v>
      </c>
      <c r="I1988">
        <v>0</v>
      </c>
      <c r="J1988">
        <v>338793</v>
      </c>
      <c r="L1988">
        <v>33</v>
      </c>
      <c r="M1988">
        <v>445</v>
      </c>
      <c r="N1988" t="s">
        <v>136</v>
      </c>
      <c r="O1988" t="s">
        <v>137</v>
      </c>
    </row>
    <row r="1989" spans="2:15" x14ac:dyDescent="0.25">
      <c r="B1989" t="s">
        <v>285</v>
      </c>
      <c r="C1989" s="4">
        <v>44571</v>
      </c>
      <c r="D1989">
        <v>1</v>
      </c>
      <c r="E1989" t="s">
        <v>16</v>
      </c>
      <c r="F1989" t="s">
        <v>125</v>
      </c>
      <c r="G1989" t="s">
        <v>286</v>
      </c>
      <c r="H1989">
        <v>0</v>
      </c>
      <c r="I1989">
        <v>35700</v>
      </c>
      <c r="J1989">
        <v>-35700</v>
      </c>
      <c r="L1989">
        <v>33</v>
      </c>
      <c r="M1989">
        <v>446</v>
      </c>
      <c r="N1989" t="s">
        <v>138</v>
      </c>
      <c r="O1989" t="s">
        <v>139</v>
      </c>
    </row>
    <row r="1990" spans="2:15" x14ac:dyDescent="0.25">
      <c r="B1990" t="s">
        <v>285</v>
      </c>
      <c r="C1990" s="4">
        <v>44571</v>
      </c>
      <c r="D1990">
        <v>1</v>
      </c>
      <c r="E1990" t="s">
        <v>16</v>
      </c>
      <c r="F1990" t="s">
        <v>17</v>
      </c>
      <c r="G1990" t="s">
        <v>286</v>
      </c>
      <c r="H1990">
        <v>35700</v>
      </c>
      <c r="I1990">
        <v>0</v>
      </c>
      <c r="J1990">
        <v>35700</v>
      </c>
      <c r="L1990">
        <v>33</v>
      </c>
      <c r="M1990">
        <v>446</v>
      </c>
      <c r="N1990" t="s">
        <v>138</v>
      </c>
      <c r="O1990" t="s">
        <v>139</v>
      </c>
    </row>
    <row r="1991" spans="2:15" x14ac:dyDescent="0.25">
      <c r="B1991" t="s">
        <v>285</v>
      </c>
      <c r="C1991" s="4">
        <v>44575</v>
      </c>
      <c r="D1991">
        <v>1</v>
      </c>
      <c r="E1991" t="s">
        <v>16</v>
      </c>
      <c r="F1991" t="s">
        <v>125</v>
      </c>
      <c r="G1991" t="s">
        <v>286</v>
      </c>
      <c r="H1991">
        <v>0</v>
      </c>
      <c r="I1991">
        <v>104720</v>
      </c>
      <c r="J1991">
        <v>-104720</v>
      </c>
      <c r="L1991">
        <v>33</v>
      </c>
      <c r="M1991">
        <v>451</v>
      </c>
      <c r="N1991" t="s">
        <v>140</v>
      </c>
      <c r="O1991" t="s">
        <v>141</v>
      </c>
    </row>
    <row r="1992" spans="2:15" x14ac:dyDescent="0.25">
      <c r="B1992" t="s">
        <v>285</v>
      </c>
      <c r="C1992" s="4">
        <v>44575</v>
      </c>
      <c r="D1992">
        <v>1</v>
      </c>
      <c r="E1992" t="s">
        <v>16</v>
      </c>
      <c r="F1992" t="s">
        <v>17</v>
      </c>
      <c r="G1992" t="s">
        <v>286</v>
      </c>
      <c r="H1992">
        <v>104720</v>
      </c>
      <c r="I1992">
        <v>0</v>
      </c>
      <c r="J1992">
        <v>104720</v>
      </c>
      <c r="L1992">
        <v>33</v>
      </c>
      <c r="M1992">
        <v>451</v>
      </c>
      <c r="N1992" t="s">
        <v>140</v>
      </c>
      <c r="O1992" t="s">
        <v>141</v>
      </c>
    </row>
    <row r="1993" spans="2:15" x14ac:dyDescent="0.25">
      <c r="B1993" t="s">
        <v>285</v>
      </c>
      <c r="C1993" s="4">
        <v>44575</v>
      </c>
      <c r="D1993">
        <v>1</v>
      </c>
      <c r="E1993" t="s">
        <v>16</v>
      </c>
      <c r="F1993" t="s">
        <v>125</v>
      </c>
      <c r="G1993" t="s">
        <v>286</v>
      </c>
      <c r="H1993">
        <v>0</v>
      </c>
      <c r="I1993">
        <v>224910</v>
      </c>
      <c r="J1993">
        <v>-224910</v>
      </c>
      <c r="L1993">
        <v>33</v>
      </c>
      <c r="M1993">
        <v>452</v>
      </c>
      <c r="N1993" t="s">
        <v>140</v>
      </c>
      <c r="O1993" t="s">
        <v>141</v>
      </c>
    </row>
    <row r="1994" spans="2:15" x14ac:dyDescent="0.25">
      <c r="B1994" t="s">
        <v>285</v>
      </c>
      <c r="C1994" s="4">
        <v>44575</v>
      </c>
      <c r="D1994">
        <v>1</v>
      </c>
      <c r="E1994" t="s">
        <v>16</v>
      </c>
      <c r="F1994" t="s">
        <v>17</v>
      </c>
      <c r="G1994" t="s">
        <v>286</v>
      </c>
      <c r="H1994">
        <v>224910</v>
      </c>
      <c r="I1994">
        <v>0</v>
      </c>
      <c r="J1994">
        <v>224910</v>
      </c>
      <c r="L1994">
        <v>33</v>
      </c>
      <c r="M1994">
        <v>452</v>
      </c>
      <c r="N1994" t="s">
        <v>140</v>
      </c>
      <c r="O1994" t="s">
        <v>141</v>
      </c>
    </row>
    <row r="1995" spans="2:15" x14ac:dyDescent="0.25">
      <c r="B1995" t="s">
        <v>285</v>
      </c>
      <c r="C1995" s="4">
        <v>44578</v>
      </c>
      <c r="D1995">
        <v>1</v>
      </c>
      <c r="E1995" t="s">
        <v>16</v>
      </c>
      <c r="F1995" t="s">
        <v>125</v>
      </c>
      <c r="G1995" t="s">
        <v>286</v>
      </c>
      <c r="H1995">
        <v>0</v>
      </c>
      <c r="I1995">
        <v>3535728</v>
      </c>
      <c r="J1995">
        <v>-3535728</v>
      </c>
      <c r="L1995">
        <v>33</v>
      </c>
      <c r="M1995">
        <v>453</v>
      </c>
      <c r="N1995" t="s">
        <v>142</v>
      </c>
      <c r="O1995" t="s">
        <v>143</v>
      </c>
    </row>
    <row r="1996" spans="2:15" x14ac:dyDescent="0.25">
      <c r="B1996" t="s">
        <v>285</v>
      </c>
      <c r="C1996" s="4">
        <v>44578</v>
      </c>
      <c r="D1996">
        <v>1</v>
      </c>
      <c r="E1996" t="s">
        <v>16</v>
      </c>
      <c r="F1996" t="s">
        <v>17</v>
      </c>
      <c r="G1996" t="s">
        <v>286</v>
      </c>
      <c r="H1996">
        <v>3535728</v>
      </c>
      <c r="I1996">
        <v>0</v>
      </c>
      <c r="J1996">
        <v>3535728</v>
      </c>
      <c r="L1996">
        <v>33</v>
      </c>
      <c r="M1996">
        <v>453</v>
      </c>
      <c r="N1996" t="s">
        <v>142</v>
      </c>
      <c r="O1996" t="s">
        <v>143</v>
      </c>
    </row>
    <row r="1997" spans="2:15" x14ac:dyDescent="0.25">
      <c r="B1997" t="s">
        <v>285</v>
      </c>
      <c r="C1997" s="4">
        <v>44578</v>
      </c>
      <c r="D1997">
        <v>1</v>
      </c>
      <c r="E1997" t="s">
        <v>16</v>
      </c>
      <c r="F1997" t="s">
        <v>125</v>
      </c>
      <c r="G1997" t="s">
        <v>286</v>
      </c>
      <c r="H1997">
        <v>0</v>
      </c>
      <c r="I1997">
        <v>940100</v>
      </c>
      <c r="J1997">
        <v>-940100</v>
      </c>
      <c r="L1997">
        <v>33</v>
      </c>
      <c r="M1997">
        <v>454</v>
      </c>
      <c r="N1997" t="s">
        <v>142</v>
      </c>
      <c r="O1997" t="s">
        <v>143</v>
      </c>
    </row>
    <row r="1998" spans="2:15" x14ac:dyDescent="0.25">
      <c r="B1998" t="s">
        <v>285</v>
      </c>
      <c r="C1998" s="4">
        <v>44578</v>
      </c>
      <c r="D1998">
        <v>1</v>
      </c>
      <c r="E1998" t="s">
        <v>16</v>
      </c>
      <c r="F1998" t="s">
        <v>17</v>
      </c>
      <c r="G1998" t="s">
        <v>286</v>
      </c>
      <c r="H1998">
        <v>940100</v>
      </c>
      <c r="I1998">
        <v>0</v>
      </c>
      <c r="J1998">
        <v>940100</v>
      </c>
      <c r="L1998">
        <v>33</v>
      </c>
      <c r="M1998">
        <v>454</v>
      </c>
      <c r="N1998" t="s">
        <v>142</v>
      </c>
      <c r="O1998" t="s">
        <v>143</v>
      </c>
    </row>
    <row r="1999" spans="2:15" x14ac:dyDescent="0.25">
      <c r="B1999" t="s">
        <v>285</v>
      </c>
      <c r="C1999" s="4">
        <v>44585</v>
      </c>
      <c r="D1999">
        <v>1</v>
      </c>
      <c r="E1999" t="s">
        <v>16</v>
      </c>
      <c r="F1999" t="s">
        <v>125</v>
      </c>
      <c r="G1999" t="s">
        <v>286</v>
      </c>
      <c r="H1999">
        <v>0</v>
      </c>
      <c r="I1999">
        <v>385132</v>
      </c>
      <c r="J1999">
        <v>-385132</v>
      </c>
      <c r="L1999">
        <v>33</v>
      </c>
      <c r="M1999">
        <v>455</v>
      </c>
      <c r="N1999" t="s">
        <v>144</v>
      </c>
      <c r="O1999" t="s">
        <v>145</v>
      </c>
    </row>
    <row r="2000" spans="2:15" x14ac:dyDescent="0.25">
      <c r="B2000" t="s">
        <v>285</v>
      </c>
      <c r="C2000" s="4">
        <v>44585</v>
      </c>
      <c r="D2000">
        <v>1</v>
      </c>
      <c r="E2000" t="s">
        <v>16</v>
      </c>
      <c r="F2000" t="s">
        <v>17</v>
      </c>
      <c r="G2000" t="s">
        <v>286</v>
      </c>
      <c r="H2000">
        <v>385132</v>
      </c>
      <c r="I2000">
        <v>0</v>
      </c>
      <c r="J2000">
        <v>385132</v>
      </c>
      <c r="L2000">
        <v>33</v>
      </c>
      <c r="M2000">
        <v>455</v>
      </c>
      <c r="N2000" t="s">
        <v>144</v>
      </c>
      <c r="O2000" t="s">
        <v>145</v>
      </c>
    </row>
    <row r="2001" spans="2:15" x14ac:dyDescent="0.25">
      <c r="B2001" t="s">
        <v>285</v>
      </c>
      <c r="C2001" s="4">
        <v>44592</v>
      </c>
      <c r="D2001">
        <v>1</v>
      </c>
      <c r="E2001" t="s">
        <v>16</v>
      </c>
      <c r="F2001" t="s">
        <v>125</v>
      </c>
      <c r="G2001" t="s">
        <v>286</v>
      </c>
      <c r="H2001">
        <v>0</v>
      </c>
      <c r="I2001">
        <v>279293</v>
      </c>
      <c r="J2001">
        <v>-279293</v>
      </c>
      <c r="L2001">
        <v>33</v>
      </c>
      <c r="M2001">
        <v>456</v>
      </c>
      <c r="N2001" t="s">
        <v>146</v>
      </c>
      <c r="O2001" t="s">
        <v>147</v>
      </c>
    </row>
    <row r="2002" spans="2:15" x14ac:dyDescent="0.25">
      <c r="B2002" t="s">
        <v>285</v>
      </c>
      <c r="C2002" s="4">
        <v>44592</v>
      </c>
      <c r="D2002">
        <v>1</v>
      </c>
      <c r="E2002" t="s">
        <v>16</v>
      </c>
      <c r="F2002" t="s">
        <v>17</v>
      </c>
      <c r="G2002" t="s">
        <v>286</v>
      </c>
      <c r="H2002">
        <v>279293</v>
      </c>
      <c r="I2002">
        <v>0</v>
      </c>
      <c r="J2002">
        <v>279293</v>
      </c>
      <c r="L2002">
        <v>33</v>
      </c>
      <c r="M2002">
        <v>456</v>
      </c>
      <c r="N2002" t="s">
        <v>146</v>
      </c>
      <c r="O2002" t="s">
        <v>147</v>
      </c>
    </row>
    <row r="2003" spans="2:15" x14ac:dyDescent="0.25">
      <c r="B2003" t="s">
        <v>285</v>
      </c>
      <c r="C2003" s="4">
        <v>44564</v>
      </c>
      <c r="D2003">
        <v>1</v>
      </c>
      <c r="E2003" t="s">
        <v>16</v>
      </c>
      <c r="F2003" t="s">
        <v>125</v>
      </c>
      <c r="G2003" t="s">
        <v>286</v>
      </c>
      <c r="H2003">
        <v>464171</v>
      </c>
      <c r="I2003">
        <v>0</v>
      </c>
      <c r="J2003">
        <v>464171</v>
      </c>
      <c r="L2003">
        <v>61</v>
      </c>
      <c r="M2003">
        <v>21</v>
      </c>
      <c r="N2003" t="s">
        <v>148</v>
      </c>
      <c r="O2003" t="s">
        <v>149</v>
      </c>
    </row>
    <row r="2004" spans="2:15" x14ac:dyDescent="0.25">
      <c r="B2004" t="s">
        <v>285</v>
      </c>
      <c r="C2004" s="4">
        <v>44564</v>
      </c>
      <c r="D2004">
        <v>1</v>
      </c>
      <c r="E2004" t="s">
        <v>16</v>
      </c>
      <c r="F2004" t="s">
        <v>17</v>
      </c>
      <c r="G2004" t="s">
        <v>286</v>
      </c>
      <c r="H2004">
        <v>0</v>
      </c>
      <c r="I2004">
        <v>464171</v>
      </c>
      <c r="J2004">
        <v>-464171</v>
      </c>
      <c r="L2004">
        <v>61</v>
      </c>
      <c r="M2004">
        <v>21</v>
      </c>
      <c r="N2004" t="s">
        <v>148</v>
      </c>
      <c r="O2004" t="s">
        <v>149</v>
      </c>
    </row>
    <row r="2005" spans="2:15" x14ac:dyDescent="0.25">
      <c r="B2005" t="s">
        <v>285</v>
      </c>
      <c r="C2005" s="4">
        <v>44596</v>
      </c>
      <c r="D2005">
        <v>2</v>
      </c>
      <c r="E2005" t="s">
        <v>16</v>
      </c>
      <c r="F2005" t="s">
        <v>125</v>
      </c>
      <c r="G2005" t="s">
        <v>286</v>
      </c>
      <c r="H2005">
        <v>0</v>
      </c>
      <c r="I2005">
        <v>291550</v>
      </c>
      <c r="J2005">
        <v>-291550</v>
      </c>
      <c r="L2005">
        <v>33</v>
      </c>
      <c r="M2005">
        <v>457</v>
      </c>
      <c r="N2005" t="s">
        <v>150</v>
      </c>
      <c r="O2005" t="s">
        <v>151</v>
      </c>
    </row>
    <row r="2006" spans="2:15" x14ac:dyDescent="0.25">
      <c r="B2006" t="s">
        <v>285</v>
      </c>
      <c r="C2006" s="4">
        <v>44596</v>
      </c>
      <c r="D2006">
        <v>2</v>
      </c>
      <c r="E2006" t="s">
        <v>16</v>
      </c>
      <c r="F2006" t="s">
        <v>17</v>
      </c>
      <c r="G2006" t="s">
        <v>286</v>
      </c>
      <c r="H2006">
        <v>291550</v>
      </c>
      <c r="I2006">
        <v>0</v>
      </c>
      <c r="J2006">
        <v>291550</v>
      </c>
      <c r="L2006">
        <v>33</v>
      </c>
      <c r="M2006">
        <v>457</v>
      </c>
      <c r="N2006" t="s">
        <v>150</v>
      </c>
      <c r="O2006" t="s">
        <v>151</v>
      </c>
    </row>
    <row r="2007" spans="2:15" x14ac:dyDescent="0.25">
      <c r="B2007" t="s">
        <v>285</v>
      </c>
      <c r="C2007" s="4">
        <v>44596</v>
      </c>
      <c r="D2007">
        <v>2</v>
      </c>
      <c r="E2007" t="s">
        <v>16</v>
      </c>
      <c r="F2007" t="s">
        <v>125</v>
      </c>
      <c r="G2007" t="s">
        <v>286</v>
      </c>
      <c r="H2007">
        <v>0</v>
      </c>
      <c r="I2007">
        <v>291550</v>
      </c>
      <c r="J2007">
        <v>-291550</v>
      </c>
      <c r="L2007">
        <v>33</v>
      </c>
      <c r="M2007">
        <v>458</v>
      </c>
      <c r="N2007" t="s">
        <v>150</v>
      </c>
      <c r="O2007" t="s">
        <v>151</v>
      </c>
    </row>
    <row r="2008" spans="2:15" x14ac:dyDescent="0.25">
      <c r="B2008" t="s">
        <v>285</v>
      </c>
      <c r="C2008" s="4">
        <v>44596</v>
      </c>
      <c r="D2008">
        <v>2</v>
      </c>
      <c r="E2008" t="s">
        <v>16</v>
      </c>
      <c r="F2008" t="s">
        <v>17</v>
      </c>
      <c r="G2008" t="s">
        <v>286</v>
      </c>
      <c r="H2008">
        <v>291550</v>
      </c>
      <c r="I2008">
        <v>0</v>
      </c>
      <c r="J2008">
        <v>291550</v>
      </c>
      <c r="L2008">
        <v>33</v>
      </c>
      <c r="M2008">
        <v>458</v>
      </c>
      <c r="N2008" t="s">
        <v>150</v>
      </c>
      <c r="O2008" t="s">
        <v>151</v>
      </c>
    </row>
    <row r="2009" spans="2:15" x14ac:dyDescent="0.25">
      <c r="B2009" t="s">
        <v>285</v>
      </c>
      <c r="C2009" s="4">
        <v>44596</v>
      </c>
      <c r="D2009">
        <v>2</v>
      </c>
      <c r="E2009" t="s">
        <v>16</v>
      </c>
      <c r="F2009" t="s">
        <v>125</v>
      </c>
      <c r="G2009" t="s">
        <v>286</v>
      </c>
      <c r="H2009">
        <v>0</v>
      </c>
      <c r="I2009">
        <v>338793</v>
      </c>
      <c r="J2009">
        <v>-338793</v>
      </c>
      <c r="L2009">
        <v>33</v>
      </c>
      <c r="M2009">
        <v>459</v>
      </c>
      <c r="N2009" t="s">
        <v>136</v>
      </c>
      <c r="O2009" t="s">
        <v>137</v>
      </c>
    </row>
    <row r="2010" spans="2:15" x14ac:dyDescent="0.25">
      <c r="B2010" t="s">
        <v>285</v>
      </c>
      <c r="C2010" s="4">
        <v>44596</v>
      </c>
      <c r="D2010">
        <v>2</v>
      </c>
      <c r="E2010" t="s">
        <v>16</v>
      </c>
      <c r="F2010" t="s">
        <v>17</v>
      </c>
      <c r="G2010" t="s">
        <v>286</v>
      </c>
      <c r="H2010">
        <v>338793</v>
      </c>
      <c r="I2010">
        <v>0</v>
      </c>
      <c r="J2010">
        <v>338793</v>
      </c>
      <c r="L2010">
        <v>33</v>
      </c>
      <c r="M2010">
        <v>459</v>
      </c>
      <c r="N2010" t="s">
        <v>136</v>
      </c>
      <c r="O2010" t="s">
        <v>137</v>
      </c>
    </row>
    <row r="2011" spans="2:15" x14ac:dyDescent="0.25">
      <c r="B2011" t="s">
        <v>285</v>
      </c>
      <c r="C2011" s="4">
        <v>44608</v>
      </c>
      <c r="D2011">
        <v>2</v>
      </c>
      <c r="E2011" t="s">
        <v>16</v>
      </c>
      <c r="F2011" t="s">
        <v>125</v>
      </c>
      <c r="G2011" t="s">
        <v>286</v>
      </c>
      <c r="H2011">
        <v>0</v>
      </c>
      <c r="I2011">
        <v>108290</v>
      </c>
      <c r="J2011">
        <v>-108290</v>
      </c>
      <c r="L2011">
        <v>33</v>
      </c>
      <c r="M2011">
        <v>460</v>
      </c>
      <c r="N2011" t="s">
        <v>140</v>
      </c>
      <c r="O2011" t="s">
        <v>141</v>
      </c>
    </row>
    <row r="2012" spans="2:15" x14ac:dyDescent="0.25">
      <c r="B2012" t="s">
        <v>285</v>
      </c>
      <c r="C2012" s="4">
        <v>44608</v>
      </c>
      <c r="D2012">
        <v>2</v>
      </c>
      <c r="E2012" t="s">
        <v>16</v>
      </c>
      <c r="F2012" t="s">
        <v>17</v>
      </c>
      <c r="G2012" t="s">
        <v>286</v>
      </c>
      <c r="H2012">
        <v>108290</v>
      </c>
      <c r="I2012">
        <v>0</v>
      </c>
      <c r="J2012">
        <v>108290</v>
      </c>
      <c r="L2012">
        <v>33</v>
      </c>
      <c r="M2012">
        <v>460</v>
      </c>
      <c r="N2012" t="s">
        <v>140</v>
      </c>
      <c r="O2012" t="s">
        <v>141</v>
      </c>
    </row>
    <row r="2013" spans="2:15" x14ac:dyDescent="0.25">
      <c r="B2013" t="s">
        <v>285</v>
      </c>
      <c r="C2013" s="4">
        <v>44609</v>
      </c>
      <c r="D2013">
        <v>2</v>
      </c>
      <c r="E2013" t="s">
        <v>16</v>
      </c>
      <c r="F2013" t="s">
        <v>125</v>
      </c>
      <c r="G2013" t="s">
        <v>286</v>
      </c>
      <c r="H2013">
        <v>0</v>
      </c>
      <c r="I2013">
        <v>146810</v>
      </c>
      <c r="J2013">
        <v>-146810</v>
      </c>
      <c r="L2013">
        <v>33</v>
      </c>
      <c r="M2013">
        <v>461</v>
      </c>
      <c r="N2013" t="s">
        <v>152</v>
      </c>
      <c r="O2013" t="s">
        <v>153</v>
      </c>
    </row>
    <row r="2014" spans="2:15" x14ac:dyDescent="0.25">
      <c r="B2014" t="s">
        <v>285</v>
      </c>
      <c r="C2014" s="4">
        <v>44609</v>
      </c>
      <c r="D2014">
        <v>2</v>
      </c>
      <c r="E2014" t="s">
        <v>16</v>
      </c>
      <c r="F2014" t="s">
        <v>17</v>
      </c>
      <c r="G2014" t="s">
        <v>286</v>
      </c>
      <c r="H2014">
        <v>146810</v>
      </c>
      <c r="I2014">
        <v>0</v>
      </c>
      <c r="J2014">
        <v>146810</v>
      </c>
      <c r="L2014">
        <v>33</v>
      </c>
      <c r="M2014">
        <v>461</v>
      </c>
      <c r="N2014" t="s">
        <v>152</v>
      </c>
      <c r="O2014" t="s">
        <v>153</v>
      </c>
    </row>
    <row r="2015" spans="2:15" x14ac:dyDescent="0.25">
      <c r="B2015" t="s">
        <v>285</v>
      </c>
      <c r="C2015" s="4">
        <v>44609</v>
      </c>
      <c r="D2015">
        <v>2</v>
      </c>
      <c r="E2015" t="s">
        <v>16</v>
      </c>
      <c r="F2015" t="s">
        <v>125</v>
      </c>
      <c r="G2015" t="s">
        <v>286</v>
      </c>
      <c r="H2015">
        <v>0</v>
      </c>
      <c r="I2015">
        <v>45172</v>
      </c>
      <c r="J2015">
        <v>-45172</v>
      </c>
      <c r="L2015">
        <v>33</v>
      </c>
      <c r="M2015">
        <v>462</v>
      </c>
      <c r="N2015" t="s">
        <v>154</v>
      </c>
      <c r="O2015" t="s">
        <v>155</v>
      </c>
    </row>
    <row r="2016" spans="2:15" x14ac:dyDescent="0.25">
      <c r="B2016" t="s">
        <v>285</v>
      </c>
      <c r="C2016" s="4">
        <v>44609</v>
      </c>
      <c r="D2016">
        <v>2</v>
      </c>
      <c r="E2016" t="s">
        <v>16</v>
      </c>
      <c r="F2016" t="s">
        <v>17</v>
      </c>
      <c r="G2016" t="s">
        <v>286</v>
      </c>
      <c r="H2016">
        <v>45172</v>
      </c>
      <c r="I2016">
        <v>0</v>
      </c>
      <c r="J2016">
        <v>45172</v>
      </c>
      <c r="L2016">
        <v>33</v>
      </c>
      <c r="M2016">
        <v>462</v>
      </c>
      <c r="N2016" t="s">
        <v>154</v>
      </c>
      <c r="O2016" t="s">
        <v>155</v>
      </c>
    </row>
    <row r="2017" spans="2:15" x14ac:dyDescent="0.25">
      <c r="B2017" t="s">
        <v>285</v>
      </c>
      <c r="C2017" s="4">
        <v>44617</v>
      </c>
      <c r="D2017">
        <v>2</v>
      </c>
      <c r="E2017" t="s">
        <v>16</v>
      </c>
      <c r="F2017" t="s">
        <v>125</v>
      </c>
      <c r="G2017" t="s">
        <v>286</v>
      </c>
      <c r="H2017">
        <v>0</v>
      </c>
      <c r="I2017">
        <v>2705893</v>
      </c>
      <c r="J2017">
        <v>-2705893</v>
      </c>
      <c r="L2017">
        <v>33</v>
      </c>
      <c r="M2017">
        <v>463</v>
      </c>
      <c r="N2017" t="s">
        <v>156</v>
      </c>
      <c r="O2017" t="s">
        <v>157</v>
      </c>
    </row>
    <row r="2018" spans="2:15" x14ac:dyDescent="0.25">
      <c r="B2018" t="s">
        <v>285</v>
      </c>
      <c r="C2018" s="4">
        <v>44617</v>
      </c>
      <c r="D2018">
        <v>2</v>
      </c>
      <c r="E2018" t="s">
        <v>16</v>
      </c>
      <c r="F2018" t="s">
        <v>17</v>
      </c>
      <c r="G2018" t="s">
        <v>286</v>
      </c>
      <c r="H2018">
        <v>2705893</v>
      </c>
      <c r="I2018">
        <v>0</v>
      </c>
      <c r="J2018">
        <v>2705893</v>
      </c>
      <c r="L2018">
        <v>33</v>
      </c>
      <c r="M2018">
        <v>463</v>
      </c>
      <c r="N2018" t="s">
        <v>156</v>
      </c>
      <c r="O2018" t="s">
        <v>157</v>
      </c>
    </row>
    <row r="2019" spans="2:15" x14ac:dyDescent="0.25">
      <c r="B2019" t="s">
        <v>285</v>
      </c>
      <c r="C2019" s="4">
        <v>44620</v>
      </c>
      <c r="D2019">
        <v>2</v>
      </c>
      <c r="E2019" t="s">
        <v>16</v>
      </c>
      <c r="F2019" t="s">
        <v>125</v>
      </c>
      <c r="G2019" t="s">
        <v>286</v>
      </c>
      <c r="H2019">
        <v>0</v>
      </c>
      <c r="I2019">
        <v>135517</v>
      </c>
      <c r="J2019">
        <v>-135517</v>
      </c>
      <c r="L2019">
        <v>33</v>
      </c>
      <c r="M2019">
        <v>464</v>
      </c>
      <c r="N2019" t="s">
        <v>154</v>
      </c>
      <c r="O2019" t="s">
        <v>155</v>
      </c>
    </row>
    <row r="2020" spans="2:15" x14ac:dyDescent="0.25">
      <c r="B2020" t="s">
        <v>285</v>
      </c>
      <c r="C2020" s="4">
        <v>44620</v>
      </c>
      <c r="D2020">
        <v>2</v>
      </c>
      <c r="E2020" t="s">
        <v>16</v>
      </c>
      <c r="F2020" t="s">
        <v>17</v>
      </c>
      <c r="G2020" t="s">
        <v>286</v>
      </c>
      <c r="H2020">
        <v>135517</v>
      </c>
      <c r="I2020">
        <v>0</v>
      </c>
      <c r="J2020">
        <v>135517</v>
      </c>
      <c r="L2020">
        <v>33</v>
      </c>
      <c r="M2020">
        <v>464</v>
      </c>
      <c r="N2020" t="s">
        <v>154</v>
      </c>
      <c r="O2020" t="s">
        <v>155</v>
      </c>
    </row>
    <row r="2021" spans="2:15" x14ac:dyDescent="0.25">
      <c r="B2021" t="s">
        <v>285</v>
      </c>
      <c r="C2021" s="4">
        <v>44620</v>
      </c>
      <c r="D2021">
        <v>2</v>
      </c>
      <c r="E2021" t="s">
        <v>16</v>
      </c>
      <c r="F2021" t="s">
        <v>125</v>
      </c>
      <c r="G2021" t="s">
        <v>286</v>
      </c>
      <c r="H2021">
        <v>0</v>
      </c>
      <c r="I2021">
        <v>192566</v>
      </c>
      <c r="J2021">
        <v>-192566</v>
      </c>
      <c r="L2021">
        <v>33</v>
      </c>
      <c r="M2021">
        <v>465</v>
      </c>
      <c r="N2021" t="s">
        <v>158</v>
      </c>
      <c r="O2021" t="s">
        <v>159</v>
      </c>
    </row>
    <row r="2022" spans="2:15" x14ac:dyDescent="0.25">
      <c r="B2022" t="s">
        <v>285</v>
      </c>
      <c r="C2022" s="4">
        <v>44620</v>
      </c>
      <c r="D2022">
        <v>2</v>
      </c>
      <c r="E2022" t="s">
        <v>16</v>
      </c>
      <c r="F2022" t="s">
        <v>17</v>
      </c>
      <c r="G2022" t="s">
        <v>286</v>
      </c>
      <c r="H2022">
        <v>192566</v>
      </c>
      <c r="I2022">
        <v>0</v>
      </c>
      <c r="J2022">
        <v>192566</v>
      </c>
      <c r="L2022">
        <v>33</v>
      </c>
      <c r="M2022">
        <v>465</v>
      </c>
      <c r="N2022" t="s">
        <v>158</v>
      </c>
      <c r="O2022" t="s">
        <v>159</v>
      </c>
    </row>
    <row r="2023" spans="2:15" x14ac:dyDescent="0.25">
      <c r="B2023" t="s">
        <v>285</v>
      </c>
      <c r="C2023" s="4">
        <v>44624</v>
      </c>
      <c r="D2023">
        <v>3</v>
      </c>
      <c r="E2023" t="s">
        <v>16</v>
      </c>
      <c r="F2023" t="s">
        <v>125</v>
      </c>
      <c r="G2023" t="s">
        <v>286</v>
      </c>
      <c r="H2023">
        <v>0</v>
      </c>
      <c r="I2023">
        <v>141467</v>
      </c>
      <c r="J2023">
        <v>-141467</v>
      </c>
      <c r="L2023">
        <v>33</v>
      </c>
      <c r="M2023">
        <v>466</v>
      </c>
      <c r="N2023" t="s">
        <v>160</v>
      </c>
      <c r="O2023" t="s">
        <v>161</v>
      </c>
    </row>
    <row r="2024" spans="2:15" x14ac:dyDescent="0.25">
      <c r="B2024" t="s">
        <v>285</v>
      </c>
      <c r="C2024" s="4">
        <v>44624</v>
      </c>
      <c r="D2024">
        <v>3</v>
      </c>
      <c r="E2024" t="s">
        <v>16</v>
      </c>
      <c r="F2024" t="s">
        <v>17</v>
      </c>
      <c r="G2024" t="s">
        <v>286</v>
      </c>
      <c r="H2024">
        <v>141467</v>
      </c>
      <c r="I2024">
        <v>0</v>
      </c>
      <c r="J2024">
        <v>141467</v>
      </c>
      <c r="L2024">
        <v>33</v>
      </c>
      <c r="M2024">
        <v>466</v>
      </c>
      <c r="N2024" t="s">
        <v>160</v>
      </c>
      <c r="O2024" t="s">
        <v>161</v>
      </c>
    </row>
    <row r="2025" spans="2:15" x14ac:dyDescent="0.25">
      <c r="B2025" t="s">
        <v>285</v>
      </c>
      <c r="C2025" s="4">
        <v>44627</v>
      </c>
      <c r="D2025">
        <v>3</v>
      </c>
      <c r="E2025" t="s">
        <v>16</v>
      </c>
      <c r="F2025" t="s">
        <v>125</v>
      </c>
      <c r="G2025" t="s">
        <v>286</v>
      </c>
      <c r="H2025">
        <v>0</v>
      </c>
      <c r="I2025">
        <v>176715</v>
      </c>
      <c r="J2025">
        <v>-176715</v>
      </c>
      <c r="L2025">
        <v>33</v>
      </c>
      <c r="M2025">
        <v>467</v>
      </c>
      <c r="N2025" t="s">
        <v>162</v>
      </c>
      <c r="O2025" t="s">
        <v>163</v>
      </c>
    </row>
    <row r="2026" spans="2:15" x14ac:dyDescent="0.25">
      <c r="B2026" t="s">
        <v>285</v>
      </c>
      <c r="C2026" s="4">
        <v>44627</v>
      </c>
      <c r="D2026">
        <v>3</v>
      </c>
      <c r="E2026" t="s">
        <v>16</v>
      </c>
      <c r="F2026" t="s">
        <v>17</v>
      </c>
      <c r="G2026" t="s">
        <v>286</v>
      </c>
      <c r="H2026">
        <v>176715</v>
      </c>
      <c r="I2026">
        <v>0</v>
      </c>
      <c r="J2026">
        <v>176715</v>
      </c>
      <c r="L2026">
        <v>33</v>
      </c>
      <c r="M2026">
        <v>467</v>
      </c>
      <c r="N2026" t="s">
        <v>162</v>
      </c>
      <c r="O2026" t="s">
        <v>163</v>
      </c>
    </row>
    <row r="2027" spans="2:15" x14ac:dyDescent="0.25">
      <c r="B2027" t="s">
        <v>285</v>
      </c>
      <c r="C2027" s="4">
        <v>44635</v>
      </c>
      <c r="D2027">
        <v>3</v>
      </c>
      <c r="E2027" t="s">
        <v>16</v>
      </c>
      <c r="F2027" t="s">
        <v>125</v>
      </c>
      <c r="G2027" t="s">
        <v>286</v>
      </c>
      <c r="H2027">
        <v>0</v>
      </c>
      <c r="I2027">
        <v>64117</v>
      </c>
      <c r="J2027">
        <v>-64117</v>
      </c>
      <c r="L2027">
        <v>33</v>
      </c>
      <c r="M2027">
        <v>468</v>
      </c>
      <c r="N2027" t="s">
        <v>164</v>
      </c>
      <c r="O2027" t="s">
        <v>165</v>
      </c>
    </row>
    <row r="2028" spans="2:15" x14ac:dyDescent="0.25">
      <c r="B2028" t="s">
        <v>285</v>
      </c>
      <c r="C2028" s="4">
        <v>44635</v>
      </c>
      <c r="D2028">
        <v>3</v>
      </c>
      <c r="E2028" t="s">
        <v>16</v>
      </c>
      <c r="F2028" t="s">
        <v>17</v>
      </c>
      <c r="G2028" t="s">
        <v>286</v>
      </c>
      <c r="H2028">
        <v>64117</v>
      </c>
      <c r="I2028">
        <v>0</v>
      </c>
      <c r="J2028">
        <v>64117</v>
      </c>
      <c r="L2028">
        <v>33</v>
      </c>
      <c r="M2028">
        <v>468</v>
      </c>
      <c r="N2028" t="s">
        <v>164</v>
      </c>
      <c r="O2028" t="s">
        <v>165</v>
      </c>
    </row>
    <row r="2029" spans="2:15" x14ac:dyDescent="0.25">
      <c r="B2029" t="s">
        <v>285</v>
      </c>
      <c r="C2029" s="4">
        <v>44635</v>
      </c>
      <c r="D2029">
        <v>3</v>
      </c>
      <c r="E2029" t="s">
        <v>16</v>
      </c>
      <c r="F2029" t="s">
        <v>125</v>
      </c>
      <c r="G2029" t="s">
        <v>286</v>
      </c>
      <c r="H2029">
        <v>0</v>
      </c>
      <c r="I2029">
        <v>94962</v>
      </c>
      <c r="J2029">
        <v>-94962</v>
      </c>
      <c r="L2029">
        <v>33</v>
      </c>
      <c r="M2029">
        <v>469</v>
      </c>
      <c r="N2029" t="s">
        <v>146</v>
      </c>
      <c r="O2029" t="s">
        <v>147</v>
      </c>
    </row>
    <row r="2030" spans="2:15" x14ac:dyDescent="0.25">
      <c r="B2030" t="s">
        <v>285</v>
      </c>
      <c r="C2030" s="4">
        <v>44635</v>
      </c>
      <c r="D2030">
        <v>3</v>
      </c>
      <c r="E2030" t="s">
        <v>16</v>
      </c>
      <c r="F2030" t="s">
        <v>17</v>
      </c>
      <c r="G2030" t="s">
        <v>286</v>
      </c>
      <c r="H2030">
        <v>94962</v>
      </c>
      <c r="I2030">
        <v>0</v>
      </c>
      <c r="J2030">
        <v>94962</v>
      </c>
      <c r="L2030">
        <v>33</v>
      </c>
      <c r="M2030">
        <v>469</v>
      </c>
      <c r="N2030" t="s">
        <v>146</v>
      </c>
      <c r="O2030" t="s">
        <v>147</v>
      </c>
    </row>
    <row r="2031" spans="2:15" x14ac:dyDescent="0.25">
      <c r="B2031" t="s">
        <v>285</v>
      </c>
      <c r="C2031" s="4">
        <v>44637</v>
      </c>
      <c r="D2031">
        <v>3</v>
      </c>
      <c r="E2031" t="s">
        <v>16</v>
      </c>
      <c r="F2031" t="s">
        <v>125</v>
      </c>
      <c r="G2031" t="s">
        <v>286</v>
      </c>
      <c r="H2031">
        <v>0</v>
      </c>
      <c r="I2031">
        <v>102935</v>
      </c>
      <c r="J2031">
        <v>-102935</v>
      </c>
      <c r="L2031">
        <v>33</v>
      </c>
      <c r="M2031">
        <v>470</v>
      </c>
      <c r="N2031" t="s">
        <v>166</v>
      </c>
      <c r="O2031" t="s">
        <v>167</v>
      </c>
    </row>
    <row r="2032" spans="2:15" x14ac:dyDescent="0.25">
      <c r="B2032" t="s">
        <v>285</v>
      </c>
      <c r="C2032" s="4">
        <v>44637</v>
      </c>
      <c r="D2032">
        <v>3</v>
      </c>
      <c r="E2032" t="s">
        <v>16</v>
      </c>
      <c r="F2032" t="s">
        <v>17</v>
      </c>
      <c r="G2032" t="s">
        <v>286</v>
      </c>
      <c r="H2032">
        <v>102935</v>
      </c>
      <c r="I2032">
        <v>0</v>
      </c>
      <c r="J2032">
        <v>102935</v>
      </c>
      <c r="L2032">
        <v>33</v>
      </c>
      <c r="M2032">
        <v>470</v>
      </c>
      <c r="N2032" t="s">
        <v>166</v>
      </c>
      <c r="O2032" t="s">
        <v>167</v>
      </c>
    </row>
    <row r="2033" spans="2:15" x14ac:dyDescent="0.25">
      <c r="B2033" t="s">
        <v>285</v>
      </c>
      <c r="C2033" s="4">
        <v>44638</v>
      </c>
      <c r="D2033">
        <v>3</v>
      </c>
      <c r="E2033" t="s">
        <v>16</v>
      </c>
      <c r="F2033" t="s">
        <v>125</v>
      </c>
      <c r="G2033" t="s">
        <v>286</v>
      </c>
      <c r="H2033">
        <v>0</v>
      </c>
      <c r="I2033">
        <v>212058</v>
      </c>
      <c r="J2033">
        <v>-212058</v>
      </c>
      <c r="L2033">
        <v>33</v>
      </c>
      <c r="M2033">
        <v>471</v>
      </c>
      <c r="N2033" t="s">
        <v>168</v>
      </c>
      <c r="O2033" t="s">
        <v>169</v>
      </c>
    </row>
    <row r="2034" spans="2:15" x14ac:dyDescent="0.25">
      <c r="B2034" t="s">
        <v>285</v>
      </c>
      <c r="C2034" s="4">
        <v>44638</v>
      </c>
      <c r="D2034">
        <v>3</v>
      </c>
      <c r="E2034" t="s">
        <v>16</v>
      </c>
      <c r="F2034" t="s">
        <v>17</v>
      </c>
      <c r="G2034" t="s">
        <v>286</v>
      </c>
      <c r="H2034">
        <v>212058</v>
      </c>
      <c r="I2034">
        <v>0</v>
      </c>
      <c r="J2034">
        <v>212058</v>
      </c>
      <c r="L2034">
        <v>33</v>
      </c>
      <c r="M2034">
        <v>471</v>
      </c>
      <c r="N2034" t="s">
        <v>168</v>
      </c>
      <c r="O2034" t="s">
        <v>169</v>
      </c>
    </row>
    <row r="2035" spans="2:15" x14ac:dyDescent="0.25">
      <c r="B2035" t="s">
        <v>285</v>
      </c>
      <c r="C2035" s="4">
        <v>44642</v>
      </c>
      <c r="D2035">
        <v>3</v>
      </c>
      <c r="E2035" t="s">
        <v>16</v>
      </c>
      <c r="F2035" t="s">
        <v>125</v>
      </c>
      <c r="G2035" t="s">
        <v>286</v>
      </c>
      <c r="H2035">
        <v>0</v>
      </c>
      <c r="I2035">
        <v>203490</v>
      </c>
      <c r="J2035">
        <v>-203490</v>
      </c>
      <c r="L2035">
        <v>33</v>
      </c>
      <c r="M2035">
        <v>472</v>
      </c>
      <c r="N2035" t="s">
        <v>170</v>
      </c>
      <c r="O2035" t="s">
        <v>171</v>
      </c>
    </row>
    <row r="2036" spans="2:15" x14ac:dyDescent="0.25">
      <c r="B2036" t="s">
        <v>285</v>
      </c>
      <c r="C2036" s="4">
        <v>44642</v>
      </c>
      <c r="D2036">
        <v>3</v>
      </c>
      <c r="E2036" t="s">
        <v>16</v>
      </c>
      <c r="F2036" t="s">
        <v>17</v>
      </c>
      <c r="G2036" t="s">
        <v>286</v>
      </c>
      <c r="H2036">
        <v>203490</v>
      </c>
      <c r="I2036">
        <v>0</v>
      </c>
      <c r="J2036">
        <v>203490</v>
      </c>
      <c r="L2036">
        <v>33</v>
      </c>
      <c r="M2036">
        <v>472</v>
      </c>
      <c r="N2036" t="s">
        <v>170</v>
      </c>
      <c r="O2036" t="s">
        <v>171</v>
      </c>
    </row>
    <row r="2037" spans="2:15" x14ac:dyDescent="0.25">
      <c r="B2037" t="s">
        <v>285</v>
      </c>
      <c r="C2037" s="4">
        <v>44645</v>
      </c>
      <c r="D2037">
        <v>3</v>
      </c>
      <c r="E2037" t="s">
        <v>16</v>
      </c>
      <c r="F2037" t="s">
        <v>125</v>
      </c>
      <c r="G2037" t="s">
        <v>286</v>
      </c>
      <c r="H2037">
        <v>0</v>
      </c>
      <c r="I2037">
        <v>200848</v>
      </c>
      <c r="J2037">
        <v>-200848</v>
      </c>
      <c r="L2037">
        <v>33</v>
      </c>
      <c r="M2037">
        <v>474</v>
      </c>
      <c r="N2037" t="s">
        <v>172</v>
      </c>
      <c r="O2037" t="s">
        <v>173</v>
      </c>
    </row>
    <row r="2038" spans="2:15" x14ac:dyDescent="0.25">
      <c r="B2038" t="s">
        <v>285</v>
      </c>
      <c r="C2038" s="4">
        <v>44645</v>
      </c>
      <c r="D2038">
        <v>3</v>
      </c>
      <c r="E2038" t="s">
        <v>16</v>
      </c>
      <c r="F2038" t="s">
        <v>17</v>
      </c>
      <c r="G2038" t="s">
        <v>286</v>
      </c>
      <c r="H2038">
        <v>200848</v>
      </c>
      <c r="I2038">
        <v>0</v>
      </c>
      <c r="J2038">
        <v>200848</v>
      </c>
      <c r="L2038">
        <v>33</v>
      </c>
      <c r="M2038">
        <v>474</v>
      </c>
      <c r="N2038" t="s">
        <v>172</v>
      </c>
      <c r="O2038" t="s">
        <v>173</v>
      </c>
    </row>
    <row r="2039" spans="2:15" x14ac:dyDescent="0.25">
      <c r="B2039" t="s">
        <v>285</v>
      </c>
      <c r="C2039" s="4">
        <v>44645</v>
      </c>
      <c r="D2039">
        <v>3</v>
      </c>
      <c r="E2039" t="s">
        <v>16</v>
      </c>
      <c r="F2039" t="s">
        <v>125</v>
      </c>
      <c r="G2039" t="s">
        <v>286</v>
      </c>
      <c r="H2039">
        <v>0</v>
      </c>
      <c r="I2039">
        <v>188496</v>
      </c>
      <c r="J2039">
        <v>-188496</v>
      </c>
      <c r="L2039">
        <v>33</v>
      </c>
      <c r="M2039">
        <v>475</v>
      </c>
      <c r="N2039" t="s">
        <v>154</v>
      </c>
      <c r="O2039" t="s">
        <v>155</v>
      </c>
    </row>
    <row r="2040" spans="2:15" x14ac:dyDescent="0.25">
      <c r="B2040" t="s">
        <v>285</v>
      </c>
      <c r="C2040" s="4">
        <v>44645</v>
      </c>
      <c r="D2040">
        <v>3</v>
      </c>
      <c r="E2040" t="s">
        <v>16</v>
      </c>
      <c r="F2040" t="s">
        <v>17</v>
      </c>
      <c r="G2040" t="s">
        <v>286</v>
      </c>
      <c r="H2040">
        <v>188496</v>
      </c>
      <c r="I2040">
        <v>0</v>
      </c>
      <c r="J2040">
        <v>188496</v>
      </c>
      <c r="L2040">
        <v>33</v>
      </c>
      <c r="M2040">
        <v>475</v>
      </c>
      <c r="N2040" t="s">
        <v>154</v>
      </c>
      <c r="O2040" t="s">
        <v>155</v>
      </c>
    </row>
    <row r="2041" spans="2:15" x14ac:dyDescent="0.25">
      <c r="B2041" t="s">
        <v>285</v>
      </c>
      <c r="C2041" s="4">
        <v>44645</v>
      </c>
      <c r="D2041">
        <v>3</v>
      </c>
      <c r="E2041" t="s">
        <v>16</v>
      </c>
      <c r="F2041" t="s">
        <v>125</v>
      </c>
      <c r="G2041" t="s">
        <v>286</v>
      </c>
      <c r="H2041">
        <v>0</v>
      </c>
      <c r="I2041">
        <v>164934</v>
      </c>
      <c r="J2041">
        <v>-164934</v>
      </c>
      <c r="L2041">
        <v>33</v>
      </c>
      <c r="M2041">
        <v>476</v>
      </c>
      <c r="N2041" t="s">
        <v>154</v>
      </c>
      <c r="O2041" t="s">
        <v>155</v>
      </c>
    </row>
    <row r="2042" spans="2:15" x14ac:dyDescent="0.25">
      <c r="B2042" t="s">
        <v>285</v>
      </c>
      <c r="C2042" s="4">
        <v>44645</v>
      </c>
      <c r="D2042">
        <v>3</v>
      </c>
      <c r="E2042" t="s">
        <v>16</v>
      </c>
      <c r="F2042" t="s">
        <v>17</v>
      </c>
      <c r="G2042" t="s">
        <v>286</v>
      </c>
      <c r="H2042">
        <v>164934</v>
      </c>
      <c r="I2042">
        <v>0</v>
      </c>
      <c r="J2042">
        <v>164934</v>
      </c>
      <c r="L2042">
        <v>33</v>
      </c>
      <c r="M2042">
        <v>476</v>
      </c>
      <c r="N2042" t="s">
        <v>154</v>
      </c>
      <c r="O2042" t="s">
        <v>155</v>
      </c>
    </row>
    <row r="2043" spans="2:15" x14ac:dyDescent="0.25">
      <c r="B2043" t="s">
        <v>285</v>
      </c>
      <c r="C2043" s="4">
        <v>44645</v>
      </c>
      <c r="D2043">
        <v>3</v>
      </c>
      <c r="E2043" t="s">
        <v>16</v>
      </c>
      <c r="F2043" t="s">
        <v>125</v>
      </c>
      <c r="G2043" t="s">
        <v>286</v>
      </c>
      <c r="H2043">
        <v>0</v>
      </c>
      <c r="I2043">
        <v>47124</v>
      </c>
      <c r="J2043">
        <v>-47124</v>
      </c>
      <c r="L2043">
        <v>33</v>
      </c>
      <c r="M2043">
        <v>477</v>
      </c>
      <c r="N2043" t="s">
        <v>154</v>
      </c>
      <c r="O2043" t="s">
        <v>155</v>
      </c>
    </row>
    <row r="2044" spans="2:15" x14ac:dyDescent="0.25">
      <c r="B2044" t="s">
        <v>285</v>
      </c>
      <c r="C2044" s="4">
        <v>44645</v>
      </c>
      <c r="D2044">
        <v>3</v>
      </c>
      <c r="E2044" t="s">
        <v>16</v>
      </c>
      <c r="F2044" t="s">
        <v>17</v>
      </c>
      <c r="G2044" t="s">
        <v>286</v>
      </c>
      <c r="H2044">
        <v>47124</v>
      </c>
      <c r="I2044">
        <v>0</v>
      </c>
      <c r="J2044">
        <v>47124</v>
      </c>
      <c r="L2044">
        <v>33</v>
      </c>
      <c r="M2044">
        <v>477</v>
      </c>
      <c r="N2044" t="s">
        <v>154</v>
      </c>
      <c r="O2044" t="s">
        <v>155</v>
      </c>
    </row>
    <row r="2045" spans="2:15" x14ac:dyDescent="0.25">
      <c r="B2045" t="s">
        <v>285</v>
      </c>
      <c r="C2045" s="4">
        <v>44645</v>
      </c>
      <c r="D2045">
        <v>3</v>
      </c>
      <c r="E2045" t="s">
        <v>16</v>
      </c>
      <c r="F2045" t="s">
        <v>125</v>
      </c>
      <c r="G2045" t="s">
        <v>286</v>
      </c>
      <c r="H2045">
        <v>0</v>
      </c>
      <c r="I2045">
        <v>141372</v>
      </c>
      <c r="J2045">
        <v>-141372</v>
      </c>
      <c r="L2045">
        <v>33</v>
      </c>
      <c r="M2045">
        <v>478</v>
      </c>
      <c r="N2045" t="s">
        <v>154</v>
      </c>
      <c r="O2045" t="s">
        <v>155</v>
      </c>
    </row>
    <row r="2046" spans="2:15" x14ac:dyDescent="0.25">
      <c r="B2046" t="s">
        <v>285</v>
      </c>
      <c r="C2046" s="4">
        <v>44645</v>
      </c>
      <c r="D2046">
        <v>3</v>
      </c>
      <c r="E2046" t="s">
        <v>16</v>
      </c>
      <c r="F2046" t="s">
        <v>17</v>
      </c>
      <c r="G2046" t="s">
        <v>286</v>
      </c>
      <c r="H2046">
        <v>141372</v>
      </c>
      <c r="I2046">
        <v>0</v>
      </c>
      <c r="J2046">
        <v>141372</v>
      </c>
      <c r="L2046">
        <v>33</v>
      </c>
      <c r="M2046">
        <v>478</v>
      </c>
      <c r="N2046" t="s">
        <v>154</v>
      </c>
      <c r="O2046" t="s">
        <v>155</v>
      </c>
    </row>
    <row r="2047" spans="2:15" x14ac:dyDescent="0.25">
      <c r="B2047" t="s">
        <v>285</v>
      </c>
      <c r="C2047" s="4">
        <v>44645</v>
      </c>
      <c r="D2047">
        <v>3</v>
      </c>
      <c r="E2047" t="s">
        <v>16</v>
      </c>
      <c r="F2047" t="s">
        <v>125</v>
      </c>
      <c r="G2047" t="s">
        <v>286</v>
      </c>
      <c r="H2047">
        <v>0</v>
      </c>
      <c r="I2047">
        <v>70686</v>
      </c>
      <c r="J2047">
        <v>-70686</v>
      </c>
      <c r="L2047">
        <v>33</v>
      </c>
      <c r="M2047">
        <v>479</v>
      </c>
      <c r="N2047" t="s">
        <v>154</v>
      </c>
      <c r="O2047" t="s">
        <v>155</v>
      </c>
    </row>
    <row r="2048" spans="2:15" x14ac:dyDescent="0.25">
      <c r="B2048" t="s">
        <v>285</v>
      </c>
      <c r="C2048" s="4">
        <v>44645</v>
      </c>
      <c r="D2048">
        <v>3</v>
      </c>
      <c r="E2048" t="s">
        <v>16</v>
      </c>
      <c r="F2048" t="s">
        <v>17</v>
      </c>
      <c r="G2048" t="s">
        <v>286</v>
      </c>
      <c r="H2048">
        <v>70686</v>
      </c>
      <c r="I2048">
        <v>0</v>
      </c>
      <c r="J2048">
        <v>70686</v>
      </c>
      <c r="L2048">
        <v>33</v>
      </c>
      <c r="M2048">
        <v>479</v>
      </c>
      <c r="N2048" t="s">
        <v>154</v>
      </c>
      <c r="O2048" t="s">
        <v>155</v>
      </c>
    </row>
    <row r="2049" spans="2:15" x14ac:dyDescent="0.25">
      <c r="B2049" t="s">
        <v>285</v>
      </c>
      <c r="C2049" s="4">
        <v>44648</v>
      </c>
      <c r="D2049">
        <v>3</v>
      </c>
      <c r="E2049" t="s">
        <v>16</v>
      </c>
      <c r="F2049" t="s">
        <v>125</v>
      </c>
      <c r="G2049" t="s">
        <v>286</v>
      </c>
      <c r="H2049">
        <v>0</v>
      </c>
      <c r="I2049">
        <v>169397</v>
      </c>
      <c r="J2049">
        <v>-169397</v>
      </c>
      <c r="L2049">
        <v>33</v>
      </c>
      <c r="M2049">
        <v>480</v>
      </c>
      <c r="N2049" t="s">
        <v>174</v>
      </c>
      <c r="O2049" t="s">
        <v>175</v>
      </c>
    </row>
    <row r="2050" spans="2:15" x14ac:dyDescent="0.25">
      <c r="B2050" t="s">
        <v>285</v>
      </c>
      <c r="C2050" s="4">
        <v>44648</v>
      </c>
      <c r="D2050">
        <v>3</v>
      </c>
      <c r="E2050" t="s">
        <v>16</v>
      </c>
      <c r="F2050" t="s">
        <v>17</v>
      </c>
      <c r="G2050" t="s">
        <v>286</v>
      </c>
      <c r="H2050">
        <v>169397</v>
      </c>
      <c r="I2050">
        <v>0</v>
      </c>
      <c r="J2050">
        <v>169397</v>
      </c>
      <c r="L2050">
        <v>33</v>
      </c>
      <c r="M2050">
        <v>480</v>
      </c>
      <c r="N2050" t="s">
        <v>174</v>
      </c>
      <c r="O2050" t="s">
        <v>175</v>
      </c>
    </row>
    <row r="2051" spans="2:15" x14ac:dyDescent="0.25">
      <c r="B2051" t="s">
        <v>285</v>
      </c>
      <c r="C2051" s="4">
        <v>44648</v>
      </c>
      <c r="D2051">
        <v>3</v>
      </c>
      <c r="E2051" t="s">
        <v>16</v>
      </c>
      <c r="F2051" t="s">
        <v>125</v>
      </c>
      <c r="G2051" t="s">
        <v>286</v>
      </c>
      <c r="H2051">
        <v>0</v>
      </c>
      <c r="I2051">
        <v>118881</v>
      </c>
      <c r="J2051">
        <v>-118881</v>
      </c>
      <c r="L2051">
        <v>33</v>
      </c>
      <c r="M2051">
        <v>482</v>
      </c>
      <c r="N2051" t="s">
        <v>158</v>
      </c>
      <c r="O2051" t="s">
        <v>159</v>
      </c>
    </row>
    <row r="2052" spans="2:15" x14ac:dyDescent="0.25">
      <c r="B2052" t="s">
        <v>285</v>
      </c>
      <c r="C2052" s="4">
        <v>44648</v>
      </c>
      <c r="D2052">
        <v>3</v>
      </c>
      <c r="E2052" t="s">
        <v>16</v>
      </c>
      <c r="F2052" t="s">
        <v>17</v>
      </c>
      <c r="G2052" t="s">
        <v>286</v>
      </c>
      <c r="H2052">
        <v>118881</v>
      </c>
      <c r="I2052">
        <v>0</v>
      </c>
      <c r="J2052">
        <v>118881</v>
      </c>
      <c r="L2052">
        <v>33</v>
      </c>
      <c r="M2052">
        <v>482</v>
      </c>
      <c r="N2052" t="s">
        <v>158</v>
      </c>
      <c r="O2052" t="s">
        <v>159</v>
      </c>
    </row>
    <row r="2053" spans="2:15" x14ac:dyDescent="0.25">
      <c r="B2053" t="s">
        <v>285</v>
      </c>
      <c r="C2053" s="4">
        <v>44649</v>
      </c>
      <c r="D2053">
        <v>3</v>
      </c>
      <c r="E2053" t="s">
        <v>16</v>
      </c>
      <c r="F2053" t="s">
        <v>125</v>
      </c>
      <c r="G2053" t="s">
        <v>286</v>
      </c>
      <c r="H2053">
        <v>0</v>
      </c>
      <c r="I2053">
        <v>2874564</v>
      </c>
      <c r="J2053">
        <v>-2874564</v>
      </c>
      <c r="L2053">
        <v>33</v>
      </c>
      <c r="M2053">
        <v>483</v>
      </c>
      <c r="N2053" t="s">
        <v>176</v>
      </c>
      <c r="O2053" t="s">
        <v>177</v>
      </c>
    </row>
    <row r="2054" spans="2:15" x14ac:dyDescent="0.25">
      <c r="B2054" t="s">
        <v>285</v>
      </c>
      <c r="C2054" s="4">
        <v>44649</v>
      </c>
      <c r="D2054">
        <v>3</v>
      </c>
      <c r="E2054" t="s">
        <v>16</v>
      </c>
      <c r="F2054" t="s">
        <v>17</v>
      </c>
      <c r="G2054" t="s">
        <v>286</v>
      </c>
      <c r="H2054">
        <v>2874564</v>
      </c>
      <c r="I2054">
        <v>0</v>
      </c>
      <c r="J2054">
        <v>2874564</v>
      </c>
      <c r="L2054">
        <v>33</v>
      </c>
      <c r="M2054">
        <v>483</v>
      </c>
      <c r="N2054" t="s">
        <v>176</v>
      </c>
      <c r="O2054" t="s">
        <v>177</v>
      </c>
    </row>
    <row r="2055" spans="2:15" x14ac:dyDescent="0.25">
      <c r="B2055" t="s">
        <v>285</v>
      </c>
      <c r="C2055" s="4">
        <v>44657</v>
      </c>
      <c r="D2055">
        <v>4</v>
      </c>
      <c r="E2055" t="s">
        <v>16</v>
      </c>
      <c r="F2055" t="s">
        <v>125</v>
      </c>
      <c r="G2055" t="s">
        <v>286</v>
      </c>
      <c r="H2055">
        <v>0</v>
      </c>
      <c r="I2055">
        <v>162673</v>
      </c>
      <c r="J2055">
        <v>-162673</v>
      </c>
      <c r="L2055">
        <v>33</v>
      </c>
      <c r="M2055">
        <v>484</v>
      </c>
      <c r="N2055" t="s">
        <v>178</v>
      </c>
      <c r="O2055" t="s">
        <v>179</v>
      </c>
    </row>
    <row r="2056" spans="2:15" x14ac:dyDescent="0.25">
      <c r="B2056" t="s">
        <v>285</v>
      </c>
      <c r="C2056" s="4">
        <v>44657</v>
      </c>
      <c r="D2056">
        <v>4</v>
      </c>
      <c r="E2056" t="s">
        <v>16</v>
      </c>
      <c r="F2056" t="s">
        <v>17</v>
      </c>
      <c r="G2056" t="s">
        <v>286</v>
      </c>
      <c r="H2056">
        <v>162673</v>
      </c>
      <c r="I2056">
        <v>0</v>
      </c>
      <c r="J2056">
        <v>162673</v>
      </c>
      <c r="L2056">
        <v>33</v>
      </c>
      <c r="M2056">
        <v>484</v>
      </c>
      <c r="N2056" t="s">
        <v>178</v>
      </c>
      <c r="O2056" t="s">
        <v>179</v>
      </c>
    </row>
    <row r="2057" spans="2:15" x14ac:dyDescent="0.25">
      <c r="B2057" t="s">
        <v>285</v>
      </c>
      <c r="C2057" s="4">
        <v>44657</v>
      </c>
      <c r="D2057">
        <v>4</v>
      </c>
      <c r="E2057" t="s">
        <v>16</v>
      </c>
      <c r="F2057" t="s">
        <v>125</v>
      </c>
      <c r="G2057" t="s">
        <v>286</v>
      </c>
      <c r="H2057">
        <v>0</v>
      </c>
      <c r="I2057">
        <v>132804</v>
      </c>
      <c r="J2057">
        <v>-132804</v>
      </c>
      <c r="L2057">
        <v>33</v>
      </c>
      <c r="M2057">
        <v>485</v>
      </c>
      <c r="N2057" t="s">
        <v>180</v>
      </c>
      <c r="O2057" t="s">
        <v>181</v>
      </c>
    </row>
    <row r="2058" spans="2:15" x14ac:dyDescent="0.25">
      <c r="B2058" t="s">
        <v>285</v>
      </c>
      <c r="C2058" s="4">
        <v>44657</v>
      </c>
      <c r="D2058">
        <v>4</v>
      </c>
      <c r="E2058" t="s">
        <v>16</v>
      </c>
      <c r="F2058" t="s">
        <v>17</v>
      </c>
      <c r="G2058" t="s">
        <v>286</v>
      </c>
      <c r="H2058">
        <v>132804</v>
      </c>
      <c r="I2058">
        <v>0</v>
      </c>
      <c r="J2058">
        <v>132804</v>
      </c>
      <c r="L2058">
        <v>33</v>
      </c>
      <c r="M2058">
        <v>485</v>
      </c>
      <c r="N2058" t="s">
        <v>180</v>
      </c>
      <c r="O2058" t="s">
        <v>181</v>
      </c>
    </row>
    <row r="2059" spans="2:15" x14ac:dyDescent="0.25">
      <c r="B2059" t="s">
        <v>285</v>
      </c>
      <c r="C2059" s="4">
        <v>44662</v>
      </c>
      <c r="D2059">
        <v>4</v>
      </c>
      <c r="E2059" t="s">
        <v>16</v>
      </c>
      <c r="F2059" t="s">
        <v>125</v>
      </c>
      <c r="G2059" t="s">
        <v>286</v>
      </c>
      <c r="H2059">
        <v>0</v>
      </c>
      <c r="I2059">
        <v>79611</v>
      </c>
      <c r="J2059">
        <v>-79611</v>
      </c>
      <c r="L2059">
        <v>33</v>
      </c>
      <c r="M2059">
        <v>486</v>
      </c>
      <c r="N2059" t="s">
        <v>168</v>
      </c>
      <c r="O2059" t="s">
        <v>169</v>
      </c>
    </row>
    <row r="2060" spans="2:15" x14ac:dyDescent="0.25">
      <c r="B2060" t="s">
        <v>285</v>
      </c>
      <c r="C2060" s="4">
        <v>44662</v>
      </c>
      <c r="D2060">
        <v>4</v>
      </c>
      <c r="E2060" t="s">
        <v>16</v>
      </c>
      <c r="F2060" t="s">
        <v>17</v>
      </c>
      <c r="G2060" t="s">
        <v>286</v>
      </c>
      <c r="H2060">
        <v>79611</v>
      </c>
      <c r="I2060">
        <v>0</v>
      </c>
      <c r="J2060">
        <v>79611</v>
      </c>
      <c r="L2060">
        <v>33</v>
      </c>
      <c r="M2060">
        <v>486</v>
      </c>
      <c r="N2060" t="s">
        <v>168</v>
      </c>
      <c r="O2060" t="s">
        <v>169</v>
      </c>
    </row>
    <row r="2061" spans="2:15" x14ac:dyDescent="0.25">
      <c r="B2061" t="s">
        <v>285</v>
      </c>
      <c r="C2061" s="4">
        <v>44665</v>
      </c>
      <c r="D2061">
        <v>4</v>
      </c>
      <c r="E2061" t="s">
        <v>16</v>
      </c>
      <c r="F2061" t="s">
        <v>125</v>
      </c>
      <c r="G2061" t="s">
        <v>286</v>
      </c>
      <c r="H2061">
        <v>0</v>
      </c>
      <c r="I2061">
        <v>425544</v>
      </c>
      <c r="J2061">
        <v>-425544</v>
      </c>
      <c r="L2061">
        <v>33</v>
      </c>
      <c r="M2061">
        <v>488</v>
      </c>
      <c r="N2061" t="s">
        <v>182</v>
      </c>
      <c r="O2061" t="s">
        <v>183</v>
      </c>
    </row>
    <row r="2062" spans="2:15" x14ac:dyDescent="0.25">
      <c r="B2062" t="s">
        <v>285</v>
      </c>
      <c r="C2062" s="4">
        <v>44665</v>
      </c>
      <c r="D2062">
        <v>4</v>
      </c>
      <c r="E2062" t="s">
        <v>16</v>
      </c>
      <c r="F2062" t="s">
        <v>17</v>
      </c>
      <c r="G2062" t="s">
        <v>286</v>
      </c>
      <c r="H2062">
        <v>425544</v>
      </c>
      <c r="I2062">
        <v>0</v>
      </c>
      <c r="J2062">
        <v>425544</v>
      </c>
      <c r="L2062">
        <v>33</v>
      </c>
      <c r="M2062">
        <v>488</v>
      </c>
      <c r="N2062" t="s">
        <v>182</v>
      </c>
      <c r="O2062" t="s">
        <v>183</v>
      </c>
    </row>
    <row r="2063" spans="2:15" x14ac:dyDescent="0.25">
      <c r="B2063" t="s">
        <v>285</v>
      </c>
      <c r="C2063" s="4">
        <v>44670</v>
      </c>
      <c r="D2063">
        <v>4</v>
      </c>
      <c r="E2063" t="s">
        <v>16</v>
      </c>
      <c r="F2063" t="s">
        <v>125</v>
      </c>
      <c r="G2063" t="s">
        <v>286</v>
      </c>
      <c r="H2063">
        <v>0</v>
      </c>
      <c r="I2063">
        <v>1309000</v>
      </c>
      <c r="J2063">
        <v>-1309000</v>
      </c>
      <c r="L2063">
        <v>33</v>
      </c>
      <c r="M2063">
        <v>489</v>
      </c>
      <c r="N2063" t="s">
        <v>184</v>
      </c>
      <c r="O2063" t="s">
        <v>185</v>
      </c>
    </row>
    <row r="2064" spans="2:15" x14ac:dyDescent="0.25">
      <c r="B2064" t="s">
        <v>285</v>
      </c>
      <c r="C2064" s="4">
        <v>44670</v>
      </c>
      <c r="D2064">
        <v>4</v>
      </c>
      <c r="E2064" t="s">
        <v>16</v>
      </c>
      <c r="F2064" t="s">
        <v>17</v>
      </c>
      <c r="G2064" t="s">
        <v>286</v>
      </c>
      <c r="H2064">
        <v>1309000</v>
      </c>
      <c r="I2064">
        <v>0</v>
      </c>
      <c r="J2064">
        <v>1309000</v>
      </c>
      <c r="L2064">
        <v>33</v>
      </c>
      <c r="M2064">
        <v>489</v>
      </c>
      <c r="N2064" t="s">
        <v>184</v>
      </c>
      <c r="O2064" t="s">
        <v>185</v>
      </c>
    </row>
    <row r="2065" spans="2:15" x14ac:dyDescent="0.25">
      <c r="B2065" t="s">
        <v>285</v>
      </c>
      <c r="C2065" s="4">
        <v>44671</v>
      </c>
      <c r="D2065">
        <v>4</v>
      </c>
      <c r="E2065" t="s">
        <v>16</v>
      </c>
      <c r="F2065" t="s">
        <v>125</v>
      </c>
      <c r="G2065" t="s">
        <v>286</v>
      </c>
      <c r="H2065">
        <v>0</v>
      </c>
      <c r="I2065">
        <v>187247</v>
      </c>
      <c r="J2065">
        <v>-187247</v>
      </c>
      <c r="L2065">
        <v>33</v>
      </c>
      <c r="M2065">
        <v>490</v>
      </c>
      <c r="N2065" t="s">
        <v>186</v>
      </c>
      <c r="O2065" t="s">
        <v>187</v>
      </c>
    </row>
    <row r="2066" spans="2:15" x14ac:dyDescent="0.25">
      <c r="B2066" t="s">
        <v>285</v>
      </c>
      <c r="C2066" s="4">
        <v>44671</v>
      </c>
      <c r="D2066">
        <v>4</v>
      </c>
      <c r="E2066" t="s">
        <v>16</v>
      </c>
      <c r="F2066" t="s">
        <v>17</v>
      </c>
      <c r="G2066" t="s">
        <v>286</v>
      </c>
      <c r="H2066">
        <v>187247</v>
      </c>
      <c r="I2066">
        <v>0</v>
      </c>
      <c r="J2066">
        <v>187247</v>
      </c>
      <c r="L2066">
        <v>33</v>
      </c>
      <c r="M2066">
        <v>490</v>
      </c>
      <c r="N2066" t="s">
        <v>186</v>
      </c>
      <c r="O2066" t="s">
        <v>187</v>
      </c>
    </row>
    <row r="2067" spans="2:15" x14ac:dyDescent="0.25">
      <c r="B2067" t="s">
        <v>285</v>
      </c>
      <c r="C2067" s="4">
        <v>44671</v>
      </c>
      <c r="D2067">
        <v>4</v>
      </c>
      <c r="E2067" t="s">
        <v>16</v>
      </c>
      <c r="F2067" t="s">
        <v>125</v>
      </c>
      <c r="G2067" t="s">
        <v>286</v>
      </c>
      <c r="H2067">
        <v>0</v>
      </c>
      <c r="I2067">
        <v>53550</v>
      </c>
      <c r="J2067">
        <v>-53550</v>
      </c>
      <c r="L2067">
        <v>33</v>
      </c>
      <c r="M2067">
        <v>491</v>
      </c>
      <c r="N2067" t="s">
        <v>142</v>
      </c>
      <c r="O2067" t="s">
        <v>143</v>
      </c>
    </row>
    <row r="2068" spans="2:15" x14ac:dyDescent="0.25">
      <c r="B2068" t="s">
        <v>285</v>
      </c>
      <c r="C2068" s="4">
        <v>44671</v>
      </c>
      <c r="D2068">
        <v>4</v>
      </c>
      <c r="E2068" t="s">
        <v>16</v>
      </c>
      <c r="F2068" t="s">
        <v>17</v>
      </c>
      <c r="G2068" t="s">
        <v>286</v>
      </c>
      <c r="H2068">
        <v>53550</v>
      </c>
      <c r="I2068">
        <v>0</v>
      </c>
      <c r="J2068">
        <v>53550</v>
      </c>
      <c r="L2068">
        <v>33</v>
      </c>
      <c r="M2068">
        <v>491</v>
      </c>
      <c r="N2068" t="s">
        <v>142</v>
      </c>
      <c r="O2068" t="s">
        <v>143</v>
      </c>
    </row>
    <row r="2069" spans="2:15" x14ac:dyDescent="0.25">
      <c r="B2069" t="s">
        <v>285</v>
      </c>
      <c r="C2069" s="4">
        <v>44671</v>
      </c>
      <c r="D2069">
        <v>4</v>
      </c>
      <c r="E2069" t="s">
        <v>16</v>
      </c>
      <c r="F2069" t="s">
        <v>125</v>
      </c>
      <c r="G2069" t="s">
        <v>286</v>
      </c>
      <c r="H2069">
        <v>0</v>
      </c>
      <c r="I2069">
        <v>99365</v>
      </c>
      <c r="J2069">
        <v>-99365</v>
      </c>
      <c r="L2069">
        <v>33</v>
      </c>
      <c r="M2069">
        <v>492</v>
      </c>
      <c r="N2069" t="s">
        <v>142</v>
      </c>
      <c r="O2069" t="s">
        <v>143</v>
      </c>
    </row>
    <row r="2070" spans="2:15" x14ac:dyDescent="0.25">
      <c r="B2070" t="s">
        <v>285</v>
      </c>
      <c r="C2070" s="4">
        <v>44671</v>
      </c>
      <c r="D2070">
        <v>4</v>
      </c>
      <c r="E2070" t="s">
        <v>16</v>
      </c>
      <c r="F2070" t="s">
        <v>17</v>
      </c>
      <c r="G2070" t="s">
        <v>286</v>
      </c>
      <c r="H2070">
        <v>99365</v>
      </c>
      <c r="I2070">
        <v>0</v>
      </c>
      <c r="J2070">
        <v>99365</v>
      </c>
      <c r="L2070">
        <v>33</v>
      </c>
      <c r="M2070">
        <v>492</v>
      </c>
      <c r="N2070" t="s">
        <v>142</v>
      </c>
      <c r="O2070" t="s">
        <v>143</v>
      </c>
    </row>
    <row r="2071" spans="2:15" x14ac:dyDescent="0.25">
      <c r="B2071" t="s">
        <v>285</v>
      </c>
      <c r="C2071" s="4">
        <v>44671</v>
      </c>
      <c r="D2071">
        <v>4</v>
      </c>
      <c r="E2071" t="s">
        <v>16</v>
      </c>
      <c r="F2071" t="s">
        <v>125</v>
      </c>
      <c r="G2071" t="s">
        <v>286</v>
      </c>
      <c r="H2071">
        <v>0</v>
      </c>
      <c r="I2071">
        <v>92999</v>
      </c>
      <c r="J2071">
        <v>-92999</v>
      </c>
      <c r="L2071">
        <v>33</v>
      </c>
      <c r="M2071">
        <v>493</v>
      </c>
      <c r="N2071" t="s">
        <v>188</v>
      </c>
      <c r="O2071" t="s">
        <v>189</v>
      </c>
    </row>
    <row r="2072" spans="2:15" x14ac:dyDescent="0.25">
      <c r="B2072" t="s">
        <v>285</v>
      </c>
      <c r="C2072" s="4">
        <v>44671</v>
      </c>
      <c r="D2072">
        <v>4</v>
      </c>
      <c r="E2072" t="s">
        <v>16</v>
      </c>
      <c r="F2072" t="s">
        <v>17</v>
      </c>
      <c r="G2072" t="s">
        <v>286</v>
      </c>
      <c r="H2072">
        <v>92999</v>
      </c>
      <c r="I2072">
        <v>0</v>
      </c>
      <c r="J2072">
        <v>92999</v>
      </c>
      <c r="L2072">
        <v>33</v>
      </c>
      <c r="M2072">
        <v>493</v>
      </c>
      <c r="N2072" t="s">
        <v>188</v>
      </c>
      <c r="O2072" t="s">
        <v>189</v>
      </c>
    </row>
    <row r="2073" spans="2:15" x14ac:dyDescent="0.25">
      <c r="B2073" t="s">
        <v>285</v>
      </c>
      <c r="C2073" s="4">
        <v>44673</v>
      </c>
      <c r="D2073">
        <v>4</v>
      </c>
      <c r="E2073" t="s">
        <v>16</v>
      </c>
      <c r="F2073" t="s">
        <v>125</v>
      </c>
      <c r="G2073" t="s">
        <v>286</v>
      </c>
      <c r="H2073">
        <v>0</v>
      </c>
      <c r="I2073">
        <v>129710</v>
      </c>
      <c r="J2073">
        <v>-129710</v>
      </c>
      <c r="L2073">
        <v>33</v>
      </c>
      <c r="M2073">
        <v>494</v>
      </c>
      <c r="N2073" t="s">
        <v>190</v>
      </c>
      <c r="O2073" t="s">
        <v>191</v>
      </c>
    </row>
    <row r="2074" spans="2:15" x14ac:dyDescent="0.25">
      <c r="B2074" t="s">
        <v>285</v>
      </c>
      <c r="C2074" s="4">
        <v>44673</v>
      </c>
      <c r="D2074">
        <v>4</v>
      </c>
      <c r="E2074" t="s">
        <v>16</v>
      </c>
      <c r="F2074" t="s">
        <v>17</v>
      </c>
      <c r="G2074" t="s">
        <v>286</v>
      </c>
      <c r="H2074">
        <v>129710</v>
      </c>
      <c r="I2074">
        <v>0</v>
      </c>
      <c r="J2074">
        <v>129710</v>
      </c>
      <c r="L2074">
        <v>33</v>
      </c>
      <c r="M2074">
        <v>494</v>
      </c>
      <c r="N2074" t="s">
        <v>190</v>
      </c>
      <c r="O2074" t="s">
        <v>191</v>
      </c>
    </row>
    <row r="2075" spans="2:15" x14ac:dyDescent="0.25">
      <c r="B2075" t="s">
        <v>285</v>
      </c>
      <c r="C2075" s="4">
        <v>44673</v>
      </c>
      <c r="D2075">
        <v>4</v>
      </c>
      <c r="E2075" t="s">
        <v>16</v>
      </c>
      <c r="F2075" t="s">
        <v>125</v>
      </c>
      <c r="G2075" t="s">
        <v>286</v>
      </c>
      <c r="H2075">
        <v>0</v>
      </c>
      <c r="I2075">
        <v>171170</v>
      </c>
      <c r="J2075">
        <v>-171170</v>
      </c>
      <c r="L2075">
        <v>33</v>
      </c>
      <c r="M2075">
        <v>495</v>
      </c>
      <c r="N2075" t="s">
        <v>158</v>
      </c>
      <c r="O2075" t="s">
        <v>159</v>
      </c>
    </row>
    <row r="2076" spans="2:15" x14ac:dyDescent="0.25">
      <c r="B2076" t="s">
        <v>285</v>
      </c>
      <c r="C2076" s="4">
        <v>44673</v>
      </c>
      <c r="D2076">
        <v>4</v>
      </c>
      <c r="E2076" t="s">
        <v>16</v>
      </c>
      <c r="F2076" t="s">
        <v>17</v>
      </c>
      <c r="G2076" t="s">
        <v>286</v>
      </c>
      <c r="H2076">
        <v>171170</v>
      </c>
      <c r="I2076">
        <v>0</v>
      </c>
      <c r="J2076">
        <v>171170</v>
      </c>
      <c r="L2076">
        <v>33</v>
      </c>
      <c r="M2076">
        <v>495</v>
      </c>
      <c r="N2076" t="s">
        <v>158</v>
      </c>
      <c r="O2076" t="s">
        <v>159</v>
      </c>
    </row>
    <row r="2077" spans="2:15" x14ac:dyDescent="0.25">
      <c r="B2077" t="s">
        <v>285</v>
      </c>
      <c r="C2077" s="4">
        <v>44673</v>
      </c>
      <c r="D2077">
        <v>4</v>
      </c>
      <c r="E2077" t="s">
        <v>16</v>
      </c>
      <c r="F2077" t="s">
        <v>125</v>
      </c>
      <c r="G2077" t="s">
        <v>286</v>
      </c>
      <c r="H2077">
        <v>0</v>
      </c>
      <c r="I2077">
        <v>763028</v>
      </c>
      <c r="J2077">
        <v>-763028</v>
      </c>
      <c r="L2077">
        <v>33</v>
      </c>
      <c r="M2077">
        <v>496</v>
      </c>
      <c r="N2077" t="s">
        <v>192</v>
      </c>
      <c r="O2077" t="s">
        <v>193</v>
      </c>
    </row>
    <row r="2078" spans="2:15" x14ac:dyDescent="0.25">
      <c r="B2078" t="s">
        <v>285</v>
      </c>
      <c r="C2078" s="4">
        <v>44673</v>
      </c>
      <c r="D2078">
        <v>4</v>
      </c>
      <c r="E2078" t="s">
        <v>16</v>
      </c>
      <c r="F2078" t="s">
        <v>17</v>
      </c>
      <c r="G2078" t="s">
        <v>286</v>
      </c>
      <c r="H2078">
        <v>763028</v>
      </c>
      <c r="I2078">
        <v>0</v>
      </c>
      <c r="J2078">
        <v>763028</v>
      </c>
      <c r="L2078">
        <v>33</v>
      </c>
      <c r="M2078">
        <v>496</v>
      </c>
      <c r="N2078" t="s">
        <v>192</v>
      </c>
      <c r="O2078" t="s">
        <v>193</v>
      </c>
    </row>
    <row r="2079" spans="2:15" x14ac:dyDescent="0.25">
      <c r="B2079" t="s">
        <v>285</v>
      </c>
      <c r="C2079" s="4">
        <v>44676</v>
      </c>
      <c r="D2079">
        <v>4</v>
      </c>
      <c r="E2079" t="s">
        <v>16</v>
      </c>
      <c r="F2079" t="s">
        <v>125</v>
      </c>
      <c r="G2079" t="s">
        <v>286</v>
      </c>
      <c r="H2079">
        <v>0</v>
      </c>
      <c r="I2079">
        <v>1148778</v>
      </c>
      <c r="J2079">
        <v>-1148778</v>
      </c>
      <c r="L2079">
        <v>33</v>
      </c>
      <c r="M2079">
        <v>497</v>
      </c>
      <c r="N2079" t="s">
        <v>154</v>
      </c>
      <c r="O2079" t="s">
        <v>155</v>
      </c>
    </row>
    <row r="2080" spans="2:15" x14ac:dyDescent="0.25">
      <c r="B2080" t="s">
        <v>285</v>
      </c>
      <c r="C2080" s="4">
        <v>44676</v>
      </c>
      <c r="D2080">
        <v>4</v>
      </c>
      <c r="E2080" t="s">
        <v>16</v>
      </c>
      <c r="F2080" t="s">
        <v>17</v>
      </c>
      <c r="G2080" t="s">
        <v>286</v>
      </c>
      <c r="H2080">
        <v>1148778</v>
      </c>
      <c r="I2080">
        <v>0</v>
      </c>
      <c r="J2080">
        <v>1148778</v>
      </c>
      <c r="L2080">
        <v>33</v>
      </c>
      <c r="M2080">
        <v>497</v>
      </c>
      <c r="N2080" t="s">
        <v>154</v>
      </c>
      <c r="O2080" t="s">
        <v>155</v>
      </c>
    </row>
    <row r="2081" spans="2:15" x14ac:dyDescent="0.25">
      <c r="B2081" t="s">
        <v>285</v>
      </c>
      <c r="C2081" s="4">
        <v>44677</v>
      </c>
      <c r="D2081">
        <v>4</v>
      </c>
      <c r="E2081" t="s">
        <v>16</v>
      </c>
      <c r="F2081" t="s">
        <v>125</v>
      </c>
      <c r="G2081" t="s">
        <v>286</v>
      </c>
      <c r="H2081">
        <v>0</v>
      </c>
      <c r="I2081">
        <v>849660</v>
      </c>
      <c r="J2081">
        <v>-849660</v>
      </c>
      <c r="L2081">
        <v>33</v>
      </c>
      <c r="M2081">
        <v>498</v>
      </c>
      <c r="N2081" t="s">
        <v>194</v>
      </c>
      <c r="O2081" t="s">
        <v>195</v>
      </c>
    </row>
    <row r="2082" spans="2:15" x14ac:dyDescent="0.25">
      <c r="B2082" t="s">
        <v>285</v>
      </c>
      <c r="C2082" s="4">
        <v>44677</v>
      </c>
      <c r="D2082">
        <v>4</v>
      </c>
      <c r="E2082" t="s">
        <v>16</v>
      </c>
      <c r="F2082" t="s">
        <v>17</v>
      </c>
      <c r="G2082" t="s">
        <v>286</v>
      </c>
      <c r="H2082">
        <v>849660</v>
      </c>
      <c r="I2082">
        <v>0</v>
      </c>
      <c r="J2082">
        <v>849660</v>
      </c>
      <c r="L2082">
        <v>33</v>
      </c>
      <c r="M2082">
        <v>498</v>
      </c>
      <c r="N2082" t="s">
        <v>194</v>
      </c>
      <c r="O2082" t="s">
        <v>195</v>
      </c>
    </row>
    <row r="2083" spans="2:15" x14ac:dyDescent="0.25">
      <c r="B2083" t="s">
        <v>285</v>
      </c>
      <c r="C2083" s="4">
        <v>44677</v>
      </c>
      <c r="D2083">
        <v>4</v>
      </c>
      <c r="E2083" t="s">
        <v>16</v>
      </c>
      <c r="F2083" t="s">
        <v>125</v>
      </c>
      <c r="G2083" t="s">
        <v>286</v>
      </c>
      <c r="H2083">
        <v>0</v>
      </c>
      <c r="I2083">
        <v>2816730</v>
      </c>
      <c r="J2083">
        <v>-2816730</v>
      </c>
      <c r="L2083">
        <v>33</v>
      </c>
      <c r="M2083">
        <v>499</v>
      </c>
      <c r="N2083" t="s">
        <v>196</v>
      </c>
      <c r="O2083" t="s">
        <v>197</v>
      </c>
    </row>
    <row r="2084" spans="2:15" x14ac:dyDescent="0.25">
      <c r="B2084" t="s">
        <v>285</v>
      </c>
      <c r="C2084" s="4">
        <v>44677</v>
      </c>
      <c r="D2084">
        <v>4</v>
      </c>
      <c r="E2084" t="s">
        <v>16</v>
      </c>
      <c r="F2084" t="s">
        <v>17</v>
      </c>
      <c r="G2084" t="s">
        <v>286</v>
      </c>
      <c r="H2084">
        <v>2816730</v>
      </c>
      <c r="I2084">
        <v>0</v>
      </c>
      <c r="J2084">
        <v>2816730</v>
      </c>
      <c r="L2084">
        <v>33</v>
      </c>
      <c r="M2084">
        <v>499</v>
      </c>
      <c r="N2084" t="s">
        <v>196</v>
      </c>
      <c r="O2084" t="s">
        <v>197</v>
      </c>
    </row>
    <row r="2085" spans="2:15" x14ac:dyDescent="0.25">
      <c r="B2085" t="s">
        <v>285</v>
      </c>
      <c r="C2085" s="4">
        <v>44680</v>
      </c>
      <c r="D2085">
        <v>4</v>
      </c>
      <c r="E2085" t="s">
        <v>16</v>
      </c>
      <c r="F2085" t="s">
        <v>125</v>
      </c>
      <c r="G2085" t="s">
        <v>286</v>
      </c>
      <c r="H2085">
        <v>0</v>
      </c>
      <c r="I2085">
        <v>118881</v>
      </c>
      <c r="J2085">
        <v>-118881</v>
      </c>
      <c r="L2085">
        <v>33</v>
      </c>
      <c r="M2085">
        <v>500</v>
      </c>
      <c r="N2085" t="s">
        <v>198</v>
      </c>
      <c r="O2085" t="s">
        <v>199</v>
      </c>
    </row>
    <row r="2086" spans="2:15" x14ac:dyDescent="0.25">
      <c r="B2086" t="s">
        <v>285</v>
      </c>
      <c r="C2086" s="4">
        <v>44680</v>
      </c>
      <c r="D2086">
        <v>4</v>
      </c>
      <c r="E2086" t="s">
        <v>16</v>
      </c>
      <c r="F2086" t="s">
        <v>17</v>
      </c>
      <c r="G2086" t="s">
        <v>286</v>
      </c>
      <c r="H2086">
        <v>118881</v>
      </c>
      <c r="I2086">
        <v>0</v>
      </c>
      <c r="J2086">
        <v>118881</v>
      </c>
      <c r="L2086">
        <v>33</v>
      </c>
      <c r="M2086">
        <v>500</v>
      </c>
      <c r="N2086" t="s">
        <v>198</v>
      </c>
      <c r="O2086" t="s">
        <v>199</v>
      </c>
    </row>
    <row r="2087" spans="2:15" x14ac:dyDescent="0.25">
      <c r="B2087" t="s">
        <v>285</v>
      </c>
      <c r="C2087" s="4">
        <v>44680</v>
      </c>
      <c r="D2087">
        <v>4</v>
      </c>
      <c r="E2087" t="s">
        <v>16</v>
      </c>
      <c r="F2087" t="s">
        <v>125</v>
      </c>
      <c r="G2087" t="s">
        <v>286</v>
      </c>
      <c r="H2087">
        <v>0</v>
      </c>
      <c r="I2087">
        <v>646848</v>
      </c>
      <c r="J2087">
        <v>-646848</v>
      </c>
      <c r="L2087">
        <v>33</v>
      </c>
      <c r="M2087">
        <v>501</v>
      </c>
      <c r="N2087" t="s">
        <v>200</v>
      </c>
      <c r="O2087" t="s">
        <v>201</v>
      </c>
    </row>
    <row r="2088" spans="2:15" x14ac:dyDescent="0.25">
      <c r="B2088" t="s">
        <v>285</v>
      </c>
      <c r="C2088" s="4">
        <v>44680</v>
      </c>
      <c r="D2088">
        <v>4</v>
      </c>
      <c r="E2088" t="s">
        <v>16</v>
      </c>
      <c r="F2088" t="s">
        <v>17</v>
      </c>
      <c r="G2088" t="s">
        <v>286</v>
      </c>
      <c r="H2088">
        <v>646848</v>
      </c>
      <c r="I2088">
        <v>0</v>
      </c>
      <c r="J2088">
        <v>646848</v>
      </c>
      <c r="L2088">
        <v>33</v>
      </c>
      <c r="M2088">
        <v>501</v>
      </c>
      <c r="N2088" t="s">
        <v>200</v>
      </c>
      <c r="O2088" t="s">
        <v>201</v>
      </c>
    </row>
    <row r="2089" spans="2:15" x14ac:dyDescent="0.25">
      <c r="B2089" t="s">
        <v>285</v>
      </c>
      <c r="C2089" s="4">
        <v>44692</v>
      </c>
      <c r="D2089">
        <v>5</v>
      </c>
      <c r="E2089" t="s">
        <v>16</v>
      </c>
      <c r="F2089" t="s">
        <v>125</v>
      </c>
      <c r="G2089" t="s">
        <v>286</v>
      </c>
      <c r="H2089">
        <v>0</v>
      </c>
      <c r="I2089">
        <v>374553</v>
      </c>
      <c r="J2089">
        <v>-374553</v>
      </c>
      <c r="L2089">
        <v>33</v>
      </c>
      <c r="M2089">
        <v>502</v>
      </c>
      <c r="N2089" t="s">
        <v>162</v>
      </c>
      <c r="O2089" t="s">
        <v>163</v>
      </c>
    </row>
    <row r="2090" spans="2:15" x14ac:dyDescent="0.25">
      <c r="B2090" t="s">
        <v>285</v>
      </c>
      <c r="C2090" s="4">
        <v>44692</v>
      </c>
      <c r="D2090">
        <v>5</v>
      </c>
      <c r="E2090" t="s">
        <v>16</v>
      </c>
      <c r="F2090" t="s">
        <v>17</v>
      </c>
      <c r="G2090" t="s">
        <v>286</v>
      </c>
      <c r="H2090">
        <v>374553</v>
      </c>
      <c r="I2090">
        <v>0</v>
      </c>
      <c r="J2090">
        <v>374553</v>
      </c>
      <c r="L2090">
        <v>33</v>
      </c>
      <c r="M2090">
        <v>502</v>
      </c>
      <c r="N2090" t="s">
        <v>162</v>
      </c>
      <c r="O2090" t="s">
        <v>163</v>
      </c>
    </row>
    <row r="2091" spans="2:15" x14ac:dyDescent="0.25">
      <c r="B2091" t="s">
        <v>285</v>
      </c>
      <c r="C2091" s="4">
        <v>44692</v>
      </c>
      <c r="D2091">
        <v>5</v>
      </c>
      <c r="E2091" t="s">
        <v>16</v>
      </c>
      <c r="F2091" t="s">
        <v>125</v>
      </c>
      <c r="G2091" t="s">
        <v>286</v>
      </c>
      <c r="H2091">
        <v>0</v>
      </c>
      <c r="I2091">
        <v>184212</v>
      </c>
      <c r="J2091">
        <v>-184212</v>
      </c>
      <c r="L2091">
        <v>33</v>
      </c>
      <c r="M2091">
        <v>503</v>
      </c>
      <c r="N2091" t="s">
        <v>202</v>
      </c>
      <c r="O2091" t="s">
        <v>203</v>
      </c>
    </row>
    <row r="2092" spans="2:15" x14ac:dyDescent="0.25">
      <c r="B2092" t="s">
        <v>285</v>
      </c>
      <c r="C2092" s="4">
        <v>44692</v>
      </c>
      <c r="D2092">
        <v>5</v>
      </c>
      <c r="E2092" t="s">
        <v>16</v>
      </c>
      <c r="F2092" t="s">
        <v>17</v>
      </c>
      <c r="G2092" t="s">
        <v>286</v>
      </c>
      <c r="H2092">
        <v>184212</v>
      </c>
      <c r="I2092">
        <v>0</v>
      </c>
      <c r="J2092">
        <v>184212</v>
      </c>
      <c r="L2092">
        <v>33</v>
      </c>
      <c r="M2092">
        <v>503</v>
      </c>
      <c r="N2092" t="s">
        <v>202</v>
      </c>
      <c r="O2092" t="s">
        <v>203</v>
      </c>
    </row>
    <row r="2093" spans="2:15" x14ac:dyDescent="0.25">
      <c r="B2093" t="s">
        <v>285</v>
      </c>
      <c r="C2093" s="4">
        <v>44692</v>
      </c>
      <c r="D2093">
        <v>5</v>
      </c>
      <c r="E2093" t="s">
        <v>16</v>
      </c>
      <c r="F2093" t="s">
        <v>125</v>
      </c>
      <c r="G2093" t="s">
        <v>286</v>
      </c>
      <c r="H2093">
        <v>0</v>
      </c>
      <c r="I2093">
        <v>530930</v>
      </c>
      <c r="J2093">
        <v>-530930</v>
      </c>
      <c r="L2093">
        <v>33</v>
      </c>
      <c r="M2093">
        <v>504</v>
      </c>
      <c r="N2093" t="s">
        <v>134</v>
      </c>
      <c r="O2093" t="s">
        <v>135</v>
      </c>
    </row>
    <row r="2094" spans="2:15" x14ac:dyDescent="0.25">
      <c r="B2094" t="s">
        <v>285</v>
      </c>
      <c r="C2094" s="4">
        <v>44692</v>
      </c>
      <c r="D2094">
        <v>5</v>
      </c>
      <c r="E2094" t="s">
        <v>16</v>
      </c>
      <c r="F2094" t="s">
        <v>17</v>
      </c>
      <c r="G2094" t="s">
        <v>286</v>
      </c>
      <c r="H2094">
        <v>530930</v>
      </c>
      <c r="I2094">
        <v>0</v>
      </c>
      <c r="J2094">
        <v>530930</v>
      </c>
      <c r="L2094">
        <v>33</v>
      </c>
      <c r="M2094">
        <v>504</v>
      </c>
      <c r="N2094" t="s">
        <v>134</v>
      </c>
      <c r="O2094" t="s">
        <v>135</v>
      </c>
    </row>
    <row r="2095" spans="2:15" x14ac:dyDescent="0.25">
      <c r="B2095" t="s">
        <v>285</v>
      </c>
      <c r="C2095" s="4">
        <v>44693</v>
      </c>
      <c r="D2095">
        <v>5</v>
      </c>
      <c r="E2095" t="s">
        <v>16</v>
      </c>
      <c r="F2095" t="s">
        <v>125</v>
      </c>
      <c r="G2095" t="s">
        <v>286</v>
      </c>
      <c r="H2095">
        <v>0</v>
      </c>
      <c r="I2095">
        <v>223482</v>
      </c>
      <c r="J2095">
        <v>-223482</v>
      </c>
      <c r="L2095">
        <v>33</v>
      </c>
      <c r="M2095">
        <v>505</v>
      </c>
      <c r="N2095" t="s">
        <v>204</v>
      </c>
      <c r="O2095" t="s">
        <v>205</v>
      </c>
    </row>
    <row r="2096" spans="2:15" x14ac:dyDescent="0.25">
      <c r="B2096" t="s">
        <v>285</v>
      </c>
      <c r="C2096" s="4">
        <v>44693</v>
      </c>
      <c r="D2096">
        <v>5</v>
      </c>
      <c r="E2096" t="s">
        <v>16</v>
      </c>
      <c r="F2096" t="s">
        <v>17</v>
      </c>
      <c r="G2096" t="s">
        <v>286</v>
      </c>
      <c r="H2096">
        <v>223482</v>
      </c>
      <c r="I2096">
        <v>0</v>
      </c>
      <c r="J2096">
        <v>223482</v>
      </c>
      <c r="L2096">
        <v>33</v>
      </c>
      <c r="M2096">
        <v>505</v>
      </c>
      <c r="N2096" t="s">
        <v>204</v>
      </c>
      <c r="O2096" t="s">
        <v>205</v>
      </c>
    </row>
    <row r="2097" spans="2:15" x14ac:dyDescent="0.25">
      <c r="B2097" t="s">
        <v>285</v>
      </c>
      <c r="C2097" s="4">
        <v>44699</v>
      </c>
      <c r="D2097">
        <v>5</v>
      </c>
      <c r="E2097" t="s">
        <v>16</v>
      </c>
      <c r="F2097" t="s">
        <v>125</v>
      </c>
      <c r="G2097" t="s">
        <v>286</v>
      </c>
      <c r="H2097">
        <v>0</v>
      </c>
      <c r="I2097">
        <v>1210266</v>
      </c>
      <c r="J2097">
        <v>-1210266</v>
      </c>
      <c r="L2097">
        <v>33</v>
      </c>
      <c r="M2097">
        <v>506</v>
      </c>
      <c r="N2097" t="s">
        <v>206</v>
      </c>
      <c r="O2097" t="s">
        <v>207</v>
      </c>
    </row>
    <row r="2098" spans="2:15" x14ac:dyDescent="0.25">
      <c r="B2098" t="s">
        <v>285</v>
      </c>
      <c r="C2098" s="4">
        <v>44699</v>
      </c>
      <c r="D2098">
        <v>5</v>
      </c>
      <c r="E2098" t="s">
        <v>16</v>
      </c>
      <c r="F2098" t="s">
        <v>17</v>
      </c>
      <c r="G2098" t="s">
        <v>286</v>
      </c>
      <c r="H2098">
        <v>1210266</v>
      </c>
      <c r="I2098">
        <v>0</v>
      </c>
      <c r="J2098">
        <v>1210266</v>
      </c>
      <c r="L2098">
        <v>33</v>
      </c>
      <c r="M2098">
        <v>506</v>
      </c>
      <c r="N2098" t="s">
        <v>206</v>
      </c>
      <c r="O2098" t="s">
        <v>207</v>
      </c>
    </row>
    <row r="2099" spans="2:15" x14ac:dyDescent="0.25">
      <c r="B2099" t="s">
        <v>285</v>
      </c>
      <c r="C2099" s="4">
        <v>44706</v>
      </c>
      <c r="D2099">
        <v>5</v>
      </c>
      <c r="E2099" t="s">
        <v>16</v>
      </c>
      <c r="F2099" t="s">
        <v>125</v>
      </c>
      <c r="G2099" t="s">
        <v>286</v>
      </c>
      <c r="H2099">
        <v>0</v>
      </c>
      <c r="I2099">
        <v>314160</v>
      </c>
      <c r="J2099">
        <v>-314160</v>
      </c>
      <c r="L2099">
        <v>33</v>
      </c>
      <c r="M2099">
        <v>507</v>
      </c>
      <c r="N2099" t="s">
        <v>208</v>
      </c>
      <c r="O2099" t="s">
        <v>209</v>
      </c>
    </row>
    <row r="2100" spans="2:15" x14ac:dyDescent="0.25">
      <c r="B2100" t="s">
        <v>285</v>
      </c>
      <c r="C2100" s="4">
        <v>44706</v>
      </c>
      <c r="D2100">
        <v>5</v>
      </c>
      <c r="E2100" t="s">
        <v>16</v>
      </c>
      <c r="F2100" t="s">
        <v>17</v>
      </c>
      <c r="G2100" t="s">
        <v>286</v>
      </c>
      <c r="H2100">
        <v>314160</v>
      </c>
      <c r="I2100">
        <v>0</v>
      </c>
      <c r="J2100">
        <v>314160</v>
      </c>
      <c r="L2100">
        <v>33</v>
      </c>
      <c r="M2100">
        <v>507</v>
      </c>
      <c r="N2100" t="s">
        <v>208</v>
      </c>
      <c r="O2100" t="s">
        <v>209</v>
      </c>
    </row>
    <row r="2101" spans="2:15" x14ac:dyDescent="0.25">
      <c r="B2101" t="s">
        <v>285</v>
      </c>
      <c r="C2101" s="4">
        <v>44708</v>
      </c>
      <c r="D2101">
        <v>5</v>
      </c>
      <c r="E2101" t="s">
        <v>16</v>
      </c>
      <c r="F2101" t="s">
        <v>125</v>
      </c>
      <c r="G2101" t="s">
        <v>286</v>
      </c>
      <c r="H2101">
        <v>0</v>
      </c>
      <c r="I2101">
        <v>1535100</v>
      </c>
      <c r="J2101">
        <v>-1535100</v>
      </c>
      <c r="L2101">
        <v>33</v>
      </c>
      <c r="M2101">
        <v>508</v>
      </c>
      <c r="N2101" t="s">
        <v>142</v>
      </c>
      <c r="O2101" t="s">
        <v>143</v>
      </c>
    </row>
    <row r="2102" spans="2:15" x14ac:dyDescent="0.25">
      <c r="B2102" t="s">
        <v>285</v>
      </c>
      <c r="C2102" s="4">
        <v>44708</v>
      </c>
      <c r="D2102">
        <v>5</v>
      </c>
      <c r="E2102" t="s">
        <v>16</v>
      </c>
      <c r="F2102" t="s">
        <v>17</v>
      </c>
      <c r="G2102" t="s">
        <v>286</v>
      </c>
      <c r="H2102">
        <v>1535100</v>
      </c>
      <c r="I2102">
        <v>0</v>
      </c>
      <c r="J2102">
        <v>1535100</v>
      </c>
      <c r="L2102">
        <v>33</v>
      </c>
      <c r="M2102">
        <v>508</v>
      </c>
      <c r="N2102" t="s">
        <v>142</v>
      </c>
      <c r="O2102" t="s">
        <v>143</v>
      </c>
    </row>
    <row r="2103" spans="2:15" x14ac:dyDescent="0.25">
      <c r="B2103" t="s">
        <v>285</v>
      </c>
      <c r="C2103" s="4">
        <v>44708</v>
      </c>
      <c r="D2103">
        <v>5</v>
      </c>
      <c r="E2103" t="s">
        <v>16</v>
      </c>
      <c r="F2103" t="s">
        <v>125</v>
      </c>
      <c r="G2103" t="s">
        <v>286</v>
      </c>
      <c r="H2103">
        <v>0</v>
      </c>
      <c r="I2103">
        <v>92106</v>
      </c>
      <c r="J2103">
        <v>-92106</v>
      </c>
      <c r="L2103">
        <v>33</v>
      </c>
      <c r="M2103">
        <v>509</v>
      </c>
      <c r="N2103" t="s">
        <v>142</v>
      </c>
      <c r="O2103" t="s">
        <v>143</v>
      </c>
    </row>
    <row r="2104" spans="2:15" x14ac:dyDescent="0.25">
      <c r="B2104" t="s">
        <v>285</v>
      </c>
      <c r="C2104" s="4">
        <v>44708</v>
      </c>
      <c r="D2104">
        <v>5</v>
      </c>
      <c r="E2104" t="s">
        <v>16</v>
      </c>
      <c r="F2104" t="s">
        <v>17</v>
      </c>
      <c r="G2104" t="s">
        <v>286</v>
      </c>
      <c r="H2104">
        <v>92106</v>
      </c>
      <c r="I2104">
        <v>0</v>
      </c>
      <c r="J2104">
        <v>92106</v>
      </c>
      <c r="L2104">
        <v>33</v>
      </c>
      <c r="M2104">
        <v>509</v>
      </c>
      <c r="N2104" t="s">
        <v>142</v>
      </c>
      <c r="O2104" t="s">
        <v>143</v>
      </c>
    </row>
    <row r="2105" spans="2:15" x14ac:dyDescent="0.25">
      <c r="B2105" t="s">
        <v>285</v>
      </c>
      <c r="C2105" s="4">
        <v>44713</v>
      </c>
      <c r="D2105">
        <v>6</v>
      </c>
      <c r="E2105" t="s">
        <v>16</v>
      </c>
      <c r="F2105" t="s">
        <v>125</v>
      </c>
      <c r="G2105" t="s">
        <v>286</v>
      </c>
      <c r="H2105">
        <v>0</v>
      </c>
      <c r="I2105">
        <v>71400</v>
      </c>
      <c r="J2105">
        <v>-71400</v>
      </c>
      <c r="L2105">
        <v>33</v>
      </c>
      <c r="M2105">
        <v>510</v>
      </c>
      <c r="N2105" t="s">
        <v>208</v>
      </c>
      <c r="O2105" t="s">
        <v>209</v>
      </c>
    </row>
    <row r="2106" spans="2:15" x14ac:dyDescent="0.25">
      <c r="B2106" t="s">
        <v>285</v>
      </c>
      <c r="C2106" s="4">
        <v>44713</v>
      </c>
      <c r="D2106">
        <v>6</v>
      </c>
      <c r="E2106" t="s">
        <v>16</v>
      </c>
      <c r="F2106" t="s">
        <v>17</v>
      </c>
      <c r="G2106" t="s">
        <v>286</v>
      </c>
      <c r="H2106">
        <v>71400</v>
      </c>
      <c r="I2106">
        <v>0</v>
      </c>
      <c r="J2106">
        <v>71400</v>
      </c>
      <c r="L2106">
        <v>33</v>
      </c>
      <c r="M2106">
        <v>510</v>
      </c>
      <c r="N2106" t="s">
        <v>208</v>
      </c>
      <c r="O2106" t="s">
        <v>209</v>
      </c>
    </row>
    <row r="2107" spans="2:15" x14ac:dyDescent="0.25">
      <c r="B2107" t="s">
        <v>285</v>
      </c>
      <c r="C2107" s="4">
        <v>44721</v>
      </c>
      <c r="D2107">
        <v>6</v>
      </c>
      <c r="E2107" t="s">
        <v>16</v>
      </c>
      <c r="F2107" t="s">
        <v>125</v>
      </c>
      <c r="G2107" t="s">
        <v>286</v>
      </c>
      <c r="H2107">
        <v>0</v>
      </c>
      <c r="I2107">
        <v>90357</v>
      </c>
      <c r="J2107">
        <v>-90357</v>
      </c>
      <c r="L2107">
        <v>33</v>
      </c>
      <c r="M2107">
        <v>511</v>
      </c>
      <c r="N2107" t="s">
        <v>210</v>
      </c>
      <c r="O2107" t="s">
        <v>211</v>
      </c>
    </row>
    <row r="2108" spans="2:15" x14ac:dyDescent="0.25">
      <c r="B2108" t="s">
        <v>285</v>
      </c>
      <c r="C2108" s="4">
        <v>44721</v>
      </c>
      <c r="D2108">
        <v>6</v>
      </c>
      <c r="E2108" t="s">
        <v>16</v>
      </c>
      <c r="F2108" t="s">
        <v>17</v>
      </c>
      <c r="G2108" t="s">
        <v>286</v>
      </c>
      <c r="H2108">
        <v>90357</v>
      </c>
      <c r="I2108">
        <v>0</v>
      </c>
      <c r="J2108">
        <v>90357</v>
      </c>
      <c r="L2108">
        <v>33</v>
      </c>
      <c r="M2108">
        <v>511</v>
      </c>
      <c r="N2108" t="s">
        <v>210</v>
      </c>
      <c r="O2108" t="s">
        <v>211</v>
      </c>
    </row>
    <row r="2109" spans="2:15" x14ac:dyDescent="0.25">
      <c r="B2109" t="s">
        <v>285</v>
      </c>
      <c r="C2109" s="4">
        <v>44726</v>
      </c>
      <c r="D2109">
        <v>6</v>
      </c>
      <c r="E2109" t="s">
        <v>16</v>
      </c>
      <c r="F2109" t="s">
        <v>125</v>
      </c>
      <c r="G2109" t="s">
        <v>286</v>
      </c>
      <c r="H2109">
        <v>0</v>
      </c>
      <c r="I2109">
        <v>141610</v>
      </c>
      <c r="J2109">
        <v>-141610</v>
      </c>
      <c r="L2109">
        <v>33</v>
      </c>
      <c r="M2109">
        <v>512</v>
      </c>
      <c r="N2109" t="s">
        <v>212</v>
      </c>
      <c r="O2109" t="s">
        <v>213</v>
      </c>
    </row>
    <row r="2110" spans="2:15" x14ac:dyDescent="0.25">
      <c r="B2110" t="s">
        <v>285</v>
      </c>
      <c r="C2110" s="4">
        <v>44726</v>
      </c>
      <c r="D2110">
        <v>6</v>
      </c>
      <c r="E2110" t="s">
        <v>16</v>
      </c>
      <c r="F2110" t="s">
        <v>17</v>
      </c>
      <c r="G2110" t="s">
        <v>286</v>
      </c>
      <c r="H2110">
        <v>141610</v>
      </c>
      <c r="I2110">
        <v>0</v>
      </c>
      <c r="J2110">
        <v>141610</v>
      </c>
      <c r="L2110">
        <v>33</v>
      </c>
      <c r="M2110">
        <v>512</v>
      </c>
      <c r="N2110" t="s">
        <v>212</v>
      </c>
      <c r="O2110" t="s">
        <v>213</v>
      </c>
    </row>
    <row r="2111" spans="2:15" x14ac:dyDescent="0.25">
      <c r="B2111" t="s">
        <v>285</v>
      </c>
      <c r="C2111" s="4">
        <v>44726</v>
      </c>
      <c r="D2111">
        <v>6</v>
      </c>
      <c r="E2111" t="s">
        <v>16</v>
      </c>
      <c r="F2111" t="s">
        <v>125</v>
      </c>
      <c r="G2111" t="s">
        <v>286</v>
      </c>
      <c r="H2111">
        <v>0</v>
      </c>
      <c r="I2111">
        <v>353168</v>
      </c>
      <c r="J2111">
        <v>-353168</v>
      </c>
      <c r="L2111">
        <v>33</v>
      </c>
      <c r="M2111">
        <v>513</v>
      </c>
      <c r="N2111" t="s">
        <v>214</v>
      </c>
      <c r="O2111" t="s">
        <v>215</v>
      </c>
    </row>
    <row r="2112" spans="2:15" x14ac:dyDescent="0.25">
      <c r="B2112" t="s">
        <v>285</v>
      </c>
      <c r="C2112" s="4">
        <v>44726</v>
      </c>
      <c r="D2112">
        <v>6</v>
      </c>
      <c r="E2112" t="s">
        <v>16</v>
      </c>
      <c r="F2112" t="s">
        <v>17</v>
      </c>
      <c r="G2112" t="s">
        <v>286</v>
      </c>
      <c r="H2112">
        <v>353168</v>
      </c>
      <c r="I2112">
        <v>0</v>
      </c>
      <c r="J2112">
        <v>353168</v>
      </c>
      <c r="L2112">
        <v>33</v>
      </c>
      <c r="M2112">
        <v>513</v>
      </c>
      <c r="N2112" t="s">
        <v>214</v>
      </c>
      <c r="O2112" t="s">
        <v>215</v>
      </c>
    </row>
    <row r="2113" spans="2:15" x14ac:dyDescent="0.25">
      <c r="B2113" t="s">
        <v>285</v>
      </c>
      <c r="C2113" s="4">
        <v>44729</v>
      </c>
      <c r="D2113">
        <v>6</v>
      </c>
      <c r="E2113" t="s">
        <v>16</v>
      </c>
      <c r="F2113" t="s">
        <v>125</v>
      </c>
      <c r="G2113" t="s">
        <v>286</v>
      </c>
      <c r="H2113">
        <v>0</v>
      </c>
      <c r="I2113">
        <v>686630</v>
      </c>
      <c r="J2113">
        <v>-686630</v>
      </c>
      <c r="L2113">
        <v>33</v>
      </c>
      <c r="M2113">
        <v>514</v>
      </c>
      <c r="N2113" t="s">
        <v>216</v>
      </c>
      <c r="O2113" t="s">
        <v>217</v>
      </c>
    </row>
    <row r="2114" spans="2:15" x14ac:dyDescent="0.25">
      <c r="B2114" t="s">
        <v>285</v>
      </c>
      <c r="C2114" s="4">
        <v>44729</v>
      </c>
      <c r="D2114">
        <v>6</v>
      </c>
      <c r="E2114" t="s">
        <v>16</v>
      </c>
      <c r="F2114" t="s">
        <v>17</v>
      </c>
      <c r="G2114" t="s">
        <v>286</v>
      </c>
      <c r="H2114">
        <v>686630</v>
      </c>
      <c r="I2114">
        <v>0</v>
      </c>
      <c r="J2114">
        <v>686630</v>
      </c>
      <c r="L2114">
        <v>33</v>
      </c>
      <c r="M2114">
        <v>514</v>
      </c>
      <c r="N2114" t="s">
        <v>216</v>
      </c>
      <c r="O2114" t="s">
        <v>217</v>
      </c>
    </row>
    <row r="2115" spans="2:15" x14ac:dyDescent="0.25">
      <c r="B2115" t="s">
        <v>285</v>
      </c>
      <c r="C2115" s="4">
        <v>44729</v>
      </c>
      <c r="D2115">
        <v>6</v>
      </c>
      <c r="E2115" t="s">
        <v>16</v>
      </c>
      <c r="F2115" t="s">
        <v>125</v>
      </c>
      <c r="G2115" t="s">
        <v>286</v>
      </c>
      <c r="H2115">
        <v>0</v>
      </c>
      <c r="I2115">
        <v>69972</v>
      </c>
      <c r="J2115">
        <v>-69972</v>
      </c>
      <c r="L2115">
        <v>33</v>
      </c>
      <c r="M2115">
        <v>515</v>
      </c>
      <c r="N2115" t="s">
        <v>218</v>
      </c>
      <c r="O2115" t="s">
        <v>219</v>
      </c>
    </row>
    <row r="2116" spans="2:15" x14ac:dyDescent="0.25">
      <c r="B2116" t="s">
        <v>285</v>
      </c>
      <c r="C2116" s="4">
        <v>44729</v>
      </c>
      <c r="D2116">
        <v>6</v>
      </c>
      <c r="E2116" t="s">
        <v>16</v>
      </c>
      <c r="F2116" t="s">
        <v>17</v>
      </c>
      <c r="G2116" t="s">
        <v>286</v>
      </c>
      <c r="H2116">
        <v>69972</v>
      </c>
      <c r="I2116">
        <v>0</v>
      </c>
      <c r="J2116">
        <v>69972</v>
      </c>
      <c r="L2116">
        <v>33</v>
      </c>
      <c r="M2116">
        <v>515</v>
      </c>
      <c r="N2116" t="s">
        <v>218</v>
      </c>
      <c r="O2116" t="s">
        <v>219</v>
      </c>
    </row>
    <row r="2117" spans="2:15" x14ac:dyDescent="0.25">
      <c r="B2117" t="s">
        <v>285</v>
      </c>
      <c r="C2117" s="4">
        <v>44734</v>
      </c>
      <c r="D2117">
        <v>6</v>
      </c>
      <c r="E2117" t="s">
        <v>16</v>
      </c>
      <c r="F2117" t="s">
        <v>125</v>
      </c>
      <c r="G2117" t="s">
        <v>286</v>
      </c>
      <c r="H2117">
        <v>0</v>
      </c>
      <c r="I2117">
        <v>54621</v>
      </c>
      <c r="J2117">
        <v>-54621</v>
      </c>
      <c r="L2117">
        <v>33</v>
      </c>
      <c r="M2117">
        <v>516</v>
      </c>
      <c r="N2117" t="s">
        <v>210</v>
      </c>
      <c r="O2117" t="s">
        <v>211</v>
      </c>
    </row>
    <row r="2118" spans="2:15" x14ac:dyDescent="0.25">
      <c r="B2118" t="s">
        <v>285</v>
      </c>
      <c r="C2118" s="4">
        <v>44734</v>
      </c>
      <c r="D2118">
        <v>6</v>
      </c>
      <c r="E2118" t="s">
        <v>16</v>
      </c>
      <c r="F2118" t="s">
        <v>17</v>
      </c>
      <c r="G2118" t="s">
        <v>286</v>
      </c>
      <c r="H2118">
        <v>54621</v>
      </c>
      <c r="I2118">
        <v>0</v>
      </c>
      <c r="J2118">
        <v>54621</v>
      </c>
      <c r="L2118">
        <v>33</v>
      </c>
      <c r="M2118">
        <v>516</v>
      </c>
      <c r="N2118" t="s">
        <v>210</v>
      </c>
      <c r="O2118" t="s">
        <v>211</v>
      </c>
    </row>
    <row r="2119" spans="2:15" x14ac:dyDescent="0.25">
      <c r="B2119" t="s">
        <v>285</v>
      </c>
      <c r="C2119" s="4">
        <v>44735</v>
      </c>
      <c r="D2119">
        <v>6</v>
      </c>
      <c r="E2119" t="s">
        <v>16</v>
      </c>
      <c r="F2119" t="s">
        <v>125</v>
      </c>
      <c r="G2119" t="s">
        <v>286</v>
      </c>
      <c r="H2119">
        <v>0</v>
      </c>
      <c r="I2119">
        <v>319158</v>
      </c>
      <c r="J2119">
        <v>-319158</v>
      </c>
      <c r="L2119">
        <v>33</v>
      </c>
      <c r="M2119">
        <v>517</v>
      </c>
      <c r="N2119" t="s">
        <v>220</v>
      </c>
      <c r="O2119" t="s">
        <v>221</v>
      </c>
    </row>
    <row r="2120" spans="2:15" x14ac:dyDescent="0.25">
      <c r="B2120" t="s">
        <v>285</v>
      </c>
      <c r="C2120" s="4">
        <v>44735</v>
      </c>
      <c r="D2120">
        <v>6</v>
      </c>
      <c r="E2120" t="s">
        <v>16</v>
      </c>
      <c r="F2120" t="s">
        <v>17</v>
      </c>
      <c r="G2120" t="s">
        <v>286</v>
      </c>
      <c r="H2120">
        <v>319158</v>
      </c>
      <c r="I2120">
        <v>0</v>
      </c>
      <c r="J2120">
        <v>319158</v>
      </c>
      <c r="L2120">
        <v>33</v>
      </c>
      <c r="M2120">
        <v>517</v>
      </c>
      <c r="N2120" t="s">
        <v>220</v>
      </c>
      <c r="O2120" t="s">
        <v>221</v>
      </c>
    </row>
    <row r="2121" spans="2:15" x14ac:dyDescent="0.25">
      <c r="B2121" t="s">
        <v>285</v>
      </c>
      <c r="C2121" s="4">
        <v>44735</v>
      </c>
      <c r="D2121">
        <v>6</v>
      </c>
      <c r="E2121" t="s">
        <v>16</v>
      </c>
      <c r="F2121" t="s">
        <v>125</v>
      </c>
      <c r="G2121" t="s">
        <v>286</v>
      </c>
      <c r="H2121">
        <v>0</v>
      </c>
      <c r="I2121">
        <v>120666</v>
      </c>
      <c r="J2121">
        <v>-120666</v>
      </c>
      <c r="L2121">
        <v>33</v>
      </c>
      <c r="M2121">
        <v>518</v>
      </c>
      <c r="N2121" t="s">
        <v>222</v>
      </c>
      <c r="O2121" t="s">
        <v>223</v>
      </c>
    </row>
    <row r="2122" spans="2:15" x14ac:dyDescent="0.25">
      <c r="B2122" t="s">
        <v>285</v>
      </c>
      <c r="C2122" s="4">
        <v>44735</v>
      </c>
      <c r="D2122">
        <v>6</v>
      </c>
      <c r="E2122" t="s">
        <v>16</v>
      </c>
      <c r="F2122" t="s">
        <v>17</v>
      </c>
      <c r="G2122" t="s">
        <v>286</v>
      </c>
      <c r="H2122">
        <v>120666</v>
      </c>
      <c r="I2122">
        <v>0</v>
      </c>
      <c r="J2122">
        <v>120666</v>
      </c>
      <c r="L2122">
        <v>33</v>
      </c>
      <c r="M2122">
        <v>518</v>
      </c>
      <c r="N2122" t="s">
        <v>222</v>
      </c>
      <c r="O2122" t="s">
        <v>223</v>
      </c>
    </row>
    <row r="2123" spans="2:15" x14ac:dyDescent="0.25">
      <c r="B2123" t="s">
        <v>285</v>
      </c>
      <c r="C2123" s="4">
        <v>44741</v>
      </c>
      <c r="D2123">
        <v>6</v>
      </c>
      <c r="E2123" t="s">
        <v>16</v>
      </c>
      <c r="F2123" t="s">
        <v>125</v>
      </c>
      <c r="G2123" t="s">
        <v>286</v>
      </c>
      <c r="H2123">
        <v>0</v>
      </c>
      <c r="I2123">
        <v>341292</v>
      </c>
      <c r="J2123">
        <v>-341292</v>
      </c>
      <c r="L2123">
        <v>33</v>
      </c>
      <c r="M2123">
        <v>519</v>
      </c>
      <c r="N2123" t="s">
        <v>192</v>
      </c>
      <c r="O2123" t="s">
        <v>193</v>
      </c>
    </row>
    <row r="2124" spans="2:15" x14ac:dyDescent="0.25">
      <c r="B2124" t="s">
        <v>285</v>
      </c>
      <c r="C2124" s="4">
        <v>44741</v>
      </c>
      <c r="D2124">
        <v>6</v>
      </c>
      <c r="E2124" t="s">
        <v>16</v>
      </c>
      <c r="F2124" t="s">
        <v>17</v>
      </c>
      <c r="G2124" t="s">
        <v>286</v>
      </c>
      <c r="H2124">
        <v>341292</v>
      </c>
      <c r="I2124">
        <v>0</v>
      </c>
      <c r="J2124">
        <v>341292</v>
      </c>
      <c r="L2124">
        <v>33</v>
      </c>
      <c r="M2124">
        <v>519</v>
      </c>
      <c r="N2124" t="s">
        <v>192</v>
      </c>
      <c r="O2124" t="s">
        <v>193</v>
      </c>
    </row>
    <row r="2125" spans="2:15" x14ac:dyDescent="0.25">
      <c r="B2125" t="s">
        <v>285</v>
      </c>
      <c r="C2125" s="4">
        <v>44741</v>
      </c>
      <c r="D2125">
        <v>6</v>
      </c>
      <c r="E2125" t="s">
        <v>16</v>
      </c>
      <c r="F2125" t="s">
        <v>125</v>
      </c>
      <c r="G2125" t="s">
        <v>286</v>
      </c>
      <c r="H2125">
        <v>0</v>
      </c>
      <c r="I2125">
        <v>145775</v>
      </c>
      <c r="J2125">
        <v>-145775</v>
      </c>
      <c r="L2125">
        <v>33</v>
      </c>
      <c r="M2125">
        <v>520</v>
      </c>
      <c r="N2125" t="s">
        <v>216</v>
      </c>
      <c r="O2125" t="s">
        <v>217</v>
      </c>
    </row>
    <row r="2126" spans="2:15" x14ac:dyDescent="0.25">
      <c r="B2126" t="s">
        <v>285</v>
      </c>
      <c r="C2126" s="4">
        <v>44741</v>
      </c>
      <c r="D2126">
        <v>6</v>
      </c>
      <c r="E2126" t="s">
        <v>16</v>
      </c>
      <c r="F2126" t="s">
        <v>17</v>
      </c>
      <c r="G2126" t="s">
        <v>286</v>
      </c>
      <c r="H2126">
        <v>145775</v>
      </c>
      <c r="I2126">
        <v>0</v>
      </c>
      <c r="J2126">
        <v>145775</v>
      </c>
      <c r="L2126">
        <v>33</v>
      </c>
      <c r="M2126">
        <v>520</v>
      </c>
      <c r="N2126" t="s">
        <v>216</v>
      </c>
      <c r="O2126" t="s">
        <v>217</v>
      </c>
    </row>
    <row r="2127" spans="2:15" x14ac:dyDescent="0.25">
      <c r="B2127" t="s">
        <v>285</v>
      </c>
      <c r="C2127" s="4">
        <v>44742</v>
      </c>
      <c r="D2127">
        <v>6</v>
      </c>
      <c r="E2127" t="s">
        <v>16</v>
      </c>
      <c r="F2127" t="s">
        <v>125</v>
      </c>
      <c r="G2127" t="s">
        <v>286</v>
      </c>
      <c r="H2127">
        <v>0</v>
      </c>
      <c r="I2127">
        <v>467075</v>
      </c>
      <c r="J2127">
        <v>-467075</v>
      </c>
      <c r="L2127">
        <v>33</v>
      </c>
      <c r="M2127">
        <v>521</v>
      </c>
      <c r="N2127" t="s">
        <v>224</v>
      </c>
      <c r="O2127" t="s">
        <v>225</v>
      </c>
    </row>
    <row r="2128" spans="2:15" x14ac:dyDescent="0.25">
      <c r="B2128" t="s">
        <v>285</v>
      </c>
      <c r="C2128" s="4">
        <v>44742</v>
      </c>
      <c r="D2128">
        <v>6</v>
      </c>
      <c r="E2128" t="s">
        <v>16</v>
      </c>
      <c r="F2128" t="s">
        <v>17</v>
      </c>
      <c r="G2128" t="s">
        <v>286</v>
      </c>
      <c r="H2128">
        <v>467075</v>
      </c>
      <c r="I2128">
        <v>0</v>
      </c>
      <c r="J2128">
        <v>467075</v>
      </c>
      <c r="L2128">
        <v>33</v>
      </c>
      <c r="M2128">
        <v>521</v>
      </c>
      <c r="N2128" t="s">
        <v>224</v>
      </c>
      <c r="O2128" t="s">
        <v>225</v>
      </c>
    </row>
    <row r="2129" spans="2:15" x14ac:dyDescent="0.25">
      <c r="B2129" t="s">
        <v>285</v>
      </c>
      <c r="C2129" s="4">
        <v>44742</v>
      </c>
      <c r="D2129">
        <v>6</v>
      </c>
      <c r="E2129" t="s">
        <v>16</v>
      </c>
      <c r="F2129" t="s">
        <v>125</v>
      </c>
      <c r="G2129" t="s">
        <v>286</v>
      </c>
      <c r="H2129">
        <v>0</v>
      </c>
      <c r="I2129">
        <v>256754</v>
      </c>
      <c r="J2129">
        <v>-256754</v>
      </c>
      <c r="L2129">
        <v>33</v>
      </c>
      <c r="M2129">
        <v>522</v>
      </c>
      <c r="N2129" t="s">
        <v>226</v>
      </c>
      <c r="O2129" t="s">
        <v>227</v>
      </c>
    </row>
    <row r="2130" spans="2:15" x14ac:dyDescent="0.25">
      <c r="B2130" t="s">
        <v>285</v>
      </c>
      <c r="C2130" s="4">
        <v>44742</v>
      </c>
      <c r="D2130">
        <v>6</v>
      </c>
      <c r="E2130" t="s">
        <v>16</v>
      </c>
      <c r="F2130" t="s">
        <v>17</v>
      </c>
      <c r="G2130" t="s">
        <v>286</v>
      </c>
      <c r="H2130">
        <v>256754</v>
      </c>
      <c r="I2130">
        <v>0</v>
      </c>
      <c r="J2130">
        <v>256754</v>
      </c>
      <c r="L2130">
        <v>33</v>
      </c>
      <c r="M2130">
        <v>522</v>
      </c>
      <c r="N2130" t="s">
        <v>226</v>
      </c>
      <c r="O2130" t="s">
        <v>227</v>
      </c>
    </row>
    <row r="2131" spans="2:15" x14ac:dyDescent="0.25">
      <c r="B2131" t="s">
        <v>285</v>
      </c>
      <c r="C2131" s="4">
        <v>44742</v>
      </c>
      <c r="D2131">
        <v>6</v>
      </c>
      <c r="E2131" t="s">
        <v>16</v>
      </c>
      <c r="F2131" t="s">
        <v>125</v>
      </c>
      <c r="G2131" t="s">
        <v>286</v>
      </c>
      <c r="H2131">
        <v>0</v>
      </c>
      <c r="I2131">
        <v>425544</v>
      </c>
      <c r="J2131">
        <v>-425544</v>
      </c>
      <c r="L2131">
        <v>33</v>
      </c>
      <c r="M2131">
        <v>523</v>
      </c>
      <c r="N2131" t="s">
        <v>228</v>
      </c>
      <c r="O2131" t="s">
        <v>229</v>
      </c>
    </row>
    <row r="2132" spans="2:15" x14ac:dyDescent="0.25">
      <c r="B2132" t="s">
        <v>285</v>
      </c>
      <c r="C2132" s="4">
        <v>44742</v>
      </c>
      <c r="D2132">
        <v>6</v>
      </c>
      <c r="E2132" t="s">
        <v>16</v>
      </c>
      <c r="F2132" t="s">
        <v>17</v>
      </c>
      <c r="G2132" t="s">
        <v>286</v>
      </c>
      <c r="H2132">
        <v>425544</v>
      </c>
      <c r="I2132">
        <v>0</v>
      </c>
      <c r="J2132">
        <v>425544</v>
      </c>
      <c r="L2132">
        <v>33</v>
      </c>
      <c r="M2132">
        <v>523</v>
      </c>
      <c r="N2132" t="s">
        <v>228</v>
      </c>
      <c r="O2132" t="s">
        <v>229</v>
      </c>
    </row>
    <row r="2133" spans="2:15" x14ac:dyDescent="0.25">
      <c r="B2133" t="s">
        <v>285</v>
      </c>
      <c r="C2133" s="4">
        <v>44747</v>
      </c>
      <c r="D2133">
        <v>7</v>
      </c>
      <c r="E2133" t="s">
        <v>16</v>
      </c>
      <c r="F2133" t="s">
        <v>125</v>
      </c>
      <c r="G2133" t="s">
        <v>286</v>
      </c>
      <c r="H2133">
        <v>0</v>
      </c>
      <c r="I2133">
        <v>278698</v>
      </c>
      <c r="J2133">
        <v>-278698</v>
      </c>
      <c r="L2133">
        <v>33</v>
      </c>
      <c r="M2133">
        <v>524</v>
      </c>
      <c r="N2133" t="s">
        <v>140</v>
      </c>
      <c r="O2133" t="s">
        <v>141</v>
      </c>
    </row>
    <row r="2134" spans="2:15" x14ac:dyDescent="0.25">
      <c r="B2134" t="s">
        <v>285</v>
      </c>
      <c r="C2134" s="4">
        <v>44747</v>
      </c>
      <c r="D2134">
        <v>7</v>
      </c>
      <c r="E2134" t="s">
        <v>16</v>
      </c>
      <c r="F2134" t="s">
        <v>17</v>
      </c>
      <c r="G2134" t="s">
        <v>286</v>
      </c>
      <c r="H2134">
        <v>278698</v>
      </c>
      <c r="I2134">
        <v>0</v>
      </c>
      <c r="J2134">
        <v>278698</v>
      </c>
      <c r="L2134">
        <v>33</v>
      </c>
      <c r="M2134">
        <v>524</v>
      </c>
      <c r="N2134" t="s">
        <v>140</v>
      </c>
      <c r="O2134" t="s">
        <v>141</v>
      </c>
    </row>
    <row r="2135" spans="2:15" x14ac:dyDescent="0.25">
      <c r="B2135" t="s">
        <v>285</v>
      </c>
      <c r="C2135" s="4">
        <v>44748</v>
      </c>
      <c r="D2135">
        <v>7</v>
      </c>
      <c r="E2135" t="s">
        <v>16</v>
      </c>
      <c r="F2135" t="s">
        <v>125</v>
      </c>
      <c r="G2135" t="s">
        <v>286</v>
      </c>
      <c r="H2135">
        <v>0</v>
      </c>
      <c r="I2135">
        <v>198849</v>
      </c>
      <c r="J2135">
        <v>-198849</v>
      </c>
      <c r="L2135">
        <v>33</v>
      </c>
      <c r="M2135">
        <v>525</v>
      </c>
      <c r="N2135" t="s">
        <v>156</v>
      </c>
      <c r="O2135" t="s">
        <v>157</v>
      </c>
    </row>
    <row r="2136" spans="2:15" x14ac:dyDescent="0.25">
      <c r="B2136" t="s">
        <v>285</v>
      </c>
      <c r="C2136" s="4">
        <v>44748</v>
      </c>
      <c r="D2136">
        <v>7</v>
      </c>
      <c r="E2136" t="s">
        <v>16</v>
      </c>
      <c r="F2136" t="s">
        <v>17</v>
      </c>
      <c r="G2136" t="s">
        <v>286</v>
      </c>
      <c r="H2136">
        <v>198849</v>
      </c>
      <c r="I2136">
        <v>0</v>
      </c>
      <c r="J2136">
        <v>198849</v>
      </c>
      <c r="L2136">
        <v>33</v>
      </c>
      <c r="M2136">
        <v>525</v>
      </c>
      <c r="N2136" t="s">
        <v>156</v>
      </c>
      <c r="O2136" t="s">
        <v>157</v>
      </c>
    </row>
    <row r="2137" spans="2:15" x14ac:dyDescent="0.25">
      <c r="B2137" t="s">
        <v>285</v>
      </c>
      <c r="C2137" s="4">
        <v>44754</v>
      </c>
      <c r="D2137">
        <v>7</v>
      </c>
      <c r="E2137" t="s">
        <v>16</v>
      </c>
      <c r="F2137" t="s">
        <v>125</v>
      </c>
      <c r="G2137" t="s">
        <v>286</v>
      </c>
      <c r="H2137">
        <v>0</v>
      </c>
      <c r="I2137">
        <v>619217</v>
      </c>
      <c r="J2137">
        <v>-619217</v>
      </c>
      <c r="L2137">
        <v>33</v>
      </c>
      <c r="M2137">
        <v>526</v>
      </c>
      <c r="N2137" t="s">
        <v>216</v>
      </c>
      <c r="O2137" t="s">
        <v>217</v>
      </c>
    </row>
    <row r="2138" spans="2:15" x14ac:dyDescent="0.25">
      <c r="B2138" t="s">
        <v>285</v>
      </c>
      <c r="C2138" s="4">
        <v>44754</v>
      </c>
      <c r="D2138">
        <v>7</v>
      </c>
      <c r="E2138" t="s">
        <v>16</v>
      </c>
      <c r="F2138" t="s">
        <v>17</v>
      </c>
      <c r="G2138" t="s">
        <v>286</v>
      </c>
      <c r="H2138">
        <v>619217</v>
      </c>
      <c r="I2138">
        <v>0</v>
      </c>
      <c r="J2138">
        <v>619217</v>
      </c>
      <c r="L2138">
        <v>33</v>
      </c>
      <c r="M2138">
        <v>526</v>
      </c>
      <c r="N2138" t="s">
        <v>216</v>
      </c>
      <c r="O2138" t="s">
        <v>217</v>
      </c>
    </row>
    <row r="2139" spans="2:15" x14ac:dyDescent="0.25">
      <c r="B2139" t="s">
        <v>285</v>
      </c>
      <c r="C2139" s="4">
        <v>44755</v>
      </c>
      <c r="D2139">
        <v>7</v>
      </c>
      <c r="E2139" t="s">
        <v>16</v>
      </c>
      <c r="F2139" t="s">
        <v>125</v>
      </c>
      <c r="G2139" t="s">
        <v>286</v>
      </c>
      <c r="H2139">
        <v>0</v>
      </c>
      <c r="I2139">
        <v>685690</v>
      </c>
      <c r="J2139">
        <v>-685690</v>
      </c>
      <c r="L2139">
        <v>33</v>
      </c>
      <c r="M2139">
        <v>527</v>
      </c>
      <c r="N2139" t="s">
        <v>216</v>
      </c>
      <c r="O2139" t="s">
        <v>217</v>
      </c>
    </row>
    <row r="2140" spans="2:15" x14ac:dyDescent="0.25">
      <c r="B2140" t="s">
        <v>285</v>
      </c>
      <c r="C2140" s="4">
        <v>44755</v>
      </c>
      <c r="D2140">
        <v>7</v>
      </c>
      <c r="E2140" t="s">
        <v>16</v>
      </c>
      <c r="F2140" t="s">
        <v>17</v>
      </c>
      <c r="G2140" t="s">
        <v>286</v>
      </c>
      <c r="H2140">
        <v>685690</v>
      </c>
      <c r="I2140">
        <v>0</v>
      </c>
      <c r="J2140">
        <v>685690</v>
      </c>
      <c r="L2140">
        <v>33</v>
      </c>
      <c r="M2140">
        <v>527</v>
      </c>
      <c r="N2140" t="s">
        <v>216</v>
      </c>
      <c r="O2140" t="s">
        <v>217</v>
      </c>
    </row>
    <row r="2141" spans="2:15" x14ac:dyDescent="0.25">
      <c r="B2141" t="s">
        <v>285</v>
      </c>
      <c r="C2141" s="4">
        <v>44769</v>
      </c>
      <c r="D2141">
        <v>7</v>
      </c>
      <c r="E2141" t="s">
        <v>16</v>
      </c>
      <c r="F2141" t="s">
        <v>125</v>
      </c>
      <c r="G2141" t="s">
        <v>286</v>
      </c>
      <c r="H2141">
        <v>0</v>
      </c>
      <c r="I2141">
        <v>994923</v>
      </c>
      <c r="J2141">
        <v>-994923</v>
      </c>
      <c r="L2141">
        <v>33</v>
      </c>
      <c r="M2141">
        <v>528</v>
      </c>
      <c r="N2141" t="s">
        <v>230</v>
      </c>
      <c r="O2141" t="s">
        <v>231</v>
      </c>
    </row>
    <row r="2142" spans="2:15" x14ac:dyDescent="0.25">
      <c r="B2142" t="s">
        <v>285</v>
      </c>
      <c r="C2142" s="4">
        <v>44769</v>
      </c>
      <c r="D2142">
        <v>7</v>
      </c>
      <c r="E2142" t="s">
        <v>16</v>
      </c>
      <c r="F2142" t="s">
        <v>17</v>
      </c>
      <c r="G2142" t="s">
        <v>286</v>
      </c>
      <c r="H2142">
        <v>994923</v>
      </c>
      <c r="I2142">
        <v>0</v>
      </c>
      <c r="J2142">
        <v>994923</v>
      </c>
      <c r="L2142">
        <v>33</v>
      </c>
      <c r="M2142">
        <v>528</v>
      </c>
      <c r="N2142" t="s">
        <v>230</v>
      </c>
      <c r="O2142" t="s">
        <v>231</v>
      </c>
    </row>
    <row r="2143" spans="2:15" x14ac:dyDescent="0.25">
      <c r="B2143" t="s">
        <v>285</v>
      </c>
      <c r="C2143" s="4">
        <v>44770</v>
      </c>
      <c r="D2143">
        <v>7</v>
      </c>
      <c r="E2143" t="s">
        <v>16</v>
      </c>
      <c r="F2143" t="s">
        <v>125</v>
      </c>
      <c r="G2143" t="s">
        <v>286</v>
      </c>
      <c r="H2143">
        <v>0</v>
      </c>
      <c r="I2143">
        <v>297738</v>
      </c>
      <c r="J2143">
        <v>-297738</v>
      </c>
      <c r="L2143">
        <v>33</v>
      </c>
      <c r="M2143">
        <v>529</v>
      </c>
      <c r="N2143" t="s">
        <v>232</v>
      </c>
      <c r="O2143" t="s">
        <v>233</v>
      </c>
    </row>
    <row r="2144" spans="2:15" x14ac:dyDescent="0.25">
      <c r="B2144" t="s">
        <v>285</v>
      </c>
      <c r="C2144" s="4">
        <v>44770</v>
      </c>
      <c r="D2144">
        <v>7</v>
      </c>
      <c r="E2144" t="s">
        <v>16</v>
      </c>
      <c r="F2144" t="s">
        <v>17</v>
      </c>
      <c r="G2144" t="s">
        <v>286</v>
      </c>
      <c r="H2144">
        <v>297738</v>
      </c>
      <c r="I2144">
        <v>0</v>
      </c>
      <c r="J2144">
        <v>297738</v>
      </c>
      <c r="L2144">
        <v>33</v>
      </c>
      <c r="M2144">
        <v>529</v>
      </c>
      <c r="N2144" t="s">
        <v>232</v>
      </c>
      <c r="O2144" t="s">
        <v>233</v>
      </c>
    </row>
    <row r="2145" spans="2:15" x14ac:dyDescent="0.25">
      <c r="B2145" t="s">
        <v>285</v>
      </c>
      <c r="C2145" s="4">
        <v>44770</v>
      </c>
      <c r="D2145">
        <v>7</v>
      </c>
      <c r="E2145" t="s">
        <v>16</v>
      </c>
      <c r="F2145" t="s">
        <v>125</v>
      </c>
      <c r="G2145" t="s">
        <v>286</v>
      </c>
      <c r="H2145">
        <v>0</v>
      </c>
      <c r="I2145">
        <v>199849</v>
      </c>
      <c r="J2145">
        <v>-199849</v>
      </c>
      <c r="L2145">
        <v>33</v>
      </c>
      <c r="M2145">
        <v>530</v>
      </c>
      <c r="N2145" t="s">
        <v>234</v>
      </c>
      <c r="O2145" t="s">
        <v>235</v>
      </c>
    </row>
    <row r="2146" spans="2:15" x14ac:dyDescent="0.25">
      <c r="B2146" t="s">
        <v>285</v>
      </c>
      <c r="C2146" s="4">
        <v>44770</v>
      </c>
      <c r="D2146">
        <v>7</v>
      </c>
      <c r="E2146" t="s">
        <v>16</v>
      </c>
      <c r="F2146" t="s">
        <v>17</v>
      </c>
      <c r="G2146" t="s">
        <v>286</v>
      </c>
      <c r="H2146">
        <v>199849</v>
      </c>
      <c r="I2146">
        <v>0</v>
      </c>
      <c r="J2146">
        <v>199849</v>
      </c>
      <c r="L2146">
        <v>33</v>
      </c>
      <c r="M2146">
        <v>530</v>
      </c>
      <c r="N2146" t="s">
        <v>234</v>
      </c>
      <c r="O2146" t="s">
        <v>235</v>
      </c>
    </row>
    <row r="2147" spans="2:15" x14ac:dyDescent="0.25">
      <c r="B2147" t="s">
        <v>285</v>
      </c>
      <c r="C2147" s="4">
        <v>44771</v>
      </c>
      <c r="D2147">
        <v>7</v>
      </c>
      <c r="E2147" t="s">
        <v>16</v>
      </c>
      <c r="F2147" t="s">
        <v>125</v>
      </c>
      <c r="G2147" t="s">
        <v>286</v>
      </c>
      <c r="H2147">
        <v>0</v>
      </c>
      <c r="I2147">
        <v>3552150</v>
      </c>
      <c r="J2147">
        <v>-3552150</v>
      </c>
      <c r="L2147">
        <v>33</v>
      </c>
      <c r="M2147">
        <v>532</v>
      </c>
      <c r="N2147" t="s">
        <v>236</v>
      </c>
      <c r="O2147" t="s">
        <v>237</v>
      </c>
    </row>
    <row r="2148" spans="2:15" x14ac:dyDescent="0.25">
      <c r="B2148" t="s">
        <v>285</v>
      </c>
      <c r="C2148" s="4">
        <v>44771</v>
      </c>
      <c r="D2148">
        <v>7</v>
      </c>
      <c r="E2148" t="s">
        <v>16</v>
      </c>
      <c r="F2148" t="s">
        <v>17</v>
      </c>
      <c r="G2148" t="s">
        <v>286</v>
      </c>
      <c r="H2148">
        <v>3552150</v>
      </c>
      <c r="I2148">
        <v>0</v>
      </c>
      <c r="J2148">
        <v>3552150</v>
      </c>
      <c r="L2148">
        <v>33</v>
      </c>
      <c r="M2148">
        <v>532</v>
      </c>
      <c r="N2148" t="s">
        <v>236</v>
      </c>
      <c r="O2148" t="s">
        <v>237</v>
      </c>
    </row>
    <row r="2149" spans="2:15" x14ac:dyDescent="0.25">
      <c r="B2149" t="s">
        <v>285</v>
      </c>
      <c r="C2149" s="4">
        <v>44755</v>
      </c>
      <c r="D2149">
        <v>7</v>
      </c>
      <c r="E2149" t="s">
        <v>16</v>
      </c>
      <c r="F2149" t="s">
        <v>125</v>
      </c>
      <c r="G2149" t="s">
        <v>286</v>
      </c>
      <c r="H2149">
        <v>619217</v>
      </c>
      <c r="I2149">
        <v>0</v>
      </c>
      <c r="J2149">
        <v>619217</v>
      </c>
      <c r="L2149">
        <v>61</v>
      </c>
      <c r="M2149">
        <v>22</v>
      </c>
      <c r="N2149" t="s">
        <v>216</v>
      </c>
      <c r="O2149" t="s">
        <v>217</v>
      </c>
    </row>
    <row r="2150" spans="2:15" x14ac:dyDescent="0.25">
      <c r="B2150" t="s">
        <v>285</v>
      </c>
      <c r="C2150" s="4">
        <v>44755</v>
      </c>
      <c r="D2150">
        <v>7</v>
      </c>
      <c r="E2150" t="s">
        <v>16</v>
      </c>
      <c r="F2150" t="s">
        <v>17</v>
      </c>
      <c r="G2150" t="s">
        <v>286</v>
      </c>
      <c r="H2150">
        <v>0</v>
      </c>
      <c r="I2150">
        <v>619217</v>
      </c>
      <c r="J2150">
        <v>-619217</v>
      </c>
      <c r="L2150">
        <v>61</v>
      </c>
      <c r="M2150">
        <v>22</v>
      </c>
      <c r="N2150" t="s">
        <v>216</v>
      </c>
      <c r="O2150" t="s">
        <v>217</v>
      </c>
    </row>
    <row r="2151" spans="2:15" x14ac:dyDescent="0.25">
      <c r="B2151" t="s">
        <v>285</v>
      </c>
      <c r="C2151" s="4">
        <v>44774</v>
      </c>
      <c r="D2151">
        <v>8</v>
      </c>
      <c r="E2151" t="s">
        <v>16</v>
      </c>
      <c r="F2151" t="s">
        <v>125</v>
      </c>
      <c r="G2151" t="s">
        <v>286</v>
      </c>
      <c r="H2151">
        <v>0</v>
      </c>
      <c r="I2151">
        <v>1130500</v>
      </c>
      <c r="J2151">
        <v>-1130500</v>
      </c>
      <c r="L2151">
        <v>33</v>
      </c>
      <c r="M2151">
        <v>533</v>
      </c>
      <c r="N2151" t="s">
        <v>142</v>
      </c>
      <c r="O2151" t="s">
        <v>143</v>
      </c>
    </row>
    <row r="2152" spans="2:15" x14ac:dyDescent="0.25">
      <c r="B2152" t="s">
        <v>285</v>
      </c>
      <c r="C2152" s="4">
        <v>44774</v>
      </c>
      <c r="D2152">
        <v>8</v>
      </c>
      <c r="E2152" t="s">
        <v>16</v>
      </c>
      <c r="F2152" t="s">
        <v>17</v>
      </c>
      <c r="G2152" t="s">
        <v>286</v>
      </c>
      <c r="H2152">
        <v>1130500</v>
      </c>
      <c r="I2152">
        <v>0</v>
      </c>
      <c r="J2152">
        <v>1130500</v>
      </c>
      <c r="L2152">
        <v>33</v>
      </c>
      <c r="M2152">
        <v>533</v>
      </c>
      <c r="N2152" t="s">
        <v>142</v>
      </c>
      <c r="O2152" t="s">
        <v>143</v>
      </c>
    </row>
    <row r="2153" spans="2:15" x14ac:dyDescent="0.25">
      <c r="B2153" t="s">
        <v>285</v>
      </c>
      <c r="C2153" s="4">
        <v>44775</v>
      </c>
      <c r="D2153">
        <v>8</v>
      </c>
      <c r="E2153" t="s">
        <v>16</v>
      </c>
      <c r="F2153" t="s">
        <v>125</v>
      </c>
      <c r="G2153" t="s">
        <v>286</v>
      </c>
      <c r="H2153">
        <v>0</v>
      </c>
      <c r="I2153">
        <v>113050</v>
      </c>
      <c r="J2153">
        <v>-113050</v>
      </c>
      <c r="L2153">
        <v>33</v>
      </c>
      <c r="M2153">
        <v>534</v>
      </c>
      <c r="N2153" t="s">
        <v>142</v>
      </c>
      <c r="O2153" t="s">
        <v>143</v>
      </c>
    </row>
    <row r="2154" spans="2:15" x14ac:dyDescent="0.25">
      <c r="B2154" t="s">
        <v>285</v>
      </c>
      <c r="C2154" s="4">
        <v>44775</v>
      </c>
      <c r="D2154">
        <v>8</v>
      </c>
      <c r="E2154" t="s">
        <v>16</v>
      </c>
      <c r="F2154" t="s">
        <v>17</v>
      </c>
      <c r="G2154" t="s">
        <v>286</v>
      </c>
      <c r="H2154">
        <v>113050</v>
      </c>
      <c r="I2154">
        <v>0</v>
      </c>
      <c r="J2154">
        <v>113050</v>
      </c>
      <c r="L2154">
        <v>33</v>
      </c>
      <c r="M2154">
        <v>534</v>
      </c>
      <c r="N2154" t="s">
        <v>142</v>
      </c>
      <c r="O2154" t="s">
        <v>143</v>
      </c>
    </row>
    <row r="2155" spans="2:15" x14ac:dyDescent="0.25">
      <c r="B2155" t="s">
        <v>285</v>
      </c>
      <c r="C2155" s="4">
        <v>44776</v>
      </c>
      <c r="D2155">
        <v>8</v>
      </c>
      <c r="E2155" t="s">
        <v>16</v>
      </c>
      <c r="F2155" t="s">
        <v>125</v>
      </c>
      <c r="G2155" t="s">
        <v>286</v>
      </c>
      <c r="H2155">
        <v>0</v>
      </c>
      <c r="I2155">
        <v>711144</v>
      </c>
      <c r="J2155">
        <v>-711144</v>
      </c>
      <c r="L2155">
        <v>33</v>
      </c>
      <c r="M2155">
        <v>535</v>
      </c>
      <c r="N2155" t="s">
        <v>180</v>
      </c>
      <c r="O2155" t="s">
        <v>181</v>
      </c>
    </row>
    <row r="2156" spans="2:15" x14ac:dyDescent="0.25">
      <c r="B2156" t="s">
        <v>285</v>
      </c>
      <c r="C2156" s="4">
        <v>44776</v>
      </c>
      <c r="D2156">
        <v>8</v>
      </c>
      <c r="E2156" t="s">
        <v>16</v>
      </c>
      <c r="F2156" t="s">
        <v>17</v>
      </c>
      <c r="G2156" t="s">
        <v>286</v>
      </c>
      <c r="H2156">
        <v>711144</v>
      </c>
      <c r="I2156">
        <v>0</v>
      </c>
      <c r="J2156">
        <v>711144</v>
      </c>
      <c r="L2156">
        <v>33</v>
      </c>
      <c r="M2156">
        <v>535</v>
      </c>
      <c r="N2156" t="s">
        <v>180</v>
      </c>
      <c r="O2156" t="s">
        <v>181</v>
      </c>
    </row>
    <row r="2157" spans="2:15" x14ac:dyDescent="0.25">
      <c r="B2157" t="s">
        <v>285</v>
      </c>
      <c r="C2157" s="4">
        <v>44777</v>
      </c>
      <c r="D2157">
        <v>8</v>
      </c>
      <c r="E2157" t="s">
        <v>16</v>
      </c>
      <c r="F2157" t="s">
        <v>125</v>
      </c>
      <c r="G2157" t="s">
        <v>286</v>
      </c>
      <c r="H2157">
        <v>0</v>
      </c>
      <c r="I2157">
        <v>138516</v>
      </c>
      <c r="J2157">
        <v>-138516</v>
      </c>
      <c r="L2157">
        <v>33</v>
      </c>
      <c r="M2157">
        <v>536</v>
      </c>
      <c r="N2157" t="s">
        <v>140</v>
      </c>
      <c r="O2157" t="s">
        <v>141</v>
      </c>
    </row>
    <row r="2158" spans="2:15" x14ac:dyDescent="0.25">
      <c r="B2158" t="s">
        <v>285</v>
      </c>
      <c r="C2158" s="4">
        <v>44777</v>
      </c>
      <c r="D2158">
        <v>8</v>
      </c>
      <c r="E2158" t="s">
        <v>16</v>
      </c>
      <c r="F2158" t="s">
        <v>17</v>
      </c>
      <c r="G2158" t="s">
        <v>286</v>
      </c>
      <c r="H2158">
        <v>138516</v>
      </c>
      <c r="I2158">
        <v>0</v>
      </c>
      <c r="J2158">
        <v>138516</v>
      </c>
      <c r="L2158">
        <v>33</v>
      </c>
      <c r="M2158">
        <v>536</v>
      </c>
      <c r="N2158" t="s">
        <v>140</v>
      </c>
      <c r="O2158" t="s">
        <v>141</v>
      </c>
    </row>
    <row r="2159" spans="2:15" x14ac:dyDescent="0.25">
      <c r="B2159" t="s">
        <v>285</v>
      </c>
      <c r="C2159" s="4">
        <v>44778</v>
      </c>
      <c r="D2159">
        <v>8</v>
      </c>
      <c r="E2159" t="s">
        <v>16</v>
      </c>
      <c r="F2159" t="s">
        <v>125</v>
      </c>
      <c r="G2159" t="s">
        <v>286</v>
      </c>
      <c r="H2159">
        <v>0</v>
      </c>
      <c r="I2159">
        <v>133232</v>
      </c>
      <c r="J2159">
        <v>-133232</v>
      </c>
      <c r="L2159">
        <v>33</v>
      </c>
      <c r="M2159">
        <v>538</v>
      </c>
      <c r="N2159" t="s">
        <v>234</v>
      </c>
      <c r="O2159" t="s">
        <v>235</v>
      </c>
    </row>
    <row r="2160" spans="2:15" x14ac:dyDescent="0.25">
      <c r="B2160" t="s">
        <v>285</v>
      </c>
      <c r="C2160" s="4">
        <v>44778</v>
      </c>
      <c r="D2160">
        <v>8</v>
      </c>
      <c r="E2160" t="s">
        <v>16</v>
      </c>
      <c r="F2160" t="s">
        <v>17</v>
      </c>
      <c r="G2160" t="s">
        <v>286</v>
      </c>
      <c r="H2160">
        <v>133232</v>
      </c>
      <c r="I2160">
        <v>0</v>
      </c>
      <c r="J2160">
        <v>133232</v>
      </c>
      <c r="L2160">
        <v>33</v>
      </c>
      <c r="M2160">
        <v>538</v>
      </c>
      <c r="N2160" t="s">
        <v>234</v>
      </c>
      <c r="O2160" t="s">
        <v>235</v>
      </c>
    </row>
    <row r="2161" spans="2:15" x14ac:dyDescent="0.25">
      <c r="B2161" t="s">
        <v>285</v>
      </c>
      <c r="C2161" s="4">
        <v>44778</v>
      </c>
      <c r="D2161">
        <v>8</v>
      </c>
      <c r="E2161" t="s">
        <v>16</v>
      </c>
      <c r="F2161" t="s">
        <v>125</v>
      </c>
      <c r="G2161" t="s">
        <v>286</v>
      </c>
      <c r="H2161">
        <v>0</v>
      </c>
      <c r="I2161">
        <v>84966</v>
      </c>
      <c r="J2161">
        <v>-84966</v>
      </c>
      <c r="L2161">
        <v>33</v>
      </c>
      <c r="M2161">
        <v>539</v>
      </c>
      <c r="N2161" t="s">
        <v>226</v>
      </c>
      <c r="O2161" t="s">
        <v>227</v>
      </c>
    </row>
    <row r="2162" spans="2:15" x14ac:dyDescent="0.25">
      <c r="B2162" t="s">
        <v>285</v>
      </c>
      <c r="C2162" s="4">
        <v>44778</v>
      </c>
      <c r="D2162">
        <v>8</v>
      </c>
      <c r="E2162" t="s">
        <v>16</v>
      </c>
      <c r="F2162" t="s">
        <v>17</v>
      </c>
      <c r="G2162" t="s">
        <v>286</v>
      </c>
      <c r="H2162">
        <v>84966</v>
      </c>
      <c r="I2162">
        <v>0</v>
      </c>
      <c r="J2162">
        <v>84966</v>
      </c>
      <c r="L2162">
        <v>33</v>
      </c>
      <c r="M2162">
        <v>539</v>
      </c>
      <c r="N2162" t="s">
        <v>226</v>
      </c>
      <c r="O2162" t="s">
        <v>227</v>
      </c>
    </row>
    <row r="2163" spans="2:15" x14ac:dyDescent="0.25">
      <c r="B2163" t="s">
        <v>285</v>
      </c>
      <c r="C2163" s="4">
        <v>44784</v>
      </c>
      <c r="D2163">
        <v>8</v>
      </c>
      <c r="E2163" t="s">
        <v>16</v>
      </c>
      <c r="F2163" t="s">
        <v>125</v>
      </c>
      <c r="G2163" t="s">
        <v>286</v>
      </c>
      <c r="H2163">
        <v>0</v>
      </c>
      <c r="I2163">
        <v>156366</v>
      </c>
      <c r="J2163">
        <v>-156366</v>
      </c>
      <c r="L2163">
        <v>33</v>
      </c>
      <c r="M2163">
        <v>540</v>
      </c>
      <c r="N2163" t="s">
        <v>206</v>
      </c>
      <c r="O2163" t="s">
        <v>207</v>
      </c>
    </row>
    <row r="2164" spans="2:15" x14ac:dyDescent="0.25">
      <c r="B2164" t="s">
        <v>285</v>
      </c>
      <c r="C2164" s="4">
        <v>44784</v>
      </c>
      <c r="D2164">
        <v>8</v>
      </c>
      <c r="E2164" t="s">
        <v>16</v>
      </c>
      <c r="F2164" t="s">
        <v>17</v>
      </c>
      <c r="G2164" t="s">
        <v>286</v>
      </c>
      <c r="H2164">
        <v>156366</v>
      </c>
      <c r="I2164">
        <v>0</v>
      </c>
      <c r="J2164">
        <v>156366</v>
      </c>
      <c r="L2164">
        <v>33</v>
      </c>
      <c r="M2164">
        <v>540</v>
      </c>
      <c r="N2164" t="s">
        <v>206</v>
      </c>
      <c r="O2164" t="s">
        <v>207</v>
      </c>
    </row>
    <row r="2165" spans="2:15" x14ac:dyDescent="0.25">
      <c r="B2165" t="s">
        <v>285</v>
      </c>
      <c r="C2165" s="4">
        <v>44785</v>
      </c>
      <c r="D2165">
        <v>8</v>
      </c>
      <c r="E2165" t="s">
        <v>16</v>
      </c>
      <c r="F2165" t="s">
        <v>125</v>
      </c>
      <c r="G2165" t="s">
        <v>286</v>
      </c>
      <c r="H2165">
        <v>0</v>
      </c>
      <c r="I2165">
        <v>505548</v>
      </c>
      <c r="J2165">
        <v>-505548</v>
      </c>
      <c r="L2165">
        <v>33</v>
      </c>
      <c r="M2165">
        <v>541</v>
      </c>
      <c r="N2165" t="s">
        <v>180</v>
      </c>
      <c r="O2165" t="s">
        <v>181</v>
      </c>
    </row>
    <row r="2166" spans="2:15" x14ac:dyDescent="0.25">
      <c r="B2166" t="s">
        <v>285</v>
      </c>
      <c r="C2166" s="4">
        <v>44785</v>
      </c>
      <c r="D2166">
        <v>8</v>
      </c>
      <c r="E2166" t="s">
        <v>16</v>
      </c>
      <c r="F2166" t="s">
        <v>17</v>
      </c>
      <c r="G2166" t="s">
        <v>286</v>
      </c>
      <c r="H2166">
        <v>505548</v>
      </c>
      <c r="I2166">
        <v>0</v>
      </c>
      <c r="J2166">
        <v>505548</v>
      </c>
      <c r="L2166">
        <v>33</v>
      </c>
      <c r="M2166">
        <v>541</v>
      </c>
      <c r="N2166" t="s">
        <v>180</v>
      </c>
      <c r="O2166" t="s">
        <v>181</v>
      </c>
    </row>
    <row r="2167" spans="2:15" x14ac:dyDescent="0.25">
      <c r="B2167" t="s">
        <v>285</v>
      </c>
      <c r="C2167" s="4">
        <v>44790</v>
      </c>
      <c r="D2167">
        <v>8</v>
      </c>
      <c r="E2167" t="s">
        <v>16</v>
      </c>
      <c r="F2167" t="s">
        <v>125</v>
      </c>
      <c r="G2167" t="s">
        <v>286</v>
      </c>
      <c r="H2167">
        <v>0</v>
      </c>
      <c r="I2167">
        <v>907970</v>
      </c>
      <c r="J2167">
        <v>-907970</v>
      </c>
      <c r="L2167">
        <v>33</v>
      </c>
      <c r="M2167">
        <v>542</v>
      </c>
      <c r="N2167" t="s">
        <v>176</v>
      </c>
      <c r="O2167" t="s">
        <v>177</v>
      </c>
    </row>
    <row r="2168" spans="2:15" x14ac:dyDescent="0.25">
      <c r="B2168" t="s">
        <v>285</v>
      </c>
      <c r="C2168" s="4">
        <v>44790</v>
      </c>
      <c r="D2168">
        <v>8</v>
      </c>
      <c r="E2168" t="s">
        <v>16</v>
      </c>
      <c r="F2168" t="s">
        <v>17</v>
      </c>
      <c r="G2168" t="s">
        <v>286</v>
      </c>
      <c r="H2168">
        <v>907970</v>
      </c>
      <c r="I2168">
        <v>0</v>
      </c>
      <c r="J2168">
        <v>907970</v>
      </c>
      <c r="L2168">
        <v>33</v>
      </c>
      <c r="M2168">
        <v>542</v>
      </c>
      <c r="N2168" t="s">
        <v>176</v>
      </c>
      <c r="O2168" t="s">
        <v>177</v>
      </c>
    </row>
    <row r="2169" spans="2:15" x14ac:dyDescent="0.25">
      <c r="B2169" t="s">
        <v>285</v>
      </c>
      <c r="C2169" s="4">
        <v>44796</v>
      </c>
      <c r="D2169">
        <v>8</v>
      </c>
      <c r="E2169" t="s">
        <v>16</v>
      </c>
      <c r="F2169" t="s">
        <v>125</v>
      </c>
      <c r="G2169" t="s">
        <v>286</v>
      </c>
      <c r="H2169">
        <v>0</v>
      </c>
      <c r="I2169">
        <v>166541</v>
      </c>
      <c r="J2169">
        <v>-166541</v>
      </c>
      <c r="L2169">
        <v>33</v>
      </c>
      <c r="M2169">
        <v>543</v>
      </c>
      <c r="N2169" t="s">
        <v>234</v>
      </c>
      <c r="O2169" t="s">
        <v>235</v>
      </c>
    </row>
    <row r="2170" spans="2:15" x14ac:dyDescent="0.25">
      <c r="B2170" t="s">
        <v>285</v>
      </c>
      <c r="C2170" s="4">
        <v>44796</v>
      </c>
      <c r="D2170">
        <v>8</v>
      </c>
      <c r="E2170" t="s">
        <v>16</v>
      </c>
      <c r="F2170" t="s">
        <v>17</v>
      </c>
      <c r="G2170" t="s">
        <v>286</v>
      </c>
      <c r="H2170">
        <v>166541</v>
      </c>
      <c r="I2170">
        <v>0</v>
      </c>
      <c r="J2170">
        <v>166541</v>
      </c>
      <c r="L2170">
        <v>33</v>
      </c>
      <c r="M2170">
        <v>543</v>
      </c>
      <c r="N2170" t="s">
        <v>234</v>
      </c>
      <c r="O2170" t="s">
        <v>235</v>
      </c>
    </row>
    <row r="2171" spans="2:15" x14ac:dyDescent="0.25">
      <c r="B2171" t="s">
        <v>285</v>
      </c>
      <c r="C2171" s="4">
        <v>44798</v>
      </c>
      <c r="D2171">
        <v>8</v>
      </c>
      <c r="E2171" t="s">
        <v>16</v>
      </c>
      <c r="F2171" t="s">
        <v>125</v>
      </c>
      <c r="G2171" t="s">
        <v>286</v>
      </c>
      <c r="H2171">
        <v>0</v>
      </c>
      <c r="I2171">
        <v>147489</v>
      </c>
      <c r="J2171">
        <v>-147489</v>
      </c>
      <c r="L2171">
        <v>33</v>
      </c>
      <c r="M2171">
        <v>544</v>
      </c>
      <c r="N2171" t="s">
        <v>238</v>
      </c>
      <c r="O2171" t="s">
        <v>239</v>
      </c>
    </row>
    <row r="2172" spans="2:15" x14ac:dyDescent="0.25">
      <c r="B2172" t="s">
        <v>285</v>
      </c>
      <c r="C2172" s="4">
        <v>44798</v>
      </c>
      <c r="D2172">
        <v>8</v>
      </c>
      <c r="E2172" t="s">
        <v>16</v>
      </c>
      <c r="F2172" t="s">
        <v>17</v>
      </c>
      <c r="G2172" t="s">
        <v>286</v>
      </c>
      <c r="H2172">
        <v>147489</v>
      </c>
      <c r="I2172">
        <v>0</v>
      </c>
      <c r="J2172">
        <v>147489</v>
      </c>
      <c r="L2172">
        <v>33</v>
      </c>
      <c r="M2172">
        <v>544</v>
      </c>
      <c r="N2172" t="s">
        <v>238</v>
      </c>
      <c r="O2172" t="s">
        <v>239</v>
      </c>
    </row>
    <row r="2173" spans="2:15" x14ac:dyDescent="0.25">
      <c r="B2173" t="s">
        <v>285</v>
      </c>
      <c r="C2173" s="4">
        <v>44817</v>
      </c>
      <c r="D2173">
        <v>9</v>
      </c>
      <c r="E2173" t="s">
        <v>16</v>
      </c>
      <c r="F2173" t="s">
        <v>125</v>
      </c>
      <c r="G2173" t="s">
        <v>286</v>
      </c>
      <c r="H2173">
        <v>0</v>
      </c>
      <c r="I2173">
        <v>177310</v>
      </c>
      <c r="J2173">
        <v>-177310</v>
      </c>
      <c r="L2173">
        <v>33</v>
      </c>
      <c r="M2173">
        <v>545</v>
      </c>
      <c r="N2173" t="s">
        <v>228</v>
      </c>
      <c r="O2173" t="s">
        <v>229</v>
      </c>
    </row>
    <row r="2174" spans="2:15" x14ac:dyDescent="0.25">
      <c r="B2174" t="s">
        <v>285</v>
      </c>
      <c r="C2174" s="4">
        <v>44817</v>
      </c>
      <c r="D2174">
        <v>9</v>
      </c>
      <c r="E2174" t="s">
        <v>16</v>
      </c>
      <c r="F2174" t="s">
        <v>17</v>
      </c>
      <c r="G2174" t="s">
        <v>286</v>
      </c>
      <c r="H2174">
        <v>177310</v>
      </c>
      <c r="I2174">
        <v>0</v>
      </c>
      <c r="J2174">
        <v>177310</v>
      </c>
      <c r="L2174">
        <v>33</v>
      </c>
      <c r="M2174">
        <v>545</v>
      </c>
      <c r="N2174" t="s">
        <v>228</v>
      </c>
      <c r="O2174" t="s">
        <v>229</v>
      </c>
    </row>
    <row r="2175" spans="2:15" x14ac:dyDescent="0.25">
      <c r="B2175" t="s">
        <v>285</v>
      </c>
      <c r="C2175" s="4">
        <v>44817</v>
      </c>
      <c r="D2175">
        <v>9</v>
      </c>
      <c r="E2175" t="s">
        <v>16</v>
      </c>
      <c r="F2175" t="s">
        <v>125</v>
      </c>
      <c r="G2175" t="s">
        <v>286</v>
      </c>
      <c r="H2175">
        <v>0</v>
      </c>
      <c r="I2175">
        <v>604044</v>
      </c>
      <c r="J2175">
        <v>-604044</v>
      </c>
      <c r="L2175">
        <v>33</v>
      </c>
      <c r="M2175">
        <v>546</v>
      </c>
      <c r="N2175" t="s">
        <v>180</v>
      </c>
      <c r="O2175" t="s">
        <v>181</v>
      </c>
    </row>
    <row r="2176" spans="2:15" x14ac:dyDescent="0.25">
      <c r="B2176" t="s">
        <v>285</v>
      </c>
      <c r="C2176" s="4">
        <v>44817</v>
      </c>
      <c r="D2176">
        <v>9</v>
      </c>
      <c r="E2176" t="s">
        <v>16</v>
      </c>
      <c r="F2176" t="s">
        <v>17</v>
      </c>
      <c r="G2176" t="s">
        <v>286</v>
      </c>
      <c r="H2176">
        <v>604044</v>
      </c>
      <c r="I2176">
        <v>0</v>
      </c>
      <c r="J2176">
        <v>604044</v>
      </c>
      <c r="L2176">
        <v>33</v>
      </c>
      <c r="M2176">
        <v>546</v>
      </c>
      <c r="N2176" t="s">
        <v>180</v>
      </c>
      <c r="O2176" t="s">
        <v>181</v>
      </c>
    </row>
    <row r="2177" spans="2:15" x14ac:dyDescent="0.25">
      <c r="B2177" t="s">
        <v>285</v>
      </c>
      <c r="C2177" s="4">
        <v>44818</v>
      </c>
      <c r="D2177">
        <v>9</v>
      </c>
      <c r="E2177" t="s">
        <v>16</v>
      </c>
      <c r="F2177" t="s">
        <v>125</v>
      </c>
      <c r="G2177" t="s">
        <v>286</v>
      </c>
      <c r="H2177">
        <v>0</v>
      </c>
      <c r="I2177">
        <v>47005</v>
      </c>
      <c r="J2177">
        <v>-47005</v>
      </c>
      <c r="L2177">
        <v>33</v>
      </c>
      <c r="M2177">
        <v>547</v>
      </c>
      <c r="N2177" t="s">
        <v>188</v>
      </c>
      <c r="O2177" t="s">
        <v>189</v>
      </c>
    </row>
    <row r="2178" spans="2:15" x14ac:dyDescent="0.25">
      <c r="B2178" t="s">
        <v>285</v>
      </c>
      <c r="C2178" s="4">
        <v>44818</v>
      </c>
      <c r="D2178">
        <v>9</v>
      </c>
      <c r="E2178" t="s">
        <v>16</v>
      </c>
      <c r="F2178" t="s">
        <v>17</v>
      </c>
      <c r="G2178" t="s">
        <v>286</v>
      </c>
      <c r="H2178">
        <v>47005</v>
      </c>
      <c r="I2178">
        <v>0</v>
      </c>
      <c r="J2178">
        <v>47005</v>
      </c>
      <c r="L2178">
        <v>33</v>
      </c>
      <c r="M2178">
        <v>547</v>
      </c>
      <c r="N2178" t="s">
        <v>188</v>
      </c>
      <c r="O2178" t="s">
        <v>189</v>
      </c>
    </row>
    <row r="2179" spans="2:15" x14ac:dyDescent="0.25">
      <c r="B2179" t="s">
        <v>285</v>
      </c>
      <c r="C2179" s="4">
        <v>44824</v>
      </c>
      <c r="D2179">
        <v>9</v>
      </c>
      <c r="E2179" t="s">
        <v>16</v>
      </c>
      <c r="F2179" t="s">
        <v>125</v>
      </c>
      <c r="G2179" t="s">
        <v>286</v>
      </c>
      <c r="H2179">
        <v>0</v>
      </c>
      <c r="I2179">
        <v>326893</v>
      </c>
      <c r="J2179">
        <v>-326893</v>
      </c>
      <c r="L2179">
        <v>33</v>
      </c>
      <c r="M2179">
        <v>548</v>
      </c>
      <c r="N2179" t="s">
        <v>240</v>
      </c>
      <c r="O2179" t="s">
        <v>241</v>
      </c>
    </row>
    <row r="2180" spans="2:15" x14ac:dyDescent="0.25">
      <c r="B2180" t="s">
        <v>285</v>
      </c>
      <c r="C2180" s="4">
        <v>44824</v>
      </c>
      <c r="D2180">
        <v>9</v>
      </c>
      <c r="E2180" t="s">
        <v>16</v>
      </c>
      <c r="F2180" t="s">
        <v>17</v>
      </c>
      <c r="G2180" t="s">
        <v>286</v>
      </c>
      <c r="H2180">
        <v>326893</v>
      </c>
      <c r="I2180">
        <v>0</v>
      </c>
      <c r="J2180">
        <v>326893</v>
      </c>
      <c r="L2180">
        <v>33</v>
      </c>
      <c r="M2180">
        <v>548</v>
      </c>
      <c r="N2180" t="s">
        <v>240</v>
      </c>
      <c r="O2180" t="s">
        <v>241</v>
      </c>
    </row>
    <row r="2181" spans="2:15" x14ac:dyDescent="0.25">
      <c r="B2181" t="s">
        <v>285</v>
      </c>
      <c r="C2181" s="4">
        <v>44826</v>
      </c>
      <c r="D2181">
        <v>9</v>
      </c>
      <c r="E2181" t="s">
        <v>16</v>
      </c>
      <c r="F2181" t="s">
        <v>125</v>
      </c>
      <c r="G2181" t="s">
        <v>286</v>
      </c>
      <c r="H2181">
        <v>0</v>
      </c>
      <c r="I2181">
        <v>166600</v>
      </c>
      <c r="J2181">
        <v>-166600</v>
      </c>
      <c r="L2181">
        <v>33</v>
      </c>
      <c r="M2181">
        <v>549</v>
      </c>
      <c r="N2181" t="s">
        <v>242</v>
      </c>
      <c r="O2181" t="s">
        <v>243</v>
      </c>
    </row>
    <row r="2182" spans="2:15" x14ac:dyDescent="0.25">
      <c r="B2182" t="s">
        <v>285</v>
      </c>
      <c r="C2182" s="4">
        <v>44826</v>
      </c>
      <c r="D2182">
        <v>9</v>
      </c>
      <c r="E2182" t="s">
        <v>16</v>
      </c>
      <c r="F2182" t="s">
        <v>17</v>
      </c>
      <c r="G2182" t="s">
        <v>286</v>
      </c>
      <c r="H2182">
        <v>166600</v>
      </c>
      <c r="I2182">
        <v>0</v>
      </c>
      <c r="J2182">
        <v>166600</v>
      </c>
      <c r="L2182">
        <v>33</v>
      </c>
      <c r="M2182">
        <v>549</v>
      </c>
      <c r="N2182" t="s">
        <v>242</v>
      </c>
      <c r="O2182" t="s">
        <v>243</v>
      </c>
    </row>
    <row r="2183" spans="2:15" x14ac:dyDescent="0.25">
      <c r="B2183" t="s">
        <v>285</v>
      </c>
      <c r="C2183" s="4">
        <v>44826</v>
      </c>
      <c r="D2183">
        <v>9</v>
      </c>
      <c r="E2183" t="s">
        <v>16</v>
      </c>
      <c r="F2183" t="s">
        <v>125</v>
      </c>
      <c r="G2183" t="s">
        <v>286</v>
      </c>
      <c r="H2183">
        <v>0</v>
      </c>
      <c r="I2183">
        <v>832524</v>
      </c>
      <c r="J2183">
        <v>-832524</v>
      </c>
      <c r="L2183">
        <v>33</v>
      </c>
      <c r="M2183">
        <v>550</v>
      </c>
      <c r="N2183" t="s">
        <v>244</v>
      </c>
      <c r="O2183" t="s">
        <v>245</v>
      </c>
    </row>
    <row r="2184" spans="2:15" x14ac:dyDescent="0.25">
      <c r="B2184" t="s">
        <v>285</v>
      </c>
      <c r="C2184" s="4">
        <v>44826</v>
      </c>
      <c r="D2184">
        <v>9</v>
      </c>
      <c r="E2184" t="s">
        <v>16</v>
      </c>
      <c r="F2184" t="s">
        <v>17</v>
      </c>
      <c r="G2184" t="s">
        <v>286</v>
      </c>
      <c r="H2184">
        <v>832524</v>
      </c>
      <c r="I2184">
        <v>0</v>
      </c>
      <c r="J2184">
        <v>832524</v>
      </c>
      <c r="L2184">
        <v>33</v>
      </c>
      <c r="M2184">
        <v>550</v>
      </c>
      <c r="N2184" t="s">
        <v>244</v>
      </c>
      <c r="O2184" t="s">
        <v>245</v>
      </c>
    </row>
    <row r="2185" spans="2:15" x14ac:dyDescent="0.25">
      <c r="B2185" t="s">
        <v>285</v>
      </c>
      <c r="C2185" s="4">
        <v>44826</v>
      </c>
      <c r="D2185">
        <v>9</v>
      </c>
      <c r="E2185" t="s">
        <v>16</v>
      </c>
      <c r="F2185" t="s">
        <v>125</v>
      </c>
      <c r="G2185" t="s">
        <v>286</v>
      </c>
      <c r="H2185">
        <v>0</v>
      </c>
      <c r="I2185">
        <v>1251999</v>
      </c>
      <c r="J2185">
        <v>-1251999</v>
      </c>
      <c r="L2185">
        <v>33</v>
      </c>
      <c r="M2185">
        <v>552</v>
      </c>
      <c r="N2185" t="s">
        <v>246</v>
      </c>
      <c r="O2185" t="s">
        <v>247</v>
      </c>
    </row>
    <row r="2186" spans="2:15" x14ac:dyDescent="0.25">
      <c r="B2186" t="s">
        <v>285</v>
      </c>
      <c r="C2186" s="4">
        <v>44826</v>
      </c>
      <c r="D2186">
        <v>9</v>
      </c>
      <c r="E2186" t="s">
        <v>16</v>
      </c>
      <c r="F2186" t="s">
        <v>17</v>
      </c>
      <c r="G2186" t="s">
        <v>286</v>
      </c>
      <c r="H2186">
        <v>1251999</v>
      </c>
      <c r="I2186">
        <v>0</v>
      </c>
      <c r="J2186">
        <v>1251999</v>
      </c>
      <c r="L2186">
        <v>33</v>
      </c>
      <c r="M2186">
        <v>552</v>
      </c>
      <c r="N2186" t="s">
        <v>246</v>
      </c>
      <c r="O2186" t="s">
        <v>247</v>
      </c>
    </row>
    <row r="2187" spans="2:15" x14ac:dyDescent="0.25">
      <c r="B2187" t="s">
        <v>285</v>
      </c>
      <c r="C2187" s="4">
        <v>44830</v>
      </c>
      <c r="D2187">
        <v>9</v>
      </c>
      <c r="E2187" t="s">
        <v>16</v>
      </c>
      <c r="F2187" t="s">
        <v>125</v>
      </c>
      <c r="G2187" t="s">
        <v>286</v>
      </c>
      <c r="H2187">
        <v>0</v>
      </c>
      <c r="I2187">
        <v>437920</v>
      </c>
      <c r="J2187">
        <v>-437920</v>
      </c>
      <c r="L2187">
        <v>33</v>
      </c>
      <c r="M2187">
        <v>553</v>
      </c>
      <c r="N2187" t="s">
        <v>248</v>
      </c>
      <c r="O2187" t="s">
        <v>249</v>
      </c>
    </row>
    <row r="2188" spans="2:15" x14ac:dyDescent="0.25">
      <c r="B2188" t="s">
        <v>285</v>
      </c>
      <c r="C2188" s="4">
        <v>44830</v>
      </c>
      <c r="D2188">
        <v>9</v>
      </c>
      <c r="E2188" t="s">
        <v>16</v>
      </c>
      <c r="F2188" t="s">
        <v>17</v>
      </c>
      <c r="G2188" t="s">
        <v>286</v>
      </c>
      <c r="H2188">
        <v>437920</v>
      </c>
      <c r="I2188">
        <v>0</v>
      </c>
      <c r="J2188">
        <v>437920</v>
      </c>
      <c r="L2188">
        <v>33</v>
      </c>
      <c r="M2188">
        <v>553</v>
      </c>
      <c r="N2188" t="s">
        <v>248</v>
      </c>
      <c r="O2188" t="s">
        <v>249</v>
      </c>
    </row>
    <row r="2189" spans="2:15" x14ac:dyDescent="0.25">
      <c r="B2189" t="s">
        <v>285</v>
      </c>
      <c r="C2189" s="4">
        <v>44837</v>
      </c>
      <c r="D2189">
        <v>10</v>
      </c>
      <c r="E2189" t="s">
        <v>16</v>
      </c>
      <c r="F2189" t="s">
        <v>125</v>
      </c>
      <c r="G2189" t="s">
        <v>286</v>
      </c>
      <c r="H2189">
        <v>0</v>
      </c>
      <c r="I2189">
        <v>80825</v>
      </c>
      <c r="J2189">
        <v>-80825</v>
      </c>
      <c r="L2189">
        <v>33</v>
      </c>
      <c r="M2189">
        <v>554</v>
      </c>
      <c r="N2189" t="s">
        <v>196</v>
      </c>
      <c r="O2189" t="s">
        <v>197</v>
      </c>
    </row>
    <row r="2190" spans="2:15" x14ac:dyDescent="0.25">
      <c r="B2190" t="s">
        <v>285</v>
      </c>
      <c r="C2190" s="4">
        <v>44837</v>
      </c>
      <c r="D2190">
        <v>10</v>
      </c>
      <c r="E2190" t="s">
        <v>16</v>
      </c>
      <c r="F2190" t="s">
        <v>17</v>
      </c>
      <c r="G2190" t="s">
        <v>286</v>
      </c>
      <c r="H2190">
        <v>80825</v>
      </c>
      <c r="I2190">
        <v>0</v>
      </c>
      <c r="J2190">
        <v>80825</v>
      </c>
      <c r="L2190">
        <v>33</v>
      </c>
      <c r="M2190">
        <v>554</v>
      </c>
      <c r="N2190" t="s">
        <v>196</v>
      </c>
      <c r="O2190" t="s">
        <v>197</v>
      </c>
    </row>
    <row r="2191" spans="2:15" x14ac:dyDescent="0.25">
      <c r="B2191" t="s">
        <v>285</v>
      </c>
      <c r="C2191" s="4">
        <v>44848</v>
      </c>
      <c r="D2191">
        <v>10</v>
      </c>
      <c r="E2191" t="s">
        <v>16</v>
      </c>
      <c r="F2191" t="s">
        <v>125</v>
      </c>
      <c r="G2191" t="s">
        <v>286</v>
      </c>
      <c r="H2191">
        <v>0</v>
      </c>
      <c r="I2191">
        <v>6664</v>
      </c>
      <c r="J2191">
        <v>-6664</v>
      </c>
      <c r="L2191">
        <v>33</v>
      </c>
      <c r="M2191">
        <v>555</v>
      </c>
      <c r="N2191" t="s">
        <v>250</v>
      </c>
      <c r="O2191" t="s">
        <v>251</v>
      </c>
    </row>
    <row r="2192" spans="2:15" x14ac:dyDescent="0.25">
      <c r="B2192" t="s">
        <v>285</v>
      </c>
      <c r="C2192" s="4">
        <v>44848</v>
      </c>
      <c r="D2192">
        <v>10</v>
      </c>
      <c r="E2192" t="s">
        <v>16</v>
      </c>
      <c r="F2192" t="s">
        <v>17</v>
      </c>
      <c r="G2192" t="s">
        <v>286</v>
      </c>
      <c r="H2192">
        <v>6664</v>
      </c>
      <c r="I2192">
        <v>0</v>
      </c>
      <c r="J2192">
        <v>6664</v>
      </c>
      <c r="L2192">
        <v>33</v>
      </c>
      <c r="M2192">
        <v>555</v>
      </c>
      <c r="N2192" t="s">
        <v>250</v>
      </c>
      <c r="O2192" t="s">
        <v>251</v>
      </c>
    </row>
    <row r="2193" spans="2:15" x14ac:dyDescent="0.25">
      <c r="B2193" t="s">
        <v>285</v>
      </c>
      <c r="C2193" s="4">
        <v>44848</v>
      </c>
      <c r="D2193">
        <v>10</v>
      </c>
      <c r="E2193" t="s">
        <v>16</v>
      </c>
      <c r="F2193" t="s">
        <v>125</v>
      </c>
      <c r="G2193" t="s">
        <v>286</v>
      </c>
      <c r="H2193">
        <v>0</v>
      </c>
      <c r="I2193">
        <v>297500</v>
      </c>
      <c r="J2193">
        <v>-297500</v>
      </c>
      <c r="L2193">
        <v>33</v>
      </c>
      <c r="M2193">
        <v>556</v>
      </c>
      <c r="N2193" t="s">
        <v>230</v>
      </c>
      <c r="O2193" t="s">
        <v>231</v>
      </c>
    </row>
    <row r="2194" spans="2:15" x14ac:dyDescent="0.25">
      <c r="B2194" t="s">
        <v>285</v>
      </c>
      <c r="C2194" s="4">
        <v>44848</v>
      </c>
      <c r="D2194">
        <v>10</v>
      </c>
      <c r="E2194" t="s">
        <v>16</v>
      </c>
      <c r="F2194" t="s">
        <v>17</v>
      </c>
      <c r="G2194" t="s">
        <v>286</v>
      </c>
      <c r="H2194">
        <v>297500</v>
      </c>
      <c r="I2194">
        <v>0</v>
      </c>
      <c r="J2194">
        <v>297500</v>
      </c>
      <c r="L2194">
        <v>33</v>
      </c>
      <c r="M2194">
        <v>556</v>
      </c>
      <c r="N2194" t="s">
        <v>230</v>
      </c>
      <c r="O2194" t="s">
        <v>231</v>
      </c>
    </row>
    <row r="2195" spans="2:15" x14ac:dyDescent="0.25">
      <c r="B2195" t="s">
        <v>285</v>
      </c>
      <c r="C2195" s="4">
        <v>44848</v>
      </c>
      <c r="D2195">
        <v>10</v>
      </c>
      <c r="E2195" t="s">
        <v>16</v>
      </c>
      <c r="F2195" t="s">
        <v>125</v>
      </c>
      <c r="G2195" t="s">
        <v>286</v>
      </c>
      <c r="H2195">
        <v>0</v>
      </c>
      <c r="I2195">
        <v>656880</v>
      </c>
      <c r="J2195">
        <v>-656880</v>
      </c>
      <c r="L2195">
        <v>33</v>
      </c>
      <c r="M2195">
        <v>557</v>
      </c>
      <c r="N2195" t="s">
        <v>252</v>
      </c>
      <c r="O2195" t="s">
        <v>253</v>
      </c>
    </row>
    <row r="2196" spans="2:15" x14ac:dyDescent="0.25">
      <c r="B2196" t="s">
        <v>285</v>
      </c>
      <c r="C2196" s="4">
        <v>44848</v>
      </c>
      <c r="D2196">
        <v>10</v>
      </c>
      <c r="E2196" t="s">
        <v>16</v>
      </c>
      <c r="F2196" t="s">
        <v>17</v>
      </c>
      <c r="G2196" t="s">
        <v>286</v>
      </c>
      <c r="H2196">
        <v>656880</v>
      </c>
      <c r="I2196">
        <v>0</v>
      </c>
      <c r="J2196">
        <v>656880</v>
      </c>
      <c r="L2196">
        <v>33</v>
      </c>
      <c r="M2196">
        <v>557</v>
      </c>
      <c r="N2196" t="s">
        <v>252</v>
      </c>
      <c r="O2196" t="s">
        <v>253</v>
      </c>
    </row>
    <row r="2197" spans="2:15" x14ac:dyDescent="0.25">
      <c r="B2197" t="s">
        <v>285</v>
      </c>
      <c r="C2197" s="4">
        <v>44848</v>
      </c>
      <c r="D2197">
        <v>10</v>
      </c>
      <c r="E2197" t="s">
        <v>16</v>
      </c>
      <c r="F2197" t="s">
        <v>125</v>
      </c>
      <c r="G2197" t="s">
        <v>286</v>
      </c>
      <c r="H2197">
        <v>0</v>
      </c>
      <c r="I2197">
        <v>297500</v>
      </c>
      <c r="J2197">
        <v>-297500</v>
      </c>
      <c r="L2197">
        <v>33</v>
      </c>
      <c r="M2197">
        <v>558</v>
      </c>
      <c r="N2197" t="s">
        <v>230</v>
      </c>
      <c r="O2197" t="s">
        <v>231</v>
      </c>
    </row>
    <row r="2198" spans="2:15" x14ac:dyDescent="0.25">
      <c r="B2198" t="s">
        <v>285</v>
      </c>
      <c r="C2198" s="4">
        <v>44848</v>
      </c>
      <c r="D2198">
        <v>10</v>
      </c>
      <c r="E2198" t="s">
        <v>16</v>
      </c>
      <c r="F2198" t="s">
        <v>17</v>
      </c>
      <c r="G2198" t="s">
        <v>286</v>
      </c>
      <c r="H2198">
        <v>297500</v>
      </c>
      <c r="I2198">
        <v>0</v>
      </c>
      <c r="J2198">
        <v>297500</v>
      </c>
      <c r="L2198">
        <v>33</v>
      </c>
      <c r="M2198">
        <v>558</v>
      </c>
      <c r="N2198" t="s">
        <v>230</v>
      </c>
      <c r="O2198" t="s">
        <v>231</v>
      </c>
    </row>
    <row r="2199" spans="2:15" x14ac:dyDescent="0.25">
      <c r="B2199" t="s">
        <v>285</v>
      </c>
      <c r="C2199" s="4">
        <v>44848</v>
      </c>
      <c r="D2199">
        <v>10</v>
      </c>
      <c r="E2199" t="s">
        <v>16</v>
      </c>
      <c r="F2199" t="s">
        <v>125</v>
      </c>
      <c r="G2199" t="s">
        <v>286</v>
      </c>
      <c r="H2199">
        <v>0</v>
      </c>
      <c r="I2199">
        <v>1140960</v>
      </c>
      <c r="J2199">
        <v>-1140960</v>
      </c>
      <c r="L2199">
        <v>33</v>
      </c>
      <c r="M2199">
        <v>559</v>
      </c>
      <c r="N2199" t="s">
        <v>206</v>
      </c>
      <c r="O2199" t="s">
        <v>207</v>
      </c>
    </row>
    <row r="2200" spans="2:15" x14ac:dyDescent="0.25">
      <c r="B2200" t="s">
        <v>285</v>
      </c>
      <c r="C2200" s="4">
        <v>44848</v>
      </c>
      <c r="D2200">
        <v>10</v>
      </c>
      <c r="E2200" t="s">
        <v>16</v>
      </c>
      <c r="F2200" t="s">
        <v>17</v>
      </c>
      <c r="G2200" t="s">
        <v>286</v>
      </c>
      <c r="H2200">
        <v>1140960</v>
      </c>
      <c r="I2200">
        <v>0</v>
      </c>
      <c r="J2200">
        <v>1140960</v>
      </c>
      <c r="L2200">
        <v>33</v>
      </c>
      <c r="M2200">
        <v>559</v>
      </c>
      <c r="N2200" t="s">
        <v>206</v>
      </c>
      <c r="O2200" t="s">
        <v>207</v>
      </c>
    </row>
    <row r="2201" spans="2:15" x14ac:dyDescent="0.25">
      <c r="B2201" t="s">
        <v>285</v>
      </c>
      <c r="C2201" s="4">
        <v>44848</v>
      </c>
      <c r="D2201">
        <v>10</v>
      </c>
      <c r="E2201" t="s">
        <v>16</v>
      </c>
      <c r="F2201" t="s">
        <v>125</v>
      </c>
      <c r="G2201" t="s">
        <v>286</v>
      </c>
      <c r="H2201">
        <v>0</v>
      </c>
      <c r="I2201">
        <v>456127</v>
      </c>
      <c r="J2201">
        <v>-456127</v>
      </c>
      <c r="L2201">
        <v>33</v>
      </c>
      <c r="M2201">
        <v>560</v>
      </c>
      <c r="N2201" t="s">
        <v>216</v>
      </c>
      <c r="O2201" t="s">
        <v>217</v>
      </c>
    </row>
    <row r="2202" spans="2:15" x14ac:dyDescent="0.25">
      <c r="B2202" t="s">
        <v>285</v>
      </c>
      <c r="C2202" s="4">
        <v>44848</v>
      </c>
      <c r="D2202">
        <v>10</v>
      </c>
      <c r="E2202" t="s">
        <v>16</v>
      </c>
      <c r="F2202" t="s">
        <v>17</v>
      </c>
      <c r="G2202" t="s">
        <v>286</v>
      </c>
      <c r="H2202">
        <v>456127</v>
      </c>
      <c r="I2202">
        <v>0</v>
      </c>
      <c r="J2202">
        <v>456127</v>
      </c>
      <c r="L2202">
        <v>33</v>
      </c>
      <c r="M2202">
        <v>560</v>
      </c>
      <c r="N2202" t="s">
        <v>216</v>
      </c>
      <c r="O2202" t="s">
        <v>217</v>
      </c>
    </row>
    <row r="2203" spans="2:15" x14ac:dyDescent="0.25">
      <c r="B2203" t="s">
        <v>285</v>
      </c>
      <c r="C2203" s="4">
        <v>44848</v>
      </c>
      <c r="D2203">
        <v>10</v>
      </c>
      <c r="E2203" t="s">
        <v>16</v>
      </c>
      <c r="F2203" t="s">
        <v>125</v>
      </c>
      <c r="G2203" t="s">
        <v>286</v>
      </c>
      <c r="H2203">
        <v>0</v>
      </c>
      <c r="I2203">
        <v>99365</v>
      </c>
      <c r="J2203">
        <v>-99365</v>
      </c>
      <c r="L2203">
        <v>33</v>
      </c>
      <c r="M2203">
        <v>561</v>
      </c>
      <c r="N2203" t="s">
        <v>246</v>
      </c>
      <c r="O2203" t="s">
        <v>247</v>
      </c>
    </row>
    <row r="2204" spans="2:15" x14ac:dyDescent="0.25">
      <c r="B2204" t="s">
        <v>285</v>
      </c>
      <c r="C2204" s="4">
        <v>44848</v>
      </c>
      <c r="D2204">
        <v>10</v>
      </c>
      <c r="E2204" t="s">
        <v>16</v>
      </c>
      <c r="F2204" t="s">
        <v>17</v>
      </c>
      <c r="G2204" t="s">
        <v>286</v>
      </c>
      <c r="H2204">
        <v>99365</v>
      </c>
      <c r="I2204">
        <v>0</v>
      </c>
      <c r="J2204">
        <v>99365</v>
      </c>
      <c r="L2204">
        <v>33</v>
      </c>
      <c r="M2204">
        <v>561</v>
      </c>
      <c r="N2204" t="s">
        <v>246</v>
      </c>
      <c r="O2204" t="s">
        <v>247</v>
      </c>
    </row>
    <row r="2205" spans="2:15" x14ac:dyDescent="0.25">
      <c r="B2205" t="s">
        <v>285</v>
      </c>
      <c r="C2205" s="4">
        <v>44848</v>
      </c>
      <c r="D2205">
        <v>10</v>
      </c>
      <c r="E2205" t="s">
        <v>16</v>
      </c>
      <c r="F2205" t="s">
        <v>125</v>
      </c>
      <c r="G2205" t="s">
        <v>286</v>
      </c>
      <c r="H2205">
        <v>0</v>
      </c>
      <c r="I2205">
        <v>47362</v>
      </c>
      <c r="J2205">
        <v>-47362</v>
      </c>
      <c r="L2205">
        <v>33</v>
      </c>
      <c r="M2205">
        <v>562</v>
      </c>
      <c r="N2205" t="s">
        <v>156</v>
      </c>
      <c r="O2205" t="s">
        <v>157</v>
      </c>
    </row>
    <row r="2206" spans="2:15" x14ac:dyDescent="0.25">
      <c r="B2206" t="s">
        <v>285</v>
      </c>
      <c r="C2206" s="4">
        <v>44848</v>
      </c>
      <c r="D2206">
        <v>10</v>
      </c>
      <c r="E2206" t="s">
        <v>16</v>
      </c>
      <c r="F2206" t="s">
        <v>17</v>
      </c>
      <c r="G2206" t="s">
        <v>286</v>
      </c>
      <c r="H2206">
        <v>47362</v>
      </c>
      <c r="I2206">
        <v>0</v>
      </c>
      <c r="J2206">
        <v>47362</v>
      </c>
      <c r="L2206">
        <v>33</v>
      </c>
      <c r="M2206">
        <v>562</v>
      </c>
      <c r="N2206" t="s">
        <v>156</v>
      </c>
      <c r="O2206" t="s">
        <v>157</v>
      </c>
    </row>
    <row r="2207" spans="2:15" x14ac:dyDescent="0.25">
      <c r="B2207" t="s">
        <v>285</v>
      </c>
      <c r="C2207" s="4">
        <v>44858</v>
      </c>
      <c r="D2207">
        <v>10</v>
      </c>
      <c r="E2207" t="s">
        <v>16</v>
      </c>
      <c r="F2207" t="s">
        <v>125</v>
      </c>
      <c r="G2207" t="s">
        <v>286</v>
      </c>
      <c r="H2207">
        <v>0</v>
      </c>
      <c r="I2207">
        <v>53431</v>
      </c>
      <c r="J2207">
        <v>-53431</v>
      </c>
      <c r="L2207">
        <v>33</v>
      </c>
      <c r="M2207">
        <v>563</v>
      </c>
      <c r="N2207" t="s">
        <v>254</v>
      </c>
      <c r="O2207" t="s">
        <v>255</v>
      </c>
    </row>
    <row r="2208" spans="2:15" x14ac:dyDescent="0.25">
      <c r="B2208" t="s">
        <v>285</v>
      </c>
      <c r="C2208" s="4">
        <v>44858</v>
      </c>
      <c r="D2208">
        <v>10</v>
      </c>
      <c r="E2208" t="s">
        <v>16</v>
      </c>
      <c r="F2208" t="s">
        <v>17</v>
      </c>
      <c r="G2208" t="s">
        <v>286</v>
      </c>
      <c r="H2208">
        <v>53431</v>
      </c>
      <c r="I2208">
        <v>0</v>
      </c>
      <c r="J2208">
        <v>53431</v>
      </c>
      <c r="L2208">
        <v>33</v>
      </c>
      <c r="M2208">
        <v>563</v>
      </c>
      <c r="N2208" t="s">
        <v>254</v>
      </c>
      <c r="O2208" t="s">
        <v>255</v>
      </c>
    </row>
    <row r="2209" spans="2:15" x14ac:dyDescent="0.25">
      <c r="B2209" t="s">
        <v>285</v>
      </c>
      <c r="C2209" s="4">
        <v>44858</v>
      </c>
      <c r="D2209">
        <v>10</v>
      </c>
      <c r="E2209" t="s">
        <v>16</v>
      </c>
      <c r="F2209" t="s">
        <v>125</v>
      </c>
      <c r="G2209" t="s">
        <v>286</v>
      </c>
      <c r="H2209">
        <v>0</v>
      </c>
      <c r="I2209">
        <v>92772</v>
      </c>
      <c r="J2209">
        <v>-92772</v>
      </c>
      <c r="L2209">
        <v>33</v>
      </c>
      <c r="M2209">
        <v>565</v>
      </c>
      <c r="N2209" t="s">
        <v>256</v>
      </c>
      <c r="O2209" t="s">
        <v>257</v>
      </c>
    </row>
    <row r="2210" spans="2:15" x14ac:dyDescent="0.25">
      <c r="B2210" t="s">
        <v>285</v>
      </c>
      <c r="C2210" s="4">
        <v>44858</v>
      </c>
      <c r="D2210">
        <v>10</v>
      </c>
      <c r="E2210" t="s">
        <v>16</v>
      </c>
      <c r="F2210" t="s">
        <v>17</v>
      </c>
      <c r="G2210" t="s">
        <v>286</v>
      </c>
      <c r="H2210">
        <v>92772</v>
      </c>
      <c r="I2210">
        <v>0</v>
      </c>
      <c r="J2210">
        <v>92772</v>
      </c>
      <c r="L2210">
        <v>33</v>
      </c>
      <c r="M2210">
        <v>565</v>
      </c>
      <c r="N2210" t="s">
        <v>256</v>
      </c>
      <c r="O2210" t="s">
        <v>257</v>
      </c>
    </row>
    <row r="2211" spans="2:15" x14ac:dyDescent="0.25">
      <c r="B2211" t="s">
        <v>285</v>
      </c>
      <c r="C2211" s="4">
        <v>44859</v>
      </c>
      <c r="D2211">
        <v>10</v>
      </c>
      <c r="E2211" t="s">
        <v>16</v>
      </c>
      <c r="F2211" t="s">
        <v>125</v>
      </c>
      <c r="G2211" t="s">
        <v>286</v>
      </c>
      <c r="H2211">
        <v>0</v>
      </c>
      <c r="I2211">
        <v>394485</v>
      </c>
      <c r="J2211">
        <v>-394485</v>
      </c>
      <c r="L2211">
        <v>33</v>
      </c>
      <c r="M2211">
        <v>566</v>
      </c>
      <c r="N2211" t="s">
        <v>250</v>
      </c>
      <c r="O2211" t="s">
        <v>251</v>
      </c>
    </row>
    <row r="2212" spans="2:15" x14ac:dyDescent="0.25">
      <c r="B2212" t="s">
        <v>285</v>
      </c>
      <c r="C2212" s="4">
        <v>44859</v>
      </c>
      <c r="D2212">
        <v>10</v>
      </c>
      <c r="E2212" t="s">
        <v>16</v>
      </c>
      <c r="F2212" t="s">
        <v>17</v>
      </c>
      <c r="G2212" t="s">
        <v>286</v>
      </c>
      <c r="H2212">
        <v>394485</v>
      </c>
      <c r="I2212">
        <v>0</v>
      </c>
      <c r="J2212">
        <v>394485</v>
      </c>
      <c r="L2212">
        <v>33</v>
      </c>
      <c r="M2212">
        <v>566</v>
      </c>
      <c r="N2212" t="s">
        <v>250</v>
      </c>
      <c r="O2212" t="s">
        <v>251</v>
      </c>
    </row>
    <row r="2213" spans="2:15" x14ac:dyDescent="0.25">
      <c r="B2213" t="s">
        <v>285</v>
      </c>
      <c r="C2213" s="4">
        <v>44859</v>
      </c>
      <c r="D2213">
        <v>10</v>
      </c>
      <c r="E2213" t="s">
        <v>16</v>
      </c>
      <c r="F2213" t="s">
        <v>125</v>
      </c>
      <c r="G2213" t="s">
        <v>286</v>
      </c>
      <c r="H2213">
        <v>0</v>
      </c>
      <c r="I2213">
        <v>88060</v>
      </c>
      <c r="J2213">
        <v>-88060</v>
      </c>
      <c r="L2213">
        <v>33</v>
      </c>
      <c r="M2213">
        <v>567</v>
      </c>
      <c r="N2213" t="s">
        <v>258</v>
      </c>
      <c r="O2213" t="s">
        <v>259</v>
      </c>
    </row>
    <row r="2214" spans="2:15" x14ac:dyDescent="0.25">
      <c r="B2214" t="s">
        <v>285</v>
      </c>
      <c r="C2214" s="4">
        <v>44859</v>
      </c>
      <c r="D2214">
        <v>10</v>
      </c>
      <c r="E2214" t="s">
        <v>16</v>
      </c>
      <c r="F2214" t="s">
        <v>17</v>
      </c>
      <c r="G2214" t="s">
        <v>286</v>
      </c>
      <c r="H2214">
        <v>88060</v>
      </c>
      <c r="I2214">
        <v>0</v>
      </c>
      <c r="J2214">
        <v>88060</v>
      </c>
      <c r="L2214">
        <v>33</v>
      </c>
      <c r="M2214">
        <v>567</v>
      </c>
      <c r="N2214" t="s">
        <v>258</v>
      </c>
      <c r="O2214" t="s">
        <v>259</v>
      </c>
    </row>
    <row r="2215" spans="2:15" x14ac:dyDescent="0.25">
      <c r="B2215" t="s">
        <v>285</v>
      </c>
      <c r="C2215" s="4">
        <v>44859</v>
      </c>
      <c r="D2215">
        <v>10</v>
      </c>
      <c r="E2215" t="s">
        <v>16</v>
      </c>
      <c r="F2215" t="s">
        <v>125</v>
      </c>
      <c r="G2215" t="s">
        <v>286</v>
      </c>
      <c r="H2215">
        <v>0</v>
      </c>
      <c r="I2215">
        <v>117810</v>
      </c>
      <c r="J2215">
        <v>-117810</v>
      </c>
      <c r="L2215">
        <v>33</v>
      </c>
      <c r="M2215">
        <v>568</v>
      </c>
      <c r="N2215" t="s">
        <v>260</v>
      </c>
      <c r="O2215" t="s">
        <v>261</v>
      </c>
    </row>
    <row r="2216" spans="2:15" x14ac:dyDescent="0.25">
      <c r="B2216" t="s">
        <v>285</v>
      </c>
      <c r="C2216" s="4">
        <v>44859</v>
      </c>
      <c r="D2216">
        <v>10</v>
      </c>
      <c r="E2216" t="s">
        <v>16</v>
      </c>
      <c r="F2216" t="s">
        <v>17</v>
      </c>
      <c r="G2216" t="s">
        <v>286</v>
      </c>
      <c r="H2216">
        <v>117810</v>
      </c>
      <c r="I2216">
        <v>0</v>
      </c>
      <c r="J2216">
        <v>117810</v>
      </c>
      <c r="L2216">
        <v>33</v>
      </c>
      <c r="M2216">
        <v>568</v>
      </c>
      <c r="N2216" t="s">
        <v>260</v>
      </c>
      <c r="O2216" t="s">
        <v>261</v>
      </c>
    </row>
    <row r="2217" spans="2:15" x14ac:dyDescent="0.25">
      <c r="B2217" t="s">
        <v>285</v>
      </c>
      <c r="C2217" s="4">
        <v>44859</v>
      </c>
      <c r="D2217">
        <v>10</v>
      </c>
      <c r="E2217" t="s">
        <v>16</v>
      </c>
      <c r="F2217" t="s">
        <v>125</v>
      </c>
      <c r="G2217" t="s">
        <v>286</v>
      </c>
      <c r="H2217">
        <v>0</v>
      </c>
      <c r="I2217">
        <v>1223272</v>
      </c>
      <c r="J2217">
        <v>-1223272</v>
      </c>
      <c r="L2217">
        <v>33</v>
      </c>
      <c r="M2217">
        <v>569</v>
      </c>
      <c r="N2217" t="s">
        <v>262</v>
      </c>
      <c r="O2217" t="s">
        <v>263</v>
      </c>
    </row>
    <row r="2218" spans="2:15" x14ac:dyDescent="0.25">
      <c r="B2218" t="s">
        <v>285</v>
      </c>
      <c r="C2218" s="4">
        <v>44859</v>
      </c>
      <c r="D2218">
        <v>10</v>
      </c>
      <c r="E2218" t="s">
        <v>16</v>
      </c>
      <c r="F2218" t="s">
        <v>17</v>
      </c>
      <c r="G2218" t="s">
        <v>286</v>
      </c>
      <c r="H2218">
        <v>1223272</v>
      </c>
      <c r="I2218">
        <v>0</v>
      </c>
      <c r="J2218">
        <v>1223272</v>
      </c>
      <c r="L2218">
        <v>33</v>
      </c>
      <c r="M2218">
        <v>569</v>
      </c>
      <c r="N2218" t="s">
        <v>262</v>
      </c>
      <c r="O2218" t="s">
        <v>263</v>
      </c>
    </row>
    <row r="2219" spans="2:15" x14ac:dyDescent="0.25">
      <c r="B2219" t="s">
        <v>285</v>
      </c>
      <c r="C2219" s="4">
        <v>44860</v>
      </c>
      <c r="D2219">
        <v>10</v>
      </c>
      <c r="E2219" t="s">
        <v>16</v>
      </c>
      <c r="F2219" t="s">
        <v>125</v>
      </c>
      <c r="G2219" t="s">
        <v>286</v>
      </c>
      <c r="H2219">
        <v>0</v>
      </c>
      <c r="I2219">
        <v>443965</v>
      </c>
      <c r="J2219">
        <v>-443965</v>
      </c>
      <c r="L2219">
        <v>33</v>
      </c>
      <c r="M2219">
        <v>570</v>
      </c>
      <c r="N2219" t="s">
        <v>264</v>
      </c>
      <c r="O2219" t="s">
        <v>265</v>
      </c>
    </row>
    <row r="2220" spans="2:15" x14ac:dyDescent="0.25">
      <c r="B2220" t="s">
        <v>285</v>
      </c>
      <c r="C2220" s="4">
        <v>44860</v>
      </c>
      <c r="D2220">
        <v>10</v>
      </c>
      <c r="E2220" t="s">
        <v>16</v>
      </c>
      <c r="F2220" t="s">
        <v>17</v>
      </c>
      <c r="G2220" t="s">
        <v>286</v>
      </c>
      <c r="H2220">
        <v>443965</v>
      </c>
      <c r="I2220">
        <v>0</v>
      </c>
      <c r="J2220">
        <v>443965</v>
      </c>
      <c r="L2220">
        <v>33</v>
      </c>
      <c r="M2220">
        <v>570</v>
      </c>
      <c r="N2220" t="s">
        <v>264</v>
      </c>
      <c r="O2220" t="s">
        <v>265</v>
      </c>
    </row>
    <row r="2221" spans="2:15" x14ac:dyDescent="0.25">
      <c r="B2221" t="s">
        <v>285</v>
      </c>
      <c r="C2221" s="4">
        <v>44862</v>
      </c>
      <c r="D2221">
        <v>10</v>
      </c>
      <c r="E2221" t="s">
        <v>16</v>
      </c>
      <c r="F2221" t="s">
        <v>125</v>
      </c>
      <c r="G2221" t="s">
        <v>286</v>
      </c>
      <c r="H2221">
        <v>0</v>
      </c>
      <c r="I2221">
        <v>171170</v>
      </c>
      <c r="J2221">
        <v>-171170</v>
      </c>
      <c r="L2221">
        <v>33</v>
      </c>
      <c r="M2221">
        <v>571</v>
      </c>
      <c r="N2221" t="s">
        <v>226</v>
      </c>
      <c r="O2221" t="s">
        <v>227</v>
      </c>
    </row>
    <row r="2222" spans="2:15" x14ac:dyDescent="0.25">
      <c r="B2222" t="s">
        <v>285</v>
      </c>
      <c r="C2222" s="4">
        <v>44862</v>
      </c>
      <c r="D2222">
        <v>10</v>
      </c>
      <c r="E2222" t="s">
        <v>16</v>
      </c>
      <c r="F2222" t="s">
        <v>17</v>
      </c>
      <c r="G2222" t="s">
        <v>286</v>
      </c>
      <c r="H2222">
        <v>171170</v>
      </c>
      <c r="I2222">
        <v>0</v>
      </c>
      <c r="J2222">
        <v>171170</v>
      </c>
      <c r="L2222">
        <v>33</v>
      </c>
      <c r="M2222">
        <v>571</v>
      </c>
      <c r="N2222" t="s">
        <v>226</v>
      </c>
      <c r="O2222" t="s">
        <v>227</v>
      </c>
    </row>
    <row r="2223" spans="2:15" x14ac:dyDescent="0.25">
      <c r="B2223" t="s">
        <v>285</v>
      </c>
      <c r="C2223" s="4">
        <v>44862</v>
      </c>
      <c r="D2223">
        <v>10</v>
      </c>
      <c r="E2223" t="s">
        <v>16</v>
      </c>
      <c r="F2223" t="s">
        <v>125</v>
      </c>
      <c r="G2223" t="s">
        <v>286</v>
      </c>
      <c r="H2223">
        <v>0</v>
      </c>
      <c r="I2223">
        <v>427924</v>
      </c>
      <c r="J2223">
        <v>-427924</v>
      </c>
      <c r="L2223">
        <v>33</v>
      </c>
      <c r="M2223">
        <v>572</v>
      </c>
      <c r="N2223" t="s">
        <v>174</v>
      </c>
      <c r="O2223" t="s">
        <v>175</v>
      </c>
    </row>
    <row r="2224" spans="2:15" x14ac:dyDescent="0.25">
      <c r="B2224" t="s">
        <v>285</v>
      </c>
      <c r="C2224" s="4">
        <v>44862</v>
      </c>
      <c r="D2224">
        <v>10</v>
      </c>
      <c r="E2224" t="s">
        <v>16</v>
      </c>
      <c r="F2224" t="s">
        <v>17</v>
      </c>
      <c r="G2224" t="s">
        <v>286</v>
      </c>
      <c r="H2224">
        <v>427924</v>
      </c>
      <c r="I2224">
        <v>0</v>
      </c>
      <c r="J2224">
        <v>427924</v>
      </c>
      <c r="L2224">
        <v>33</v>
      </c>
      <c r="M2224">
        <v>572</v>
      </c>
      <c r="N2224" t="s">
        <v>174</v>
      </c>
      <c r="O2224" t="s">
        <v>175</v>
      </c>
    </row>
    <row r="2225" spans="2:15" x14ac:dyDescent="0.25">
      <c r="B2225" t="s">
        <v>285</v>
      </c>
      <c r="C2225" s="4">
        <v>44848</v>
      </c>
      <c r="D2225">
        <v>10</v>
      </c>
      <c r="E2225" t="s">
        <v>16</v>
      </c>
      <c r="F2225" t="s">
        <v>125</v>
      </c>
      <c r="G2225" t="s">
        <v>286</v>
      </c>
      <c r="H2225">
        <v>0</v>
      </c>
      <c r="I2225">
        <v>0</v>
      </c>
      <c r="J2225">
        <v>0</v>
      </c>
      <c r="L2225">
        <v>61</v>
      </c>
      <c r="M2225">
        <v>23</v>
      </c>
      <c r="N2225" t="s">
        <v>230</v>
      </c>
      <c r="O2225" t="s">
        <v>231</v>
      </c>
    </row>
    <row r="2226" spans="2:15" x14ac:dyDescent="0.25">
      <c r="B2226" t="s">
        <v>285</v>
      </c>
      <c r="C2226" s="4">
        <v>44848</v>
      </c>
      <c r="D2226">
        <v>10</v>
      </c>
      <c r="E2226" t="s">
        <v>16</v>
      </c>
      <c r="F2226" t="s">
        <v>17</v>
      </c>
      <c r="G2226" t="s">
        <v>286</v>
      </c>
      <c r="H2226">
        <v>0</v>
      </c>
      <c r="I2226">
        <v>0</v>
      </c>
      <c r="J2226">
        <v>0</v>
      </c>
      <c r="L2226">
        <v>61</v>
      </c>
      <c r="M2226">
        <v>23</v>
      </c>
      <c r="N2226" t="s">
        <v>230</v>
      </c>
      <c r="O2226" t="s">
        <v>231</v>
      </c>
    </row>
    <row r="2227" spans="2:15" x14ac:dyDescent="0.25">
      <c r="B2227" t="s">
        <v>285</v>
      </c>
      <c r="C2227" s="4">
        <v>44848</v>
      </c>
      <c r="D2227">
        <v>10</v>
      </c>
      <c r="E2227" t="s">
        <v>16</v>
      </c>
      <c r="F2227" t="s">
        <v>125</v>
      </c>
      <c r="G2227" t="s">
        <v>286</v>
      </c>
      <c r="H2227">
        <v>297500</v>
      </c>
      <c r="I2227">
        <v>0</v>
      </c>
      <c r="J2227">
        <v>297500</v>
      </c>
      <c r="L2227">
        <v>61</v>
      </c>
      <c r="M2227">
        <v>24</v>
      </c>
      <c r="N2227" t="s">
        <v>230</v>
      </c>
      <c r="O2227" t="s">
        <v>231</v>
      </c>
    </row>
    <row r="2228" spans="2:15" x14ac:dyDescent="0.25">
      <c r="B2228" t="s">
        <v>285</v>
      </c>
      <c r="C2228" s="4">
        <v>44848</v>
      </c>
      <c r="D2228">
        <v>10</v>
      </c>
      <c r="E2228" t="s">
        <v>16</v>
      </c>
      <c r="F2228" t="s">
        <v>17</v>
      </c>
      <c r="G2228" t="s">
        <v>286</v>
      </c>
      <c r="H2228">
        <v>0</v>
      </c>
      <c r="I2228">
        <v>297500</v>
      </c>
      <c r="J2228">
        <v>-297500</v>
      </c>
      <c r="L2228">
        <v>61</v>
      </c>
      <c r="M2228">
        <v>24</v>
      </c>
      <c r="N2228" t="s">
        <v>230</v>
      </c>
      <c r="O2228" t="s">
        <v>231</v>
      </c>
    </row>
    <row r="2229" spans="2:15" x14ac:dyDescent="0.25">
      <c r="B2229" t="s">
        <v>285</v>
      </c>
      <c r="C2229" s="4">
        <v>44867</v>
      </c>
      <c r="D2229">
        <v>11</v>
      </c>
      <c r="E2229" t="s">
        <v>16</v>
      </c>
      <c r="F2229" t="s">
        <v>125</v>
      </c>
      <c r="G2229" t="s">
        <v>286</v>
      </c>
      <c r="H2229">
        <v>0</v>
      </c>
      <c r="I2229">
        <v>101638</v>
      </c>
      <c r="J2229">
        <v>-101638</v>
      </c>
      <c r="L2229">
        <v>33</v>
      </c>
      <c r="M2229">
        <v>573</v>
      </c>
      <c r="N2229" t="s">
        <v>266</v>
      </c>
      <c r="O2229" t="s">
        <v>267</v>
      </c>
    </row>
    <row r="2230" spans="2:15" x14ac:dyDescent="0.25">
      <c r="B2230" t="s">
        <v>285</v>
      </c>
      <c r="C2230" s="4">
        <v>44867</v>
      </c>
      <c r="D2230">
        <v>11</v>
      </c>
      <c r="E2230" t="s">
        <v>16</v>
      </c>
      <c r="F2230" t="s">
        <v>17</v>
      </c>
      <c r="G2230" t="s">
        <v>286</v>
      </c>
      <c r="H2230">
        <v>101638</v>
      </c>
      <c r="I2230">
        <v>0</v>
      </c>
      <c r="J2230">
        <v>101638</v>
      </c>
      <c r="L2230">
        <v>33</v>
      </c>
      <c r="M2230">
        <v>573</v>
      </c>
      <c r="N2230" t="s">
        <v>266</v>
      </c>
      <c r="O2230" t="s">
        <v>267</v>
      </c>
    </row>
    <row r="2231" spans="2:15" x14ac:dyDescent="0.25">
      <c r="B2231" t="s">
        <v>285</v>
      </c>
      <c r="C2231" s="4">
        <v>44867</v>
      </c>
      <c r="D2231">
        <v>11</v>
      </c>
      <c r="E2231" t="s">
        <v>16</v>
      </c>
      <c r="F2231" t="s">
        <v>125</v>
      </c>
      <c r="G2231" t="s">
        <v>286</v>
      </c>
      <c r="H2231">
        <v>0</v>
      </c>
      <c r="I2231">
        <v>67759</v>
      </c>
      <c r="J2231">
        <v>-67759</v>
      </c>
      <c r="L2231">
        <v>33</v>
      </c>
      <c r="M2231">
        <v>574</v>
      </c>
      <c r="N2231" t="s">
        <v>266</v>
      </c>
      <c r="O2231" t="s">
        <v>267</v>
      </c>
    </row>
    <row r="2232" spans="2:15" x14ac:dyDescent="0.25">
      <c r="B2232" t="s">
        <v>285</v>
      </c>
      <c r="C2232" s="4">
        <v>44867</v>
      </c>
      <c r="D2232">
        <v>11</v>
      </c>
      <c r="E2232" t="s">
        <v>16</v>
      </c>
      <c r="F2232" t="s">
        <v>17</v>
      </c>
      <c r="G2232" t="s">
        <v>286</v>
      </c>
      <c r="H2232">
        <v>67759</v>
      </c>
      <c r="I2232">
        <v>0</v>
      </c>
      <c r="J2232">
        <v>67759</v>
      </c>
      <c r="L2232">
        <v>33</v>
      </c>
      <c r="M2232">
        <v>574</v>
      </c>
      <c r="N2232" t="s">
        <v>266</v>
      </c>
      <c r="O2232" t="s">
        <v>267</v>
      </c>
    </row>
    <row r="2233" spans="2:15" x14ac:dyDescent="0.25">
      <c r="B2233" t="s">
        <v>285</v>
      </c>
      <c r="C2233" s="4">
        <v>44874</v>
      </c>
      <c r="D2233">
        <v>11</v>
      </c>
      <c r="E2233" t="s">
        <v>16</v>
      </c>
      <c r="F2233" t="s">
        <v>125</v>
      </c>
      <c r="G2233" t="s">
        <v>286</v>
      </c>
      <c r="H2233">
        <v>0</v>
      </c>
      <c r="I2233">
        <v>389844</v>
      </c>
      <c r="J2233">
        <v>-389844</v>
      </c>
      <c r="L2233">
        <v>33</v>
      </c>
      <c r="M2233">
        <v>575</v>
      </c>
      <c r="N2233" t="s">
        <v>250</v>
      </c>
      <c r="O2233" t="s">
        <v>251</v>
      </c>
    </row>
    <row r="2234" spans="2:15" x14ac:dyDescent="0.25">
      <c r="B2234" t="s">
        <v>285</v>
      </c>
      <c r="C2234" s="4">
        <v>44874</v>
      </c>
      <c r="D2234">
        <v>11</v>
      </c>
      <c r="E2234" t="s">
        <v>16</v>
      </c>
      <c r="F2234" t="s">
        <v>17</v>
      </c>
      <c r="G2234" t="s">
        <v>286</v>
      </c>
      <c r="H2234">
        <v>389844</v>
      </c>
      <c r="I2234">
        <v>0</v>
      </c>
      <c r="J2234">
        <v>389844</v>
      </c>
      <c r="L2234">
        <v>33</v>
      </c>
      <c r="M2234">
        <v>575</v>
      </c>
      <c r="N2234" t="s">
        <v>250</v>
      </c>
      <c r="O2234" t="s">
        <v>251</v>
      </c>
    </row>
    <row r="2235" spans="2:15" x14ac:dyDescent="0.25">
      <c r="B2235" t="s">
        <v>285</v>
      </c>
      <c r="C2235" s="4">
        <v>44874</v>
      </c>
      <c r="D2235">
        <v>11</v>
      </c>
      <c r="E2235" t="s">
        <v>16</v>
      </c>
      <c r="F2235" t="s">
        <v>125</v>
      </c>
      <c r="G2235" t="s">
        <v>286</v>
      </c>
      <c r="H2235">
        <v>0</v>
      </c>
      <c r="I2235">
        <v>414120</v>
      </c>
      <c r="J2235">
        <v>-414120</v>
      </c>
      <c r="L2235">
        <v>33</v>
      </c>
      <c r="M2235">
        <v>577</v>
      </c>
      <c r="N2235" t="s">
        <v>142</v>
      </c>
      <c r="O2235" t="s">
        <v>143</v>
      </c>
    </row>
    <row r="2236" spans="2:15" x14ac:dyDescent="0.25">
      <c r="B2236" t="s">
        <v>285</v>
      </c>
      <c r="C2236" s="4">
        <v>44874</v>
      </c>
      <c r="D2236">
        <v>11</v>
      </c>
      <c r="E2236" t="s">
        <v>16</v>
      </c>
      <c r="F2236" t="s">
        <v>17</v>
      </c>
      <c r="G2236" t="s">
        <v>286</v>
      </c>
      <c r="H2236">
        <v>414120</v>
      </c>
      <c r="I2236">
        <v>0</v>
      </c>
      <c r="J2236">
        <v>414120</v>
      </c>
      <c r="L2236">
        <v>33</v>
      </c>
      <c r="M2236">
        <v>577</v>
      </c>
      <c r="N2236" t="s">
        <v>142</v>
      </c>
      <c r="O2236" t="s">
        <v>143</v>
      </c>
    </row>
    <row r="2237" spans="2:15" x14ac:dyDescent="0.25">
      <c r="B2237" t="s">
        <v>285</v>
      </c>
      <c r="C2237" s="4">
        <v>44874</v>
      </c>
      <c r="D2237">
        <v>11</v>
      </c>
      <c r="E2237" t="s">
        <v>16</v>
      </c>
      <c r="F2237" t="s">
        <v>125</v>
      </c>
      <c r="G2237" t="s">
        <v>286</v>
      </c>
      <c r="H2237">
        <v>0</v>
      </c>
      <c r="I2237">
        <v>178357</v>
      </c>
      <c r="J2237">
        <v>-178357</v>
      </c>
      <c r="L2237">
        <v>33</v>
      </c>
      <c r="M2237">
        <v>578</v>
      </c>
      <c r="N2237" t="s">
        <v>234</v>
      </c>
      <c r="O2237" t="s">
        <v>235</v>
      </c>
    </row>
    <row r="2238" spans="2:15" x14ac:dyDescent="0.25">
      <c r="B2238" t="s">
        <v>285</v>
      </c>
      <c r="C2238" s="4">
        <v>44874</v>
      </c>
      <c r="D2238">
        <v>11</v>
      </c>
      <c r="E2238" t="s">
        <v>16</v>
      </c>
      <c r="F2238" t="s">
        <v>17</v>
      </c>
      <c r="G2238" t="s">
        <v>286</v>
      </c>
      <c r="H2238">
        <v>178357</v>
      </c>
      <c r="I2238">
        <v>0</v>
      </c>
      <c r="J2238">
        <v>178357</v>
      </c>
      <c r="L2238">
        <v>33</v>
      </c>
      <c r="M2238">
        <v>578</v>
      </c>
      <c r="N2238" t="s">
        <v>234</v>
      </c>
      <c r="O2238" t="s">
        <v>235</v>
      </c>
    </row>
    <row r="2239" spans="2:15" x14ac:dyDescent="0.25">
      <c r="B2239" t="s">
        <v>285</v>
      </c>
      <c r="C2239" s="4">
        <v>44876</v>
      </c>
      <c r="D2239">
        <v>11</v>
      </c>
      <c r="E2239" t="s">
        <v>16</v>
      </c>
      <c r="F2239" t="s">
        <v>125</v>
      </c>
      <c r="G2239" t="s">
        <v>286</v>
      </c>
      <c r="H2239">
        <v>0</v>
      </c>
      <c r="I2239">
        <v>1808800</v>
      </c>
      <c r="J2239">
        <v>-1808800</v>
      </c>
      <c r="L2239">
        <v>33</v>
      </c>
      <c r="M2239">
        <v>579</v>
      </c>
      <c r="N2239" t="s">
        <v>246</v>
      </c>
      <c r="O2239" t="s">
        <v>247</v>
      </c>
    </row>
    <row r="2240" spans="2:15" x14ac:dyDescent="0.25">
      <c r="B2240" t="s">
        <v>285</v>
      </c>
      <c r="C2240" s="4">
        <v>44876</v>
      </c>
      <c r="D2240">
        <v>11</v>
      </c>
      <c r="E2240" t="s">
        <v>16</v>
      </c>
      <c r="F2240" t="s">
        <v>17</v>
      </c>
      <c r="G2240" t="s">
        <v>286</v>
      </c>
      <c r="H2240">
        <v>1808800</v>
      </c>
      <c r="I2240">
        <v>0</v>
      </c>
      <c r="J2240">
        <v>1808800</v>
      </c>
      <c r="L2240">
        <v>33</v>
      </c>
      <c r="M2240">
        <v>579</v>
      </c>
      <c r="N2240" t="s">
        <v>246</v>
      </c>
      <c r="O2240" t="s">
        <v>247</v>
      </c>
    </row>
    <row r="2241" spans="2:15" x14ac:dyDescent="0.25">
      <c r="B2241" t="s">
        <v>285</v>
      </c>
      <c r="C2241" s="4">
        <v>44893</v>
      </c>
      <c r="D2241">
        <v>11</v>
      </c>
      <c r="E2241" t="s">
        <v>16</v>
      </c>
      <c r="F2241" t="s">
        <v>125</v>
      </c>
      <c r="G2241" t="s">
        <v>286</v>
      </c>
      <c r="H2241">
        <v>0</v>
      </c>
      <c r="I2241">
        <v>109385</v>
      </c>
      <c r="J2241">
        <v>-109385</v>
      </c>
      <c r="L2241">
        <v>33</v>
      </c>
      <c r="M2241">
        <v>580</v>
      </c>
      <c r="N2241" t="s">
        <v>268</v>
      </c>
      <c r="O2241" t="s">
        <v>269</v>
      </c>
    </row>
    <row r="2242" spans="2:15" x14ac:dyDescent="0.25">
      <c r="B2242" t="s">
        <v>285</v>
      </c>
      <c r="C2242" s="4">
        <v>44893</v>
      </c>
      <c r="D2242">
        <v>11</v>
      </c>
      <c r="E2242" t="s">
        <v>16</v>
      </c>
      <c r="F2242" t="s">
        <v>17</v>
      </c>
      <c r="G2242" t="s">
        <v>286</v>
      </c>
      <c r="H2242">
        <v>109385</v>
      </c>
      <c r="I2242">
        <v>0</v>
      </c>
      <c r="J2242">
        <v>109385</v>
      </c>
      <c r="L2242">
        <v>33</v>
      </c>
      <c r="M2242">
        <v>580</v>
      </c>
      <c r="N2242" t="s">
        <v>268</v>
      </c>
      <c r="O2242" t="s">
        <v>269</v>
      </c>
    </row>
    <row r="2243" spans="2:15" x14ac:dyDescent="0.25">
      <c r="B2243" t="s">
        <v>285</v>
      </c>
      <c r="C2243" s="4">
        <v>44893</v>
      </c>
      <c r="D2243">
        <v>11</v>
      </c>
      <c r="E2243" t="s">
        <v>16</v>
      </c>
      <c r="F2243" t="s">
        <v>125</v>
      </c>
      <c r="G2243" t="s">
        <v>286</v>
      </c>
      <c r="H2243">
        <v>0</v>
      </c>
      <c r="I2243">
        <v>272784</v>
      </c>
      <c r="J2243">
        <v>-272784</v>
      </c>
      <c r="L2243">
        <v>33</v>
      </c>
      <c r="M2243">
        <v>581</v>
      </c>
      <c r="N2243" t="s">
        <v>226</v>
      </c>
      <c r="O2243" t="s">
        <v>227</v>
      </c>
    </row>
    <row r="2244" spans="2:15" x14ac:dyDescent="0.25">
      <c r="B2244" t="s">
        <v>285</v>
      </c>
      <c r="C2244" s="4">
        <v>44893</v>
      </c>
      <c r="D2244">
        <v>11</v>
      </c>
      <c r="E2244" t="s">
        <v>16</v>
      </c>
      <c r="F2244" t="s">
        <v>17</v>
      </c>
      <c r="G2244" t="s">
        <v>286</v>
      </c>
      <c r="H2244">
        <v>272784</v>
      </c>
      <c r="I2244">
        <v>0</v>
      </c>
      <c r="J2244">
        <v>272784</v>
      </c>
      <c r="L2244">
        <v>33</v>
      </c>
      <c r="M2244">
        <v>581</v>
      </c>
      <c r="N2244" t="s">
        <v>226</v>
      </c>
      <c r="O2244" t="s">
        <v>227</v>
      </c>
    </row>
    <row r="2245" spans="2:15" x14ac:dyDescent="0.25">
      <c r="B2245" t="s">
        <v>285</v>
      </c>
      <c r="C2245" s="4">
        <v>44894</v>
      </c>
      <c r="D2245">
        <v>11</v>
      </c>
      <c r="E2245" t="s">
        <v>16</v>
      </c>
      <c r="F2245" t="s">
        <v>125</v>
      </c>
      <c r="G2245" t="s">
        <v>286</v>
      </c>
      <c r="H2245">
        <v>0</v>
      </c>
      <c r="I2245">
        <v>59500</v>
      </c>
      <c r="J2245">
        <v>-59500</v>
      </c>
      <c r="L2245">
        <v>33</v>
      </c>
      <c r="M2245">
        <v>582</v>
      </c>
      <c r="N2245" t="s">
        <v>140</v>
      </c>
      <c r="O2245" t="s">
        <v>141</v>
      </c>
    </row>
    <row r="2246" spans="2:15" x14ac:dyDescent="0.25">
      <c r="B2246" t="s">
        <v>285</v>
      </c>
      <c r="C2246" s="4">
        <v>44894</v>
      </c>
      <c r="D2246">
        <v>11</v>
      </c>
      <c r="E2246" t="s">
        <v>16</v>
      </c>
      <c r="F2246" t="s">
        <v>17</v>
      </c>
      <c r="G2246" t="s">
        <v>286</v>
      </c>
      <c r="H2246">
        <v>59500</v>
      </c>
      <c r="I2246">
        <v>0</v>
      </c>
      <c r="J2246">
        <v>59500</v>
      </c>
      <c r="L2246">
        <v>33</v>
      </c>
      <c r="M2246">
        <v>582</v>
      </c>
      <c r="N2246" t="s">
        <v>140</v>
      </c>
      <c r="O2246" t="s">
        <v>141</v>
      </c>
    </row>
    <row r="2247" spans="2:15" x14ac:dyDescent="0.25">
      <c r="B2247" t="s">
        <v>285</v>
      </c>
      <c r="C2247" s="4">
        <v>44895</v>
      </c>
      <c r="D2247">
        <v>11</v>
      </c>
      <c r="E2247" t="s">
        <v>16</v>
      </c>
      <c r="F2247" t="s">
        <v>125</v>
      </c>
      <c r="G2247" t="s">
        <v>286</v>
      </c>
      <c r="H2247">
        <v>0</v>
      </c>
      <c r="I2247">
        <v>241618</v>
      </c>
      <c r="J2247">
        <v>-241618</v>
      </c>
      <c r="L2247">
        <v>33</v>
      </c>
      <c r="M2247">
        <v>583</v>
      </c>
      <c r="N2247" t="s">
        <v>270</v>
      </c>
      <c r="O2247" t="s">
        <v>271</v>
      </c>
    </row>
    <row r="2248" spans="2:15" x14ac:dyDescent="0.25">
      <c r="B2248" t="s">
        <v>285</v>
      </c>
      <c r="C2248" s="4">
        <v>44895</v>
      </c>
      <c r="D2248">
        <v>11</v>
      </c>
      <c r="E2248" t="s">
        <v>16</v>
      </c>
      <c r="F2248" t="s">
        <v>17</v>
      </c>
      <c r="G2248" t="s">
        <v>286</v>
      </c>
      <c r="H2248">
        <v>241618</v>
      </c>
      <c r="I2248">
        <v>0</v>
      </c>
      <c r="J2248">
        <v>241618</v>
      </c>
      <c r="L2248">
        <v>33</v>
      </c>
      <c r="M2248">
        <v>583</v>
      </c>
      <c r="N2248" t="s">
        <v>270</v>
      </c>
      <c r="O2248" t="s">
        <v>271</v>
      </c>
    </row>
    <row r="2249" spans="2:15" x14ac:dyDescent="0.25">
      <c r="B2249" t="s">
        <v>285</v>
      </c>
      <c r="C2249" s="4">
        <v>44897</v>
      </c>
      <c r="D2249">
        <v>12</v>
      </c>
      <c r="E2249" t="s">
        <v>16</v>
      </c>
      <c r="F2249" t="s">
        <v>125</v>
      </c>
      <c r="G2249" t="s">
        <v>286</v>
      </c>
      <c r="H2249">
        <v>0</v>
      </c>
      <c r="I2249">
        <v>719950</v>
      </c>
      <c r="J2249">
        <v>-719950</v>
      </c>
      <c r="L2249">
        <v>33</v>
      </c>
      <c r="M2249">
        <v>584</v>
      </c>
      <c r="N2249" t="s">
        <v>142</v>
      </c>
      <c r="O2249" t="s">
        <v>143</v>
      </c>
    </row>
    <row r="2250" spans="2:15" x14ac:dyDescent="0.25">
      <c r="B2250" t="s">
        <v>285</v>
      </c>
      <c r="C2250" s="4">
        <v>44897</v>
      </c>
      <c r="D2250">
        <v>12</v>
      </c>
      <c r="E2250" t="s">
        <v>16</v>
      </c>
      <c r="F2250" t="s">
        <v>17</v>
      </c>
      <c r="G2250" t="s">
        <v>286</v>
      </c>
      <c r="H2250">
        <v>719950</v>
      </c>
      <c r="I2250">
        <v>0</v>
      </c>
      <c r="J2250">
        <v>719950</v>
      </c>
      <c r="L2250">
        <v>33</v>
      </c>
      <c r="M2250">
        <v>584</v>
      </c>
      <c r="N2250" t="s">
        <v>142</v>
      </c>
      <c r="O2250" t="s">
        <v>143</v>
      </c>
    </row>
    <row r="2251" spans="2:15" x14ac:dyDescent="0.25">
      <c r="B2251" t="s">
        <v>285</v>
      </c>
      <c r="C2251" s="4">
        <v>44900</v>
      </c>
      <c r="D2251">
        <v>12</v>
      </c>
      <c r="E2251" t="s">
        <v>16</v>
      </c>
      <c r="F2251" t="s">
        <v>125</v>
      </c>
      <c r="G2251" t="s">
        <v>286</v>
      </c>
      <c r="H2251">
        <v>0</v>
      </c>
      <c r="I2251">
        <v>445655</v>
      </c>
      <c r="J2251">
        <v>-445655</v>
      </c>
      <c r="L2251">
        <v>33</v>
      </c>
      <c r="M2251">
        <v>585</v>
      </c>
      <c r="N2251" t="s">
        <v>272</v>
      </c>
      <c r="O2251" t="s">
        <v>273</v>
      </c>
    </row>
    <row r="2252" spans="2:15" x14ac:dyDescent="0.25">
      <c r="B2252" t="s">
        <v>285</v>
      </c>
      <c r="C2252" s="4">
        <v>44900</v>
      </c>
      <c r="D2252">
        <v>12</v>
      </c>
      <c r="E2252" t="s">
        <v>16</v>
      </c>
      <c r="F2252" t="s">
        <v>17</v>
      </c>
      <c r="G2252" t="s">
        <v>286</v>
      </c>
      <c r="H2252">
        <v>445655</v>
      </c>
      <c r="I2252">
        <v>0</v>
      </c>
      <c r="J2252">
        <v>445655</v>
      </c>
      <c r="L2252">
        <v>33</v>
      </c>
      <c r="M2252">
        <v>585</v>
      </c>
      <c r="N2252" t="s">
        <v>272</v>
      </c>
      <c r="O2252" t="s">
        <v>273</v>
      </c>
    </row>
    <row r="2253" spans="2:15" x14ac:dyDescent="0.25">
      <c r="B2253" t="s">
        <v>285</v>
      </c>
      <c r="C2253" s="4">
        <v>44900</v>
      </c>
      <c r="D2253">
        <v>12</v>
      </c>
      <c r="E2253" t="s">
        <v>16</v>
      </c>
      <c r="F2253" t="s">
        <v>125</v>
      </c>
      <c r="G2253" t="s">
        <v>286</v>
      </c>
      <c r="H2253">
        <v>0</v>
      </c>
      <c r="I2253">
        <v>445655</v>
      </c>
      <c r="J2253">
        <v>-445655</v>
      </c>
      <c r="L2253">
        <v>33</v>
      </c>
      <c r="M2253">
        <v>586</v>
      </c>
      <c r="N2253" t="s">
        <v>274</v>
      </c>
      <c r="O2253" t="s">
        <v>273</v>
      </c>
    </row>
    <row r="2254" spans="2:15" x14ac:dyDescent="0.25">
      <c r="B2254" t="s">
        <v>285</v>
      </c>
      <c r="C2254" s="4">
        <v>44900</v>
      </c>
      <c r="D2254">
        <v>12</v>
      </c>
      <c r="E2254" t="s">
        <v>16</v>
      </c>
      <c r="F2254" t="s">
        <v>17</v>
      </c>
      <c r="G2254" t="s">
        <v>286</v>
      </c>
      <c r="H2254">
        <v>445655</v>
      </c>
      <c r="I2254">
        <v>0</v>
      </c>
      <c r="J2254">
        <v>445655</v>
      </c>
      <c r="L2254">
        <v>33</v>
      </c>
      <c r="M2254">
        <v>586</v>
      </c>
      <c r="N2254" t="s">
        <v>274</v>
      </c>
      <c r="O2254" t="s">
        <v>273</v>
      </c>
    </row>
    <row r="2255" spans="2:15" x14ac:dyDescent="0.25">
      <c r="B2255" t="s">
        <v>285</v>
      </c>
      <c r="C2255" s="4">
        <v>44902</v>
      </c>
      <c r="D2255">
        <v>12</v>
      </c>
      <c r="E2255" t="s">
        <v>16</v>
      </c>
      <c r="F2255" t="s">
        <v>125</v>
      </c>
      <c r="G2255" t="s">
        <v>286</v>
      </c>
      <c r="H2255">
        <v>0</v>
      </c>
      <c r="I2255">
        <v>341828</v>
      </c>
      <c r="J2255">
        <v>-341828</v>
      </c>
      <c r="L2255">
        <v>33</v>
      </c>
      <c r="M2255">
        <v>587</v>
      </c>
      <c r="N2255" t="s">
        <v>240</v>
      </c>
      <c r="O2255" t="s">
        <v>241</v>
      </c>
    </row>
    <row r="2256" spans="2:15" x14ac:dyDescent="0.25">
      <c r="B2256" t="s">
        <v>285</v>
      </c>
      <c r="C2256" s="4">
        <v>44902</v>
      </c>
      <c r="D2256">
        <v>12</v>
      </c>
      <c r="E2256" t="s">
        <v>16</v>
      </c>
      <c r="F2256" t="s">
        <v>17</v>
      </c>
      <c r="G2256" t="s">
        <v>286</v>
      </c>
      <c r="H2256">
        <v>341828</v>
      </c>
      <c r="I2256">
        <v>0</v>
      </c>
      <c r="J2256">
        <v>341828</v>
      </c>
      <c r="L2256">
        <v>33</v>
      </c>
      <c r="M2256">
        <v>587</v>
      </c>
      <c r="N2256" t="s">
        <v>240</v>
      </c>
      <c r="O2256" t="s">
        <v>241</v>
      </c>
    </row>
    <row r="2257" spans="2:15" x14ac:dyDescent="0.25">
      <c r="B2257" t="s">
        <v>285</v>
      </c>
      <c r="C2257" s="4">
        <v>44902</v>
      </c>
      <c r="D2257">
        <v>12</v>
      </c>
      <c r="E2257" t="s">
        <v>16</v>
      </c>
      <c r="F2257" t="s">
        <v>125</v>
      </c>
      <c r="G2257" t="s">
        <v>286</v>
      </c>
      <c r="H2257">
        <v>0</v>
      </c>
      <c r="I2257">
        <v>172074</v>
      </c>
      <c r="J2257">
        <v>-172074</v>
      </c>
      <c r="L2257">
        <v>33</v>
      </c>
      <c r="M2257">
        <v>588</v>
      </c>
      <c r="N2257" t="s">
        <v>275</v>
      </c>
      <c r="O2257" t="s">
        <v>276</v>
      </c>
    </row>
    <row r="2258" spans="2:15" x14ac:dyDescent="0.25">
      <c r="B2258" t="s">
        <v>285</v>
      </c>
      <c r="C2258" s="4">
        <v>44902</v>
      </c>
      <c r="D2258">
        <v>12</v>
      </c>
      <c r="E2258" t="s">
        <v>16</v>
      </c>
      <c r="F2258" t="s">
        <v>17</v>
      </c>
      <c r="G2258" t="s">
        <v>286</v>
      </c>
      <c r="H2258">
        <v>172074</v>
      </c>
      <c r="I2258">
        <v>0</v>
      </c>
      <c r="J2258">
        <v>172074</v>
      </c>
      <c r="L2258">
        <v>33</v>
      </c>
      <c r="M2258">
        <v>588</v>
      </c>
      <c r="N2258" t="s">
        <v>275</v>
      </c>
      <c r="O2258" t="s">
        <v>276</v>
      </c>
    </row>
    <row r="2259" spans="2:15" x14ac:dyDescent="0.25">
      <c r="B2259" t="s">
        <v>285</v>
      </c>
      <c r="C2259" s="4">
        <v>44902</v>
      </c>
      <c r="D2259">
        <v>12</v>
      </c>
      <c r="E2259" t="s">
        <v>16</v>
      </c>
      <c r="F2259" t="s">
        <v>125</v>
      </c>
      <c r="G2259" t="s">
        <v>286</v>
      </c>
      <c r="H2259">
        <v>0</v>
      </c>
      <c r="I2259">
        <v>106029</v>
      </c>
      <c r="J2259">
        <v>-106029</v>
      </c>
      <c r="L2259">
        <v>33</v>
      </c>
      <c r="M2259">
        <v>589</v>
      </c>
      <c r="N2259" t="s">
        <v>230</v>
      </c>
      <c r="O2259" t="s">
        <v>231</v>
      </c>
    </row>
    <row r="2260" spans="2:15" x14ac:dyDescent="0.25">
      <c r="B2260" t="s">
        <v>285</v>
      </c>
      <c r="C2260" s="4">
        <v>44902</v>
      </c>
      <c r="D2260">
        <v>12</v>
      </c>
      <c r="E2260" t="s">
        <v>16</v>
      </c>
      <c r="F2260" t="s">
        <v>17</v>
      </c>
      <c r="G2260" t="s">
        <v>286</v>
      </c>
      <c r="H2260">
        <v>106029</v>
      </c>
      <c r="I2260">
        <v>0</v>
      </c>
      <c r="J2260">
        <v>106029</v>
      </c>
      <c r="L2260">
        <v>33</v>
      </c>
      <c r="M2260">
        <v>589</v>
      </c>
      <c r="N2260" t="s">
        <v>230</v>
      </c>
      <c r="O2260" t="s">
        <v>231</v>
      </c>
    </row>
    <row r="2261" spans="2:15" x14ac:dyDescent="0.25">
      <c r="B2261" t="s">
        <v>285</v>
      </c>
      <c r="C2261" s="4">
        <v>44902</v>
      </c>
      <c r="D2261">
        <v>12</v>
      </c>
      <c r="E2261" t="s">
        <v>16</v>
      </c>
      <c r="F2261" t="s">
        <v>125</v>
      </c>
      <c r="G2261" t="s">
        <v>286</v>
      </c>
      <c r="H2261">
        <v>0</v>
      </c>
      <c r="I2261">
        <v>94248</v>
      </c>
      <c r="J2261">
        <v>-94248</v>
      </c>
      <c r="L2261">
        <v>33</v>
      </c>
      <c r="M2261">
        <v>591</v>
      </c>
      <c r="N2261" t="s">
        <v>230</v>
      </c>
      <c r="O2261" t="s">
        <v>231</v>
      </c>
    </row>
    <row r="2262" spans="2:15" x14ac:dyDescent="0.25">
      <c r="B2262" t="s">
        <v>285</v>
      </c>
      <c r="C2262" s="4">
        <v>44902</v>
      </c>
      <c r="D2262">
        <v>12</v>
      </c>
      <c r="E2262" t="s">
        <v>16</v>
      </c>
      <c r="F2262" t="s">
        <v>17</v>
      </c>
      <c r="G2262" t="s">
        <v>286</v>
      </c>
      <c r="H2262">
        <v>94248</v>
      </c>
      <c r="I2262">
        <v>0</v>
      </c>
      <c r="J2262">
        <v>94248</v>
      </c>
      <c r="L2262">
        <v>33</v>
      </c>
      <c r="M2262">
        <v>591</v>
      </c>
      <c r="N2262" t="s">
        <v>230</v>
      </c>
      <c r="O2262" t="s">
        <v>231</v>
      </c>
    </row>
    <row r="2263" spans="2:15" x14ac:dyDescent="0.25">
      <c r="B2263" t="s">
        <v>285</v>
      </c>
      <c r="C2263" s="4">
        <v>44907</v>
      </c>
      <c r="D2263">
        <v>12</v>
      </c>
      <c r="E2263" t="s">
        <v>16</v>
      </c>
      <c r="F2263" t="s">
        <v>125</v>
      </c>
      <c r="G2263" t="s">
        <v>286</v>
      </c>
      <c r="H2263">
        <v>0</v>
      </c>
      <c r="I2263">
        <v>158103</v>
      </c>
      <c r="J2263">
        <v>-158103</v>
      </c>
      <c r="L2263">
        <v>33</v>
      </c>
      <c r="M2263">
        <v>592</v>
      </c>
      <c r="N2263" t="s">
        <v>154</v>
      </c>
      <c r="O2263" t="s">
        <v>155</v>
      </c>
    </row>
    <row r="2264" spans="2:15" x14ac:dyDescent="0.25">
      <c r="B2264" t="s">
        <v>285</v>
      </c>
      <c r="C2264" s="4">
        <v>44907</v>
      </c>
      <c r="D2264">
        <v>12</v>
      </c>
      <c r="E2264" t="s">
        <v>16</v>
      </c>
      <c r="F2264" t="s">
        <v>17</v>
      </c>
      <c r="G2264" t="s">
        <v>286</v>
      </c>
      <c r="H2264">
        <v>158103</v>
      </c>
      <c r="I2264">
        <v>0</v>
      </c>
      <c r="J2264">
        <v>158103</v>
      </c>
      <c r="L2264">
        <v>33</v>
      </c>
      <c r="M2264">
        <v>592</v>
      </c>
      <c r="N2264" t="s">
        <v>154</v>
      </c>
      <c r="O2264" t="s">
        <v>155</v>
      </c>
    </row>
    <row r="2265" spans="2:15" x14ac:dyDescent="0.25">
      <c r="B2265" t="s">
        <v>285</v>
      </c>
      <c r="C2265" s="4">
        <v>44907</v>
      </c>
      <c r="D2265">
        <v>12</v>
      </c>
      <c r="E2265" t="s">
        <v>16</v>
      </c>
      <c r="F2265" t="s">
        <v>125</v>
      </c>
      <c r="G2265" t="s">
        <v>286</v>
      </c>
      <c r="H2265">
        <v>0</v>
      </c>
      <c r="I2265">
        <v>249900</v>
      </c>
      <c r="J2265">
        <v>-249900</v>
      </c>
      <c r="L2265">
        <v>33</v>
      </c>
      <c r="M2265">
        <v>594</v>
      </c>
      <c r="N2265" t="s">
        <v>140</v>
      </c>
      <c r="O2265" t="s">
        <v>141</v>
      </c>
    </row>
    <row r="2266" spans="2:15" x14ac:dyDescent="0.25">
      <c r="B2266" t="s">
        <v>285</v>
      </c>
      <c r="C2266" s="4">
        <v>44907</v>
      </c>
      <c r="D2266">
        <v>12</v>
      </c>
      <c r="E2266" t="s">
        <v>16</v>
      </c>
      <c r="F2266" t="s">
        <v>17</v>
      </c>
      <c r="G2266" t="s">
        <v>286</v>
      </c>
      <c r="H2266">
        <v>249900</v>
      </c>
      <c r="I2266">
        <v>0</v>
      </c>
      <c r="J2266">
        <v>249900</v>
      </c>
      <c r="L2266">
        <v>33</v>
      </c>
      <c r="M2266">
        <v>594</v>
      </c>
      <c r="N2266" t="s">
        <v>140</v>
      </c>
      <c r="O2266" t="s">
        <v>141</v>
      </c>
    </row>
    <row r="2267" spans="2:15" x14ac:dyDescent="0.25">
      <c r="B2267" t="s">
        <v>285</v>
      </c>
      <c r="C2267" s="4">
        <v>44909</v>
      </c>
      <c r="D2267">
        <v>12</v>
      </c>
      <c r="E2267" t="s">
        <v>16</v>
      </c>
      <c r="F2267" t="s">
        <v>125</v>
      </c>
      <c r="G2267" t="s">
        <v>286</v>
      </c>
      <c r="H2267">
        <v>0</v>
      </c>
      <c r="I2267">
        <v>1331134</v>
      </c>
      <c r="J2267">
        <v>-1331134</v>
      </c>
      <c r="L2267">
        <v>33</v>
      </c>
      <c r="M2267">
        <v>595</v>
      </c>
      <c r="N2267" t="s">
        <v>180</v>
      </c>
      <c r="O2267" t="s">
        <v>181</v>
      </c>
    </row>
    <row r="2268" spans="2:15" x14ac:dyDescent="0.25">
      <c r="B2268" t="s">
        <v>285</v>
      </c>
      <c r="C2268" s="4">
        <v>44909</v>
      </c>
      <c r="D2268">
        <v>12</v>
      </c>
      <c r="E2268" t="s">
        <v>16</v>
      </c>
      <c r="F2268" t="s">
        <v>17</v>
      </c>
      <c r="G2268" t="s">
        <v>286</v>
      </c>
      <c r="H2268">
        <v>1331134</v>
      </c>
      <c r="I2268">
        <v>0</v>
      </c>
      <c r="J2268">
        <v>1331134</v>
      </c>
      <c r="L2268">
        <v>33</v>
      </c>
      <c r="M2268">
        <v>595</v>
      </c>
      <c r="N2268" t="s">
        <v>180</v>
      </c>
      <c r="O2268" t="s">
        <v>181</v>
      </c>
    </row>
    <row r="2269" spans="2:15" x14ac:dyDescent="0.25">
      <c r="B2269" t="s">
        <v>285</v>
      </c>
      <c r="C2269" s="4">
        <v>44916</v>
      </c>
      <c r="D2269">
        <v>12</v>
      </c>
      <c r="E2269" t="s">
        <v>16</v>
      </c>
      <c r="F2269" t="s">
        <v>125</v>
      </c>
      <c r="G2269" t="s">
        <v>286</v>
      </c>
      <c r="H2269">
        <v>0</v>
      </c>
      <c r="I2269">
        <v>296667</v>
      </c>
      <c r="J2269">
        <v>-296667</v>
      </c>
      <c r="L2269">
        <v>33</v>
      </c>
      <c r="M2269">
        <v>596</v>
      </c>
      <c r="N2269" t="s">
        <v>277</v>
      </c>
      <c r="O2269" t="s">
        <v>278</v>
      </c>
    </row>
    <row r="2270" spans="2:15" x14ac:dyDescent="0.25">
      <c r="B2270" t="s">
        <v>285</v>
      </c>
      <c r="C2270" s="4">
        <v>44916</v>
      </c>
      <c r="D2270">
        <v>12</v>
      </c>
      <c r="E2270" t="s">
        <v>16</v>
      </c>
      <c r="F2270" t="s">
        <v>17</v>
      </c>
      <c r="G2270" t="s">
        <v>286</v>
      </c>
      <c r="H2270">
        <v>296667</v>
      </c>
      <c r="I2270">
        <v>0</v>
      </c>
      <c r="J2270">
        <v>296667</v>
      </c>
      <c r="L2270">
        <v>33</v>
      </c>
      <c r="M2270">
        <v>596</v>
      </c>
      <c r="N2270" t="s">
        <v>277</v>
      </c>
      <c r="O2270" t="s">
        <v>278</v>
      </c>
    </row>
    <row r="2271" spans="2:15" x14ac:dyDescent="0.25">
      <c r="B2271" t="s">
        <v>285</v>
      </c>
      <c r="C2271" s="4">
        <v>44917</v>
      </c>
      <c r="D2271">
        <v>12</v>
      </c>
      <c r="E2271" t="s">
        <v>16</v>
      </c>
      <c r="F2271" t="s">
        <v>125</v>
      </c>
      <c r="G2271" t="s">
        <v>286</v>
      </c>
      <c r="H2271">
        <v>0</v>
      </c>
      <c r="I2271">
        <v>59976</v>
      </c>
      <c r="J2271">
        <v>-59976</v>
      </c>
      <c r="L2271">
        <v>33</v>
      </c>
      <c r="M2271">
        <v>597</v>
      </c>
      <c r="N2271" t="s">
        <v>156</v>
      </c>
      <c r="O2271" t="s">
        <v>157</v>
      </c>
    </row>
    <row r="2272" spans="2:15" x14ac:dyDescent="0.25">
      <c r="B2272" t="s">
        <v>285</v>
      </c>
      <c r="C2272" s="4">
        <v>44917</v>
      </c>
      <c r="D2272">
        <v>12</v>
      </c>
      <c r="E2272" t="s">
        <v>16</v>
      </c>
      <c r="F2272" t="s">
        <v>17</v>
      </c>
      <c r="G2272" t="s">
        <v>286</v>
      </c>
      <c r="H2272">
        <v>59976</v>
      </c>
      <c r="I2272">
        <v>0</v>
      </c>
      <c r="J2272">
        <v>59976</v>
      </c>
      <c r="L2272">
        <v>33</v>
      </c>
      <c r="M2272">
        <v>597</v>
      </c>
      <c r="N2272" t="s">
        <v>156</v>
      </c>
      <c r="O2272" t="s">
        <v>157</v>
      </c>
    </row>
    <row r="2273" spans="2:15" x14ac:dyDescent="0.25">
      <c r="B2273" t="s">
        <v>285</v>
      </c>
      <c r="C2273" s="4">
        <v>44918</v>
      </c>
      <c r="D2273">
        <v>12</v>
      </c>
      <c r="E2273" t="s">
        <v>16</v>
      </c>
      <c r="F2273" t="s">
        <v>125</v>
      </c>
      <c r="G2273" t="s">
        <v>286</v>
      </c>
      <c r="H2273">
        <v>0</v>
      </c>
      <c r="I2273">
        <v>309400</v>
      </c>
      <c r="J2273">
        <v>-309400</v>
      </c>
      <c r="L2273">
        <v>33</v>
      </c>
      <c r="M2273">
        <v>598</v>
      </c>
      <c r="N2273" t="s">
        <v>140</v>
      </c>
      <c r="O2273" t="s">
        <v>141</v>
      </c>
    </row>
    <row r="2274" spans="2:15" x14ac:dyDescent="0.25">
      <c r="B2274" t="s">
        <v>285</v>
      </c>
      <c r="C2274" s="4">
        <v>44918</v>
      </c>
      <c r="D2274">
        <v>12</v>
      </c>
      <c r="E2274" t="s">
        <v>16</v>
      </c>
      <c r="F2274" t="s">
        <v>17</v>
      </c>
      <c r="G2274" t="s">
        <v>286</v>
      </c>
      <c r="H2274">
        <v>309400</v>
      </c>
      <c r="I2274">
        <v>0</v>
      </c>
      <c r="J2274">
        <v>309400</v>
      </c>
      <c r="L2274">
        <v>33</v>
      </c>
      <c r="M2274">
        <v>598</v>
      </c>
      <c r="N2274" t="s">
        <v>140</v>
      </c>
      <c r="O2274" t="s">
        <v>141</v>
      </c>
    </row>
    <row r="2275" spans="2:15" x14ac:dyDescent="0.25">
      <c r="B2275" t="s">
        <v>285</v>
      </c>
      <c r="C2275" s="4">
        <v>44923</v>
      </c>
      <c r="D2275">
        <v>12</v>
      </c>
      <c r="E2275" t="s">
        <v>16</v>
      </c>
      <c r="F2275" t="s">
        <v>125</v>
      </c>
      <c r="G2275" t="s">
        <v>286</v>
      </c>
      <c r="H2275">
        <v>0</v>
      </c>
      <c r="I2275">
        <v>53431</v>
      </c>
      <c r="J2275">
        <v>-53431</v>
      </c>
      <c r="L2275">
        <v>33</v>
      </c>
      <c r="M2275">
        <v>599</v>
      </c>
      <c r="N2275" t="s">
        <v>279</v>
      </c>
      <c r="O2275" t="s">
        <v>280</v>
      </c>
    </row>
    <row r="2276" spans="2:15" x14ac:dyDescent="0.25">
      <c r="B2276" t="s">
        <v>285</v>
      </c>
      <c r="C2276" s="4">
        <v>44923</v>
      </c>
      <c r="D2276">
        <v>12</v>
      </c>
      <c r="E2276" t="s">
        <v>16</v>
      </c>
      <c r="F2276" t="s">
        <v>17</v>
      </c>
      <c r="G2276" t="s">
        <v>286</v>
      </c>
      <c r="H2276">
        <v>53431</v>
      </c>
      <c r="I2276">
        <v>0</v>
      </c>
      <c r="J2276">
        <v>53431</v>
      </c>
      <c r="L2276">
        <v>33</v>
      </c>
      <c r="M2276">
        <v>599</v>
      </c>
      <c r="N2276" t="s">
        <v>279</v>
      </c>
      <c r="O2276" t="s">
        <v>280</v>
      </c>
    </row>
    <row r="2277" spans="2:15" x14ac:dyDescent="0.25">
      <c r="B2277" t="s">
        <v>285</v>
      </c>
      <c r="C2277" s="4">
        <v>44923</v>
      </c>
      <c r="D2277">
        <v>12</v>
      </c>
      <c r="E2277" t="s">
        <v>16</v>
      </c>
      <c r="F2277" t="s">
        <v>125</v>
      </c>
      <c r="G2277" t="s">
        <v>286</v>
      </c>
      <c r="H2277">
        <v>0</v>
      </c>
      <c r="I2277">
        <v>440431</v>
      </c>
      <c r="J2277">
        <v>-440431</v>
      </c>
      <c r="L2277">
        <v>33</v>
      </c>
      <c r="M2277">
        <v>600</v>
      </c>
      <c r="N2277" t="s">
        <v>281</v>
      </c>
      <c r="O2277" t="s">
        <v>282</v>
      </c>
    </row>
    <row r="2278" spans="2:15" x14ac:dyDescent="0.25">
      <c r="B2278" t="s">
        <v>285</v>
      </c>
      <c r="C2278" s="4">
        <v>44923</v>
      </c>
      <c r="D2278">
        <v>12</v>
      </c>
      <c r="E2278" t="s">
        <v>16</v>
      </c>
      <c r="F2278" t="s">
        <v>17</v>
      </c>
      <c r="G2278" t="s">
        <v>286</v>
      </c>
      <c r="H2278">
        <v>440431</v>
      </c>
      <c r="I2278">
        <v>0</v>
      </c>
      <c r="J2278">
        <v>440431</v>
      </c>
      <c r="L2278">
        <v>33</v>
      </c>
      <c r="M2278">
        <v>600</v>
      </c>
      <c r="N2278" t="s">
        <v>281</v>
      </c>
      <c r="O2278" t="s">
        <v>282</v>
      </c>
    </row>
    <row r="2279" spans="2:15" x14ac:dyDescent="0.25">
      <c r="B2279" t="s">
        <v>285</v>
      </c>
      <c r="C2279" s="4">
        <v>44923</v>
      </c>
      <c r="D2279">
        <v>12</v>
      </c>
      <c r="E2279" t="s">
        <v>16</v>
      </c>
      <c r="F2279" t="s">
        <v>125</v>
      </c>
      <c r="G2279" t="s">
        <v>286</v>
      </c>
      <c r="H2279">
        <v>0</v>
      </c>
      <c r="I2279">
        <v>583100</v>
      </c>
      <c r="J2279">
        <v>-583100</v>
      </c>
      <c r="L2279">
        <v>33</v>
      </c>
      <c r="M2279">
        <v>601</v>
      </c>
      <c r="N2279" t="s">
        <v>283</v>
      </c>
      <c r="O2279" t="s">
        <v>284</v>
      </c>
    </row>
    <row r="2280" spans="2:15" x14ac:dyDescent="0.25">
      <c r="B2280" t="s">
        <v>285</v>
      </c>
      <c r="C2280" s="4">
        <v>44923</v>
      </c>
      <c r="D2280">
        <v>12</v>
      </c>
      <c r="E2280" t="s">
        <v>16</v>
      </c>
      <c r="F2280" t="s">
        <v>17</v>
      </c>
      <c r="G2280" t="s">
        <v>286</v>
      </c>
      <c r="H2280">
        <v>583100</v>
      </c>
      <c r="I2280">
        <v>0</v>
      </c>
      <c r="J2280">
        <v>583100</v>
      </c>
      <c r="L2280">
        <v>33</v>
      </c>
      <c r="M2280">
        <v>601</v>
      </c>
      <c r="N2280" t="s">
        <v>283</v>
      </c>
      <c r="O2280" t="s">
        <v>284</v>
      </c>
    </row>
    <row r="2281" spans="2:15" x14ac:dyDescent="0.25">
      <c r="B2281" t="s">
        <v>285</v>
      </c>
      <c r="C2281" s="4">
        <v>44923</v>
      </c>
      <c r="D2281">
        <v>12</v>
      </c>
      <c r="E2281" t="s">
        <v>16</v>
      </c>
      <c r="F2281" t="s">
        <v>125</v>
      </c>
      <c r="G2281" t="s">
        <v>286</v>
      </c>
      <c r="H2281">
        <v>0</v>
      </c>
      <c r="I2281">
        <v>28322</v>
      </c>
      <c r="J2281">
        <v>-28322</v>
      </c>
      <c r="L2281">
        <v>33</v>
      </c>
      <c r="M2281">
        <v>602</v>
      </c>
      <c r="N2281" t="s">
        <v>230</v>
      </c>
      <c r="O2281" t="s">
        <v>231</v>
      </c>
    </row>
    <row r="2282" spans="2:15" x14ac:dyDescent="0.25">
      <c r="B2282" t="s">
        <v>285</v>
      </c>
      <c r="C2282" s="4">
        <v>44923</v>
      </c>
      <c r="D2282">
        <v>12</v>
      </c>
      <c r="E2282" t="s">
        <v>16</v>
      </c>
      <c r="F2282" t="s">
        <v>17</v>
      </c>
      <c r="G2282" t="s">
        <v>286</v>
      </c>
      <c r="H2282">
        <v>28322</v>
      </c>
      <c r="I2282">
        <v>0</v>
      </c>
      <c r="J2282">
        <v>28322</v>
      </c>
      <c r="L2282">
        <v>33</v>
      </c>
      <c r="M2282">
        <v>602</v>
      </c>
      <c r="N2282" t="s">
        <v>230</v>
      </c>
      <c r="O2282" t="s">
        <v>231</v>
      </c>
    </row>
    <row r="2283" spans="2:15" x14ac:dyDescent="0.25">
      <c r="B2283" t="s">
        <v>285</v>
      </c>
      <c r="C2283" s="4">
        <v>44925</v>
      </c>
      <c r="D2283">
        <v>12</v>
      </c>
      <c r="E2283" t="s">
        <v>16</v>
      </c>
      <c r="F2283" t="s">
        <v>125</v>
      </c>
      <c r="G2283" t="s">
        <v>286</v>
      </c>
      <c r="H2283">
        <v>296667</v>
      </c>
      <c r="I2283">
        <v>0</v>
      </c>
      <c r="J2283">
        <v>296667</v>
      </c>
      <c r="L2283">
        <v>61</v>
      </c>
      <c r="M2283">
        <v>25</v>
      </c>
      <c r="N2283" t="s">
        <v>277</v>
      </c>
      <c r="O2283" t="s">
        <v>278</v>
      </c>
    </row>
    <row r="2284" spans="2:15" x14ac:dyDescent="0.25">
      <c r="B2284" t="s">
        <v>285</v>
      </c>
      <c r="C2284" s="4">
        <v>44925</v>
      </c>
      <c r="D2284">
        <v>12</v>
      </c>
      <c r="E2284" t="s">
        <v>16</v>
      </c>
      <c r="F2284" t="s">
        <v>17</v>
      </c>
      <c r="G2284" t="s">
        <v>286</v>
      </c>
      <c r="H2284">
        <v>0</v>
      </c>
      <c r="I2284">
        <v>296667</v>
      </c>
      <c r="J2284">
        <v>-296667</v>
      </c>
      <c r="L2284">
        <v>61</v>
      </c>
      <c r="M2284">
        <v>25</v>
      </c>
      <c r="N2284" t="s">
        <v>277</v>
      </c>
      <c r="O2284" t="s">
        <v>278</v>
      </c>
    </row>
    <row r="2285" spans="2:15" x14ac:dyDescent="0.25">
      <c r="B2285" t="s">
        <v>287</v>
      </c>
      <c r="C2285" s="4">
        <v>44592</v>
      </c>
      <c r="D2285">
        <f t="shared" ref="D2285:D2348" si="38">MONTH(C2285)</f>
        <v>1</v>
      </c>
      <c r="E2285" t="s">
        <v>21</v>
      </c>
      <c r="F2285" t="s">
        <v>129</v>
      </c>
      <c r="G2285" t="s">
        <v>288</v>
      </c>
      <c r="H2285">
        <v>1023584</v>
      </c>
      <c r="J2285">
        <f>+H2285-I2285</f>
        <v>1023584</v>
      </c>
    </row>
    <row r="2286" spans="2:15" x14ac:dyDescent="0.25">
      <c r="B2286" t="s">
        <v>287</v>
      </c>
      <c r="C2286" s="4">
        <f>+C2285</f>
        <v>44592</v>
      </c>
      <c r="D2286">
        <f t="shared" si="38"/>
        <v>1</v>
      </c>
      <c r="E2286" t="s">
        <v>16</v>
      </c>
      <c r="F2286" t="s">
        <v>43</v>
      </c>
      <c r="G2286" t="s">
        <v>288</v>
      </c>
      <c r="H2286">
        <v>0</v>
      </c>
      <c r="I2286">
        <v>553569</v>
      </c>
      <c r="J2286">
        <f t="shared" ref="J2286:J2308" si="39">+H2286-I2286</f>
        <v>-553569</v>
      </c>
    </row>
    <row r="2287" spans="2:15" x14ac:dyDescent="0.25">
      <c r="B2287" t="s">
        <v>287</v>
      </c>
      <c r="C2287" s="4">
        <f t="shared" ref="C2287:C2290" si="40">+C2286</f>
        <v>44592</v>
      </c>
      <c r="D2287">
        <f t="shared" si="38"/>
        <v>1</v>
      </c>
      <c r="E2287" t="s">
        <v>21</v>
      </c>
      <c r="F2287" t="s">
        <v>34</v>
      </c>
      <c r="G2287" t="s">
        <v>288</v>
      </c>
      <c r="H2287">
        <v>6125</v>
      </c>
      <c r="J2287">
        <f t="shared" si="39"/>
        <v>6125</v>
      </c>
    </row>
    <row r="2288" spans="2:15" x14ac:dyDescent="0.25">
      <c r="B2288" t="s">
        <v>287</v>
      </c>
      <c r="C2288" s="4">
        <f t="shared" si="40"/>
        <v>44592</v>
      </c>
      <c r="D2288">
        <f t="shared" si="38"/>
        <v>1</v>
      </c>
      <c r="E2288" t="s">
        <v>16</v>
      </c>
      <c r="F2288" t="s">
        <v>20</v>
      </c>
      <c r="G2288" t="s">
        <v>288</v>
      </c>
      <c r="H2288">
        <v>2136141</v>
      </c>
      <c r="I2288">
        <v>2606156</v>
      </c>
      <c r="J2288">
        <f t="shared" si="39"/>
        <v>-470015</v>
      </c>
    </row>
    <row r="2289" spans="2:10" x14ac:dyDescent="0.25">
      <c r="B2289" t="s">
        <v>287</v>
      </c>
      <c r="C2289" s="4">
        <f t="shared" si="40"/>
        <v>44592</v>
      </c>
      <c r="D2289">
        <f t="shared" si="38"/>
        <v>1</v>
      </c>
      <c r="E2289" t="s">
        <v>16</v>
      </c>
      <c r="F2289" t="s">
        <v>19</v>
      </c>
      <c r="G2289" t="s">
        <v>288</v>
      </c>
      <c r="H2289">
        <v>5387</v>
      </c>
      <c r="J2289">
        <f t="shared" si="39"/>
        <v>5387</v>
      </c>
    </row>
    <row r="2290" spans="2:10" x14ac:dyDescent="0.25">
      <c r="B2290" t="s">
        <v>287</v>
      </c>
      <c r="C2290" s="4">
        <f t="shared" si="40"/>
        <v>44592</v>
      </c>
      <c r="D2290">
        <f t="shared" si="38"/>
        <v>1</v>
      </c>
      <c r="E2290" t="s">
        <v>21</v>
      </c>
      <c r="F2290" t="s">
        <v>22</v>
      </c>
      <c r="G2290" t="s">
        <v>288</v>
      </c>
      <c r="I2290">
        <v>11512</v>
      </c>
      <c r="J2290">
        <f t="shared" si="39"/>
        <v>-11512</v>
      </c>
    </row>
    <row r="2291" spans="2:10" x14ac:dyDescent="0.25">
      <c r="B2291" t="s">
        <v>36</v>
      </c>
      <c r="C2291" s="4">
        <v>44610</v>
      </c>
      <c r="D2291">
        <f t="shared" si="38"/>
        <v>2</v>
      </c>
      <c r="E2291" t="s">
        <v>21</v>
      </c>
      <c r="F2291" t="s">
        <v>22</v>
      </c>
      <c r="G2291" t="s">
        <v>289</v>
      </c>
      <c r="H2291">
        <v>11512</v>
      </c>
      <c r="I2291">
        <v>0</v>
      </c>
      <c r="J2291">
        <f t="shared" si="39"/>
        <v>11512</v>
      </c>
    </row>
    <row r="2292" spans="2:10" x14ac:dyDescent="0.25">
      <c r="B2292" t="s">
        <v>36</v>
      </c>
      <c r="C2292" s="4">
        <f>+C2291</f>
        <v>44610</v>
      </c>
      <c r="D2292">
        <f t="shared" si="38"/>
        <v>2</v>
      </c>
      <c r="E2292" t="s">
        <v>16</v>
      </c>
      <c r="F2292" t="s">
        <v>17</v>
      </c>
      <c r="G2292" t="s">
        <v>289</v>
      </c>
      <c r="H2292">
        <v>0</v>
      </c>
      <c r="I2292">
        <v>11512</v>
      </c>
      <c r="J2292">
        <f t="shared" si="39"/>
        <v>-11512</v>
      </c>
    </row>
    <row r="2293" spans="2:10" x14ac:dyDescent="0.25">
      <c r="B2293" t="s">
        <v>287</v>
      </c>
      <c r="C2293" s="4">
        <v>44620</v>
      </c>
      <c r="D2293">
        <f t="shared" si="38"/>
        <v>2</v>
      </c>
      <c r="E2293" t="s">
        <v>21</v>
      </c>
      <c r="F2293" t="s">
        <v>129</v>
      </c>
      <c r="G2293" t="s">
        <v>288</v>
      </c>
      <c r="H2293">
        <v>679551</v>
      </c>
      <c r="J2293">
        <f>+H2293-I2293</f>
        <v>679551</v>
      </c>
    </row>
    <row r="2294" spans="2:10" x14ac:dyDescent="0.25">
      <c r="B2294" t="s">
        <v>287</v>
      </c>
      <c r="C2294" s="4">
        <f>+C2293</f>
        <v>44620</v>
      </c>
      <c r="D2294">
        <f t="shared" si="38"/>
        <v>2</v>
      </c>
      <c r="E2294" t="s">
        <v>16</v>
      </c>
      <c r="F2294" t="s">
        <v>43</v>
      </c>
      <c r="G2294" t="s">
        <v>288</v>
      </c>
      <c r="I2294">
        <v>419755</v>
      </c>
      <c r="J2294">
        <f t="shared" si="39"/>
        <v>-419755</v>
      </c>
    </row>
    <row r="2295" spans="2:10" x14ac:dyDescent="0.25">
      <c r="B2295" t="s">
        <v>287</v>
      </c>
      <c r="C2295" s="4">
        <f t="shared" ref="C2295:C2298" si="41">+C2294</f>
        <v>44620</v>
      </c>
      <c r="D2295">
        <f t="shared" si="38"/>
        <v>2</v>
      </c>
      <c r="E2295" t="s">
        <v>21</v>
      </c>
      <c r="F2295" t="s">
        <v>34</v>
      </c>
      <c r="G2295" t="s">
        <v>288</v>
      </c>
      <c r="H2295">
        <v>6738</v>
      </c>
      <c r="I2295">
        <v>0</v>
      </c>
      <c r="J2295">
        <f t="shared" si="39"/>
        <v>6738</v>
      </c>
    </row>
    <row r="2296" spans="2:10" x14ac:dyDescent="0.25">
      <c r="B2296" t="s">
        <v>287</v>
      </c>
      <c r="C2296" s="4">
        <f t="shared" si="41"/>
        <v>44620</v>
      </c>
      <c r="D2296">
        <f t="shared" si="38"/>
        <v>2</v>
      </c>
      <c r="E2296" t="s">
        <v>16</v>
      </c>
      <c r="F2296" t="s">
        <v>20</v>
      </c>
      <c r="G2296" t="s">
        <v>288</v>
      </c>
      <c r="H2296">
        <v>1902259</v>
      </c>
      <c r="I2296">
        <v>2162055</v>
      </c>
      <c r="J2296">
        <f t="shared" si="39"/>
        <v>-259796</v>
      </c>
    </row>
    <row r="2297" spans="2:10" x14ac:dyDescent="0.25">
      <c r="B2297" t="s">
        <v>287</v>
      </c>
      <c r="C2297" s="4">
        <f t="shared" si="41"/>
        <v>44620</v>
      </c>
      <c r="D2297">
        <f t="shared" si="38"/>
        <v>2</v>
      </c>
      <c r="E2297" t="s">
        <v>16</v>
      </c>
      <c r="F2297" t="s">
        <v>19</v>
      </c>
      <c r="G2297" t="s">
        <v>288</v>
      </c>
      <c r="H2297">
        <v>3577</v>
      </c>
      <c r="J2297">
        <f t="shared" si="39"/>
        <v>3577</v>
      </c>
    </row>
    <row r="2298" spans="2:10" x14ac:dyDescent="0.25">
      <c r="B2298" t="s">
        <v>287</v>
      </c>
      <c r="C2298" s="4">
        <f t="shared" si="41"/>
        <v>44620</v>
      </c>
      <c r="D2298">
        <f t="shared" si="38"/>
        <v>2</v>
      </c>
      <c r="E2298" t="s">
        <v>21</v>
      </c>
      <c r="F2298" t="s">
        <v>22</v>
      </c>
      <c r="G2298" t="s">
        <v>288</v>
      </c>
      <c r="H2298">
        <v>0</v>
      </c>
      <c r="I2298">
        <v>10315</v>
      </c>
      <c r="J2298">
        <f t="shared" si="39"/>
        <v>-10315</v>
      </c>
    </row>
    <row r="2299" spans="2:10" x14ac:dyDescent="0.25">
      <c r="B2299" t="s">
        <v>36</v>
      </c>
      <c r="C2299" s="4">
        <v>44635</v>
      </c>
      <c r="D2299">
        <f t="shared" si="38"/>
        <v>3</v>
      </c>
      <c r="E2299" t="s">
        <v>21</v>
      </c>
      <c r="F2299" t="s">
        <v>22</v>
      </c>
      <c r="G2299" t="s">
        <v>289</v>
      </c>
      <c r="H2299">
        <v>10315</v>
      </c>
      <c r="I2299">
        <v>0</v>
      </c>
      <c r="J2299">
        <f t="shared" si="39"/>
        <v>10315</v>
      </c>
    </row>
    <row r="2300" spans="2:10" x14ac:dyDescent="0.25">
      <c r="B2300" t="s">
        <v>36</v>
      </c>
      <c r="C2300" s="4">
        <f>+C2299</f>
        <v>44635</v>
      </c>
      <c r="D2300">
        <f t="shared" si="38"/>
        <v>3</v>
      </c>
      <c r="E2300" t="s">
        <v>16</v>
      </c>
      <c r="F2300" t="s">
        <v>17</v>
      </c>
      <c r="G2300" t="s">
        <v>289</v>
      </c>
      <c r="H2300">
        <v>0</v>
      </c>
      <c r="I2300">
        <v>10315</v>
      </c>
      <c r="J2300">
        <f t="shared" si="39"/>
        <v>-10315</v>
      </c>
    </row>
    <row r="2301" spans="2:10" x14ac:dyDescent="0.25">
      <c r="B2301" t="s">
        <v>287</v>
      </c>
      <c r="C2301" s="4">
        <v>44651</v>
      </c>
      <c r="D2301">
        <f t="shared" si="38"/>
        <v>3</v>
      </c>
      <c r="E2301" t="s">
        <v>21</v>
      </c>
      <c r="F2301" t="s">
        <v>129</v>
      </c>
      <c r="G2301" t="s">
        <v>288</v>
      </c>
      <c r="H2301">
        <v>793856</v>
      </c>
      <c r="J2301">
        <f>+H2301-I2301</f>
        <v>793856</v>
      </c>
    </row>
    <row r="2302" spans="2:10" x14ac:dyDescent="0.25">
      <c r="B2302" t="s">
        <v>287</v>
      </c>
      <c r="C2302" s="4">
        <f>+C2301</f>
        <v>44651</v>
      </c>
      <c r="D2302">
        <f t="shared" si="38"/>
        <v>3</v>
      </c>
      <c r="E2302" t="s">
        <v>16</v>
      </c>
      <c r="F2302" t="s">
        <v>43</v>
      </c>
      <c r="G2302" t="s">
        <v>288</v>
      </c>
      <c r="I2302">
        <v>147794</v>
      </c>
      <c r="J2302">
        <f t="shared" si="39"/>
        <v>-147794</v>
      </c>
    </row>
    <row r="2303" spans="2:10" x14ac:dyDescent="0.25">
      <c r="B2303" t="s">
        <v>287</v>
      </c>
      <c r="C2303" s="4">
        <f t="shared" ref="C2303:C2306" si="42">+C2302</f>
        <v>44651</v>
      </c>
      <c r="D2303">
        <f t="shared" si="38"/>
        <v>3</v>
      </c>
      <c r="E2303" t="s">
        <v>21</v>
      </c>
      <c r="F2303" t="s">
        <v>34</v>
      </c>
      <c r="G2303" t="s">
        <v>288</v>
      </c>
      <c r="H2303">
        <v>6738</v>
      </c>
      <c r="J2303">
        <f t="shared" si="39"/>
        <v>6738</v>
      </c>
    </row>
    <row r="2304" spans="2:10" x14ac:dyDescent="0.25">
      <c r="B2304" t="s">
        <v>287</v>
      </c>
      <c r="C2304" s="4">
        <f t="shared" si="42"/>
        <v>44651</v>
      </c>
      <c r="D2304">
        <f t="shared" si="38"/>
        <v>3</v>
      </c>
      <c r="E2304" t="s">
        <v>16</v>
      </c>
      <c r="F2304" t="s">
        <v>20</v>
      </c>
      <c r="G2304" t="s">
        <v>288</v>
      </c>
      <c r="H2304">
        <v>1261800</v>
      </c>
      <c r="I2304">
        <v>1907862</v>
      </c>
      <c r="J2304">
        <f t="shared" si="39"/>
        <v>-646062</v>
      </c>
    </row>
    <row r="2305" spans="2:10" x14ac:dyDescent="0.25">
      <c r="B2305" t="s">
        <v>287</v>
      </c>
      <c r="C2305" s="4">
        <f t="shared" si="42"/>
        <v>44651</v>
      </c>
      <c r="D2305">
        <f t="shared" si="38"/>
        <v>3</v>
      </c>
      <c r="E2305" t="s">
        <v>16</v>
      </c>
      <c r="F2305" t="s">
        <v>19</v>
      </c>
      <c r="G2305" t="s">
        <v>288</v>
      </c>
      <c r="H2305">
        <v>4178</v>
      </c>
      <c r="J2305">
        <f t="shared" si="39"/>
        <v>4178</v>
      </c>
    </row>
    <row r="2306" spans="2:10" x14ac:dyDescent="0.25">
      <c r="B2306" t="s">
        <v>287</v>
      </c>
      <c r="C2306" s="4">
        <f t="shared" si="42"/>
        <v>44651</v>
      </c>
      <c r="D2306">
        <f t="shared" si="38"/>
        <v>3</v>
      </c>
      <c r="E2306" t="s">
        <v>21</v>
      </c>
      <c r="F2306" t="s">
        <v>22</v>
      </c>
      <c r="G2306" t="s">
        <v>288</v>
      </c>
      <c r="H2306">
        <v>0</v>
      </c>
      <c r="I2306">
        <v>10916</v>
      </c>
      <c r="J2306">
        <f t="shared" si="39"/>
        <v>-10916</v>
      </c>
    </row>
    <row r="2307" spans="2:10" x14ac:dyDescent="0.25">
      <c r="B2307" t="s">
        <v>36</v>
      </c>
      <c r="C2307" s="4">
        <v>44671</v>
      </c>
      <c r="D2307">
        <f t="shared" si="38"/>
        <v>4</v>
      </c>
      <c r="E2307" t="s">
        <v>21</v>
      </c>
      <c r="F2307" t="s">
        <v>22</v>
      </c>
      <c r="G2307" t="s">
        <v>289</v>
      </c>
      <c r="H2307">
        <v>10916</v>
      </c>
      <c r="I2307">
        <v>0</v>
      </c>
      <c r="J2307">
        <f t="shared" si="39"/>
        <v>10916</v>
      </c>
    </row>
    <row r="2308" spans="2:10" x14ac:dyDescent="0.25">
      <c r="B2308" t="s">
        <v>36</v>
      </c>
      <c r="C2308" s="4">
        <f>+C2307</f>
        <v>44671</v>
      </c>
      <c r="D2308">
        <f t="shared" si="38"/>
        <v>4</v>
      </c>
      <c r="E2308" t="s">
        <v>16</v>
      </c>
      <c r="F2308" t="s">
        <v>17</v>
      </c>
      <c r="G2308" t="s">
        <v>289</v>
      </c>
      <c r="H2308">
        <v>0</v>
      </c>
      <c r="I2308">
        <v>10916</v>
      </c>
      <c r="J2308">
        <f t="shared" si="39"/>
        <v>-10916</v>
      </c>
    </row>
    <row r="2309" spans="2:10" x14ac:dyDescent="0.25">
      <c r="B2309" t="s">
        <v>287</v>
      </c>
      <c r="C2309" s="4">
        <v>44681</v>
      </c>
      <c r="D2309">
        <f t="shared" si="38"/>
        <v>4</v>
      </c>
      <c r="E2309" t="s">
        <v>21</v>
      </c>
      <c r="F2309" t="s">
        <v>129</v>
      </c>
      <c r="G2309" t="s">
        <v>288</v>
      </c>
      <c r="H2309">
        <v>1466928</v>
      </c>
      <c r="J2309">
        <f>+H2309-I2309</f>
        <v>1466928</v>
      </c>
    </row>
    <row r="2310" spans="2:10" x14ac:dyDescent="0.25">
      <c r="B2310" t="s">
        <v>287</v>
      </c>
      <c r="C2310" s="4">
        <f>+C2309</f>
        <v>44681</v>
      </c>
      <c r="D2310">
        <f t="shared" si="38"/>
        <v>4</v>
      </c>
      <c r="E2310" t="s">
        <v>16</v>
      </c>
      <c r="F2310" t="s">
        <v>43</v>
      </c>
      <c r="G2310" t="s">
        <v>288</v>
      </c>
      <c r="I2310">
        <v>1327113</v>
      </c>
      <c r="J2310">
        <f t="shared" ref="J2310:J2317" si="43">+H2310-I2310</f>
        <v>-1327113</v>
      </c>
    </row>
    <row r="2311" spans="2:10" x14ac:dyDescent="0.25">
      <c r="B2311" t="s">
        <v>287</v>
      </c>
      <c r="C2311" s="4">
        <f t="shared" ref="C2311:C2315" si="44">+C2310</f>
        <v>44681</v>
      </c>
      <c r="D2311">
        <f t="shared" si="38"/>
        <v>4</v>
      </c>
      <c r="E2311" t="s">
        <v>21</v>
      </c>
      <c r="F2311" t="s">
        <v>34</v>
      </c>
      <c r="G2311" t="s">
        <v>288</v>
      </c>
      <c r="H2311">
        <v>6738</v>
      </c>
      <c r="J2311">
        <f t="shared" si="43"/>
        <v>6738</v>
      </c>
    </row>
    <row r="2312" spans="2:10" x14ac:dyDescent="0.25">
      <c r="B2312" t="s">
        <v>287</v>
      </c>
      <c r="C2312" s="4">
        <f t="shared" si="44"/>
        <v>44681</v>
      </c>
      <c r="D2312">
        <f t="shared" si="38"/>
        <v>4</v>
      </c>
      <c r="E2312" t="s">
        <v>21</v>
      </c>
      <c r="F2312" t="s">
        <v>290</v>
      </c>
      <c r="G2312" t="s">
        <v>288</v>
      </c>
      <c r="H2312">
        <v>7692</v>
      </c>
      <c r="J2312">
        <f t="shared" si="43"/>
        <v>7692</v>
      </c>
    </row>
    <row r="2313" spans="2:10" x14ac:dyDescent="0.25">
      <c r="B2313" t="s">
        <v>287</v>
      </c>
      <c r="C2313" s="4">
        <f>+C2311</f>
        <v>44681</v>
      </c>
      <c r="D2313">
        <f t="shared" si="38"/>
        <v>4</v>
      </c>
      <c r="E2313" t="s">
        <v>16</v>
      </c>
      <c r="F2313" t="s">
        <v>20</v>
      </c>
      <c r="G2313" t="s">
        <v>288</v>
      </c>
      <c r="H2313">
        <v>1145844</v>
      </c>
      <c r="I2313">
        <v>1285659</v>
      </c>
      <c r="J2313">
        <f t="shared" si="43"/>
        <v>-139815</v>
      </c>
    </row>
    <row r="2314" spans="2:10" x14ac:dyDescent="0.25">
      <c r="B2314" t="s">
        <v>287</v>
      </c>
      <c r="C2314" s="4">
        <f t="shared" si="44"/>
        <v>44681</v>
      </c>
      <c r="D2314">
        <f t="shared" si="38"/>
        <v>4</v>
      </c>
      <c r="E2314" t="s">
        <v>16</v>
      </c>
      <c r="F2314" t="s">
        <v>19</v>
      </c>
      <c r="G2314" t="s">
        <v>288</v>
      </c>
      <c r="H2314">
        <v>7721</v>
      </c>
      <c r="J2314">
        <f t="shared" si="43"/>
        <v>7721</v>
      </c>
    </row>
    <row r="2315" spans="2:10" x14ac:dyDescent="0.25">
      <c r="B2315" t="s">
        <v>287</v>
      </c>
      <c r="C2315" s="4">
        <f t="shared" si="44"/>
        <v>44681</v>
      </c>
      <c r="D2315">
        <f t="shared" si="38"/>
        <v>4</v>
      </c>
      <c r="E2315" t="s">
        <v>21</v>
      </c>
      <c r="F2315" t="s">
        <v>22</v>
      </c>
      <c r="G2315" t="s">
        <v>288</v>
      </c>
      <c r="H2315">
        <v>0</v>
      </c>
      <c r="I2315">
        <v>22151</v>
      </c>
      <c r="J2315">
        <f t="shared" si="43"/>
        <v>-22151</v>
      </c>
    </row>
    <row r="2316" spans="2:10" x14ac:dyDescent="0.25">
      <c r="B2316" t="s">
        <v>36</v>
      </c>
      <c r="C2316" s="4">
        <v>44699</v>
      </c>
      <c r="D2316">
        <f t="shared" si="38"/>
        <v>5</v>
      </c>
      <c r="E2316" t="s">
        <v>21</v>
      </c>
      <c r="F2316" t="s">
        <v>22</v>
      </c>
      <c r="G2316" t="s">
        <v>289</v>
      </c>
      <c r="H2316">
        <v>22151</v>
      </c>
      <c r="I2316">
        <v>0</v>
      </c>
      <c r="J2316">
        <f t="shared" si="43"/>
        <v>22151</v>
      </c>
    </row>
    <row r="2317" spans="2:10" x14ac:dyDescent="0.25">
      <c r="B2317" t="s">
        <v>36</v>
      </c>
      <c r="C2317" s="4">
        <f>+C2316</f>
        <v>44699</v>
      </c>
      <c r="D2317">
        <f t="shared" si="38"/>
        <v>5</v>
      </c>
      <c r="E2317" t="s">
        <v>16</v>
      </c>
      <c r="F2317" t="s">
        <v>17</v>
      </c>
      <c r="G2317" t="s">
        <v>289</v>
      </c>
      <c r="H2317">
        <v>0</v>
      </c>
      <c r="I2317">
        <v>22151</v>
      </c>
      <c r="J2317">
        <f t="shared" si="43"/>
        <v>-22151</v>
      </c>
    </row>
    <row r="2318" spans="2:10" x14ac:dyDescent="0.25">
      <c r="B2318" t="s">
        <v>287</v>
      </c>
      <c r="C2318" s="4">
        <v>44712</v>
      </c>
      <c r="D2318">
        <f t="shared" si="38"/>
        <v>5</v>
      </c>
      <c r="E2318" t="s">
        <v>21</v>
      </c>
      <c r="F2318" t="s">
        <v>129</v>
      </c>
      <c r="G2318" t="s">
        <v>288</v>
      </c>
      <c r="H2318">
        <v>712869</v>
      </c>
      <c r="J2318">
        <f>+H2318-I2318</f>
        <v>712869</v>
      </c>
    </row>
    <row r="2319" spans="2:10" x14ac:dyDescent="0.25">
      <c r="B2319" t="s">
        <v>287</v>
      </c>
      <c r="C2319" s="4">
        <f>+C2318</f>
        <v>44712</v>
      </c>
      <c r="D2319">
        <f t="shared" si="38"/>
        <v>5</v>
      </c>
      <c r="E2319" t="s">
        <v>16</v>
      </c>
      <c r="F2319" t="s">
        <v>43</v>
      </c>
      <c r="G2319" t="s">
        <v>288</v>
      </c>
      <c r="I2319">
        <v>604927</v>
      </c>
      <c r="J2319">
        <f t="shared" ref="J2319:J2326" si="45">+H2319-I2319</f>
        <v>-604927</v>
      </c>
    </row>
    <row r="2320" spans="2:10" x14ac:dyDescent="0.25">
      <c r="B2320" t="s">
        <v>287</v>
      </c>
      <c r="C2320" s="4">
        <f t="shared" ref="C2320:C2324" si="46">+C2319</f>
        <v>44712</v>
      </c>
      <c r="D2320">
        <f t="shared" si="38"/>
        <v>5</v>
      </c>
      <c r="E2320" t="s">
        <v>21</v>
      </c>
      <c r="F2320" t="s">
        <v>34</v>
      </c>
      <c r="G2320" t="s">
        <v>288</v>
      </c>
      <c r="H2320">
        <v>6738</v>
      </c>
      <c r="J2320">
        <f t="shared" si="45"/>
        <v>6738</v>
      </c>
    </row>
    <row r="2321" spans="2:10" x14ac:dyDescent="0.25">
      <c r="B2321" t="s">
        <v>287</v>
      </c>
      <c r="C2321" s="4">
        <f t="shared" si="46"/>
        <v>44712</v>
      </c>
      <c r="D2321">
        <f t="shared" si="38"/>
        <v>5</v>
      </c>
      <c r="E2321" t="s">
        <v>21</v>
      </c>
      <c r="F2321" t="s">
        <v>290</v>
      </c>
      <c r="G2321" t="s">
        <v>288</v>
      </c>
      <c r="H2321">
        <v>8621</v>
      </c>
      <c r="J2321">
        <f t="shared" si="45"/>
        <v>8621</v>
      </c>
    </row>
    <row r="2322" spans="2:10" x14ac:dyDescent="0.25">
      <c r="B2322" t="s">
        <v>287</v>
      </c>
      <c r="C2322" s="4">
        <f>+C2320</f>
        <v>44712</v>
      </c>
      <c r="D2322">
        <f t="shared" si="38"/>
        <v>5</v>
      </c>
      <c r="E2322" t="s">
        <v>16</v>
      </c>
      <c r="F2322" t="s">
        <v>20</v>
      </c>
      <c r="G2322" t="s">
        <v>288</v>
      </c>
      <c r="H2322">
        <v>1054134</v>
      </c>
      <c r="I2322">
        <v>1162076</v>
      </c>
      <c r="J2322">
        <f t="shared" si="45"/>
        <v>-107942</v>
      </c>
    </row>
    <row r="2323" spans="2:10" x14ac:dyDescent="0.25">
      <c r="B2323" t="s">
        <v>287</v>
      </c>
      <c r="C2323" s="4">
        <f t="shared" si="46"/>
        <v>44712</v>
      </c>
      <c r="D2323">
        <f t="shared" si="38"/>
        <v>5</v>
      </c>
      <c r="E2323" t="s">
        <v>16</v>
      </c>
      <c r="F2323" t="s">
        <v>19</v>
      </c>
      <c r="G2323" t="s">
        <v>288</v>
      </c>
      <c r="H2323">
        <v>3752</v>
      </c>
      <c r="J2323">
        <f t="shared" si="45"/>
        <v>3752</v>
      </c>
    </row>
    <row r="2324" spans="2:10" x14ac:dyDescent="0.25">
      <c r="B2324" t="s">
        <v>287</v>
      </c>
      <c r="C2324" s="4">
        <f t="shared" si="46"/>
        <v>44712</v>
      </c>
      <c r="D2324">
        <f t="shared" si="38"/>
        <v>5</v>
      </c>
      <c r="E2324" t="s">
        <v>21</v>
      </c>
      <c r="F2324" t="s">
        <v>22</v>
      </c>
      <c r="G2324" t="s">
        <v>288</v>
      </c>
      <c r="H2324">
        <v>0</v>
      </c>
      <c r="I2324">
        <v>19111</v>
      </c>
      <c r="J2324">
        <f t="shared" si="45"/>
        <v>-19111</v>
      </c>
    </row>
    <row r="2325" spans="2:10" x14ac:dyDescent="0.25">
      <c r="B2325" t="s">
        <v>36</v>
      </c>
      <c r="C2325" s="4">
        <v>44732</v>
      </c>
      <c r="D2325">
        <f t="shared" si="38"/>
        <v>6</v>
      </c>
      <c r="E2325" t="s">
        <v>21</v>
      </c>
      <c r="F2325" t="s">
        <v>22</v>
      </c>
      <c r="G2325" t="s">
        <v>289</v>
      </c>
      <c r="H2325">
        <v>19111</v>
      </c>
      <c r="I2325">
        <v>0</v>
      </c>
      <c r="J2325">
        <f t="shared" si="45"/>
        <v>19111</v>
      </c>
    </row>
    <row r="2326" spans="2:10" x14ac:dyDescent="0.25">
      <c r="B2326" t="s">
        <v>36</v>
      </c>
      <c r="C2326" s="4">
        <f>+C2325</f>
        <v>44732</v>
      </c>
      <c r="D2326">
        <f t="shared" si="38"/>
        <v>6</v>
      </c>
      <c r="E2326" t="s">
        <v>16</v>
      </c>
      <c r="F2326" t="s">
        <v>17</v>
      </c>
      <c r="G2326" t="s">
        <v>289</v>
      </c>
      <c r="H2326">
        <v>0</v>
      </c>
      <c r="I2326">
        <v>19111</v>
      </c>
      <c r="J2326">
        <f t="shared" si="45"/>
        <v>-19111</v>
      </c>
    </row>
    <row r="2327" spans="2:10" x14ac:dyDescent="0.25">
      <c r="B2327" t="s">
        <v>287</v>
      </c>
      <c r="C2327" s="4">
        <v>44742</v>
      </c>
      <c r="D2327">
        <f t="shared" si="38"/>
        <v>6</v>
      </c>
      <c r="E2327" t="s">
        <v>21</v>
      </c>
      <c r="F2327" t="s">
        <v>129</v>
      </c>
      <c r="G2327" t="s">
        <v>288</v>
      </c>
      <c r="H2327">
        <v>565852</v>
      </c>
      <c r="J2327">
        <f>+H2327-I2327</f>
        <v>565852</v>
      </c>
    </row>
    <row r="2328" spans="2:10" x14ac:dyDescent="0.25">
      <c r="B2328" t="s">
        <v>287</v>
      </c>
      <c r="C2328" s="4">
        <f>+C2327</f>
        <v>44742</v>
      </c>
      <c r="D2328">
        <f t="shared" si="38"/>
        <v>6</v>
      </c>
      <c r="E2328" t="s">
        <v>16</v>
      </c>
      <c r="F2328" t="s">
        <v>43</v>
      </c>
      <c r="G2328" t="s">
        <v>288</v>
      </c>
      <c r="I2328">
        <v>457337</v>
      </c>
      <c r="J2328">
        <f t="shared" ref="J2328:J2334" si="47">+H2328-I2328</f>
        <v>-457337</v>
      </c>
    </row>
    <row r="2329" spans="2:10" x14ac:dyDescent="0.25">
      <c r="B2329" t="s">
        <v>287</v>
      </c>
      <c r="C2329" s="4">
        <f t="shared" ref="C2329:C2332" si="48">+C2328</f>
        <v>44742</v>
      </c>
      <c r="D2329">
        <f t="shared" si="38"/>
        <v>6</v>
      </c>
      <c r="E2329" t="s">
        <v>21</v>
      </c>
      <c r="F2329" t="s">
        <v>34</v>
      </c>
      <c r="G2329" t="s">
        <v>288</v>
      </c>
      <c r="H2329">
        <v>6738</v>
      </c>
      <c r="J2329">
        <f t="shared" si="47"/>
        <v>6738</v>
      </c>
    </row>
    <row r="2330" spans="2:10" x14ac:dyDescent="0.25">
      <c r="B2330" t="s">
        <v>287</v>
      </c>
      <c r="C2330" s="4">
        <f t="shared" si="48"/>
        <v>44742</v>
      </c>
      <c r="D2330">
        <f t="shared" si="38"/>
        <v>6</v>
      </c>
      <c r="E2330" t="s">
        <v>16</v>
      </c>
      <c r="F2330" t="s">
        <v>20</v>
      </c>
      <c r="G2330" t="s">
        <v>288</v>
      </c>
      <c r="H2330">
        <v>958006</v>
      </c>
      <c r="I2330">
        <v>1066521</v>
      </c>
      <c r="J2330">
        <f t="shared" si="47"/>
        <v>-108515</v>
      </c>
    </row>
    <row r="2331" spans="2:10" x14ac:dyDescent="0.25">
      <c r="B2331" t="s">
        <v>287</v>
      </c>
      <c r="C2331" s="4">
        <f t="shared" si="48"/>
        <v>44742</v>
      </c>
      <c r="D2331">
        <f t="shared" si="38"/>
        <v>6</v>
      </c>
      <c r="E2331" t="s">
        <v>16</v>
      </c>
      <c r="F2331" t="s">
        <v>19</v>
      </c>
      <c r="G2331" t="s">
        <v>288</v>
      </c>
      <c r="H2331">
        <v>2978</v>
      </c>
      <c r="J2331">
        <f t="shared" si="47"/>
        <v>2978</v>
      </c>
    </row>
    <row r="2332" spans="2:10" x14ac:dyDescent="0.25">
      <c r="B2332" t="s">
        <v>287</v>
      </c>
      <c r="C2332" s="4">
        <f t="shared" si="48"/>
        <v>44742</v>
      </c>
      <c r="D2332">
        <f t="shared" si="38"/>
        <v>6</v>
      </c>
      <c r="E2332" t="s">
        <v>21</v>
      </c>
      <c r="F2332" t="s">
        <v>22</v>
      </c>
      <c r="G2332" t="s">
        <v>288</v>
      </c>
      <c r="H2332">
        <v>0</v>
      </c>
      <c r="I2332">
        <v>9716</v>
      </c>
      <c r="J2332">
        <f t="shared" si="47"/>
        <v>-9716</v>
      </c>
    </row>
    <row r="2333" spans="2:10" x14ac:dyDescent="0.25">
      <c r="B2333" t="s">
        <v>36</v>
      </c>
      <c r="C2333" s="4">
        <v>44750</v>
      </c>
      <c r="D2333">
        <f t="shared" si="38"/>
        <v>7</v>
      </c>
      <c r="E2333" t="s">
        <v>21</v>
      </c>
      <c r="F2333" t="s">
        <v>22</v>
      </c>
      <c r="G2333" t="s">
        <v>289</v>
      </c>
      <c r="H2333">
        <v>9716</v>
      </c>
      <c r="I2333">
        <v>0</v>
      </c>
      <c r="J2333">
        <f t="shared" si="47"/>
        <v>9716</v>
      </c>
    </row>
    <row r="2334" spans="2:10" x14ac:dyDescent="0.25">
      <c r="B2334" t="s">
        <v>36</v>
      </c>
      <c r="C2334" s="4">
        <f>+C2333</f>
        <v>44750</v>
      </c>
      <c r="D2334">
        <f t="shared" si="38"/>
        <v>7</v>
      </c>
      <c r="E2334" t="s">
        <v>16</v>
      </c>
      <c r="F2334" t="s">
        <v>17</v>
      </c>
      <c r="G2334" t="s">
        <v>289</v>
      </c>
      <c r="H2334">
        <v>0</v>
      </c>
      <c r="I2334">
        <v>9716</v>
      </c>
      <c r="J2334">
        <f t="shared" si="47"/>
        <v>-9716</v>
      </c>
    </row>
    <row r="2335" spans="2:10" x14ac:dyDescent="0.25">
      <c r="B2335" t="s">
        <v>287</v>
      </c>
      <c r="C2335" s="4">
        <v>44773</v>
      </c>
      <c r="D2335">
        <f t="shared" si="38"/>
        <v>7</v>
      </c>
      <c r="E2335" t="s">
        <v>21</v>
      </c>
      <c r="F2335" t="s">
        <v>129</v>
      </c>
      <c r="G2335" t="s">
        <v>288</v>
      </c>
      <c r="H2335">
        <v>991177</v>
      </c>
      <c r="J2335">
        <f>+H2335-I2335</f>
        <v>991177</v>
      </c>
    </row>
    <row r="2336" spans="2:10" x14ac:dyDescent="0.25">
      <c r="B2336" t="s">
        <v>287</v>
      </c>
      <c r="C2336" s="4">
        <f>+C2335</f>
        <v>44773</v>
      </c>
      <c r="D2336">
        <f t="shared" si="38"/>
        <v>7</v>
      </c>
      <c r="E2336" t="s">
        <v>16</v>
      </c>
      <c r="F2336" t="s">
        <v>43</v>
      </c>
      <c r="G2336" t="s">
        <v>288</v>
      </c>
      <c r="I2336">
        <v>604205</v>
      </c>
      <c r="J2336">
        <f t="shared" ref="J2336:J2343" si="49">+H2336-I2336</f>
        <v>-604205</v>
      </c>
    </row>
    <row r="2337" spans="2:10" x14ac:dyDescent="0.25">
      <c r="B2337" t="s">
        <v>287</v>
      </c>
      <c r="C2337" s="4">
        <f t="shared" ref="C2337:C2341" si="50">+C2336</f>
        <v>44773</v>
      </c>
      <c r="D2337">
        <f t="shared" si="38"/>
        <v>7</v>
      </c>
      <c r="E2337" t="s">
        <v>21</v>
      </c>
      <c r="F2337" t="s">
        <v>34</v>
      </c>
      <c r="G2337" t="s">
        <v>288</v>
      </c>
      <c r="H2337">
        <v>6738</v>
      </c>
      <c r="J2337">
        <f t="shared" si="49"/>
        <v>6738</v>
      </c>
    </row>
    <row r="2338" spans="2:10" x14ac:dyDescent="0.25">
      <c r="B2338" t="s">
        <v>287</v>
      </c>
      <c r="C2338" s="4">
        <f t="shared" si="50"/>
        <v>44773</v>
      </c>
      <c r="D2338">
        <f t="shared" si="38"/>
        <v>7</v>
      </c>
      <c r="E2338" t="s">
        <v>16</v>
      </c>
      <c r="F2338" t="s">
        <v>20</v>
      </c>
      <c r="G2338" t="s">
        <v>288</v>
      </c>
      <c r="H2338">
        <v>579827</v>
      </c>
      <c r="I2338">
        <v>966799</v>
      </c>
      <c r="J2338">
        <f t="shared" si="49"/>
        <v>-386972</v>
      </c>
    </row>
    <row r="2339" spans="2:10" x14ac:dyDescent="0.25">
      <c r="B2339" t="s">
        <v>287</v>
      </c>
      <c r="C2339" s="4">
        <f t="shared" si="50"/>
        <v>44773</v>
      </c>
      <c r="D2339">
        <f t="shared" si="38"/>
        <v>7</v>
      </c>
      <c r="E2339" t="s">
        <v>21</v>
      </c>
      <c r="F2339" t="s">
        <v>290</v>
      </c>
      <c r="G2339" t="s">
        <v>288</v>
      </c>
      <c r="H2339">
        <v>8029</v>
      </c>
      <c r="J2339">
        <f t="shared" si="49"/>
        <v>8029</v>
      </c>
    </row>
    <row r="2340" spans="2:10" x14ac:dyDescent="0.25">
      <c r="B2340" t="s">
        <v>287</v>
      </c>
      <c r="C2340" s="4">
        <f>+C2338</f>
        <v>44773</v>
      </c>
      <c r="D2340">
        <f t="shared" si="38"/>
        <v>7</v>
      </c>
      <c r="E2340" t="s">
        <v>16</v>
      </c>
      <c r="F2340" t="s">
        <v>19</v>
      </c>
      <c r="G2340" t="s">
        <v>288</v>
      </c>
      <c r="H2340">
        <v>5217</v>
      </c>
      <c r="J2340">
        <f t="shared" si="49"/>
        <v>5217</v>
      </c>
    </row>
    <row r="2341" spans="2:10" x14ac:dyDescent="0.25">
      <c r="B2341" t="s">
        <v>287</v>
      </c>
      <c r="C2341" s="4">
        <f t="shared" si="50"/>
        <v>44773</v>
      </c>
      <c r="D2341">
        <f t="shared" si="38"/>
        <v>7</v>
      </c>
      <c r="E2341" t="s">
        <v>21</v>
      </c>
      <c r="F2341" t="s">
        <v>22</v>
      </c>
      <c r="G2341" t="s">
        <v>288</v>
      </c>
      <c r="H2341">
        <v>0</v>
      </c>
      <c r="I2341">
        <v>19984</v>
      </c>
      <c r="J2341">
        <f t="shared" si="49"/>
        <v>-19984</v>
      </c>
    </row>
    <row r="2342" spans="2:10" x14ac:dyDescent="0.25">
      <c r="B2342" t="s">
        <v>36</v>
      </c>
      <c r="C2342" s="4">
        <v>44792</v>
      </c>
      <c r="D2342">
        <f t="shared" si="38"/>
        <v>8</v>
      </c>
      <c r="E2342" t="s">
        <v>21</v>
      </c>
      <c r="F2342" t="s">
        <v>22</v>
      </c>
      <c r="G2342" t="s">
        <v>289</v>
      </c>
      <c r="H2342">
        <v>19984</v>
      </c>
      <c r="I2342">
        <v>0</v>
      </c>
      <c r="J2342">
        <f t="shared" si="49"/>
        <v>19984</v>
      </c>
    </row>
    <row r="2343" spans="2:10" x14ac:dyDescent="0.25">
      <c r="B2343" t="s">
        <v>36</v>
      </c>
      <c r="C2343" s="4">
        <f>+C2342</f>
        <v>44792</v>
      </c>
      <c r="D2343">
        <f t="shared" si="38"/>
        <v>8</v>
      </c>
      <c r="E2343" t="s">
        <v>16</v>
      </c>
      <c r="F2343" t="s">
        <v>17</v>
      </c>
      <c r="G2343" t="s">
        <v>289</v>
      </c>
      <c r="H2343">
        <v>0</v>
      </c>
      <c r="I2343">
        <v>19984</v>
      </c>
      <c r="J2343">
        <f t="shared" si="49"/>
        <v>-19984</v>
      </c>
    </row>
    <row r="2344" spans="2:10" x14ac:dyDescent="0.25">
      <c r="B2344" t="s">
        <v>287</v>
      </c>
      <c r="C2344" s="4">
        <v>44803</v>
      </c>
      <c r="D2344">
        <f t="shared" si="38"/>
        <v>8</v>
      </c>
      <c r="E2344" t="s">
        <v>21</v>
      </c>
      <c r="F2344" t="s">
        <v>129</v>
      </c>
      <c r="G2344" t="s">
        <v>288</v>
      </c>
      <c r="H2344">
        <v>669842</v>
      </c>
      <c r="J2344">
        <f>+H2344-I2344</f>
        <v>669842</v>
      </c>
    </row>
    <row r="2345" spans="2:10" x14ac:dyDescent="0.25">
      <c r="B2345" t="s">
        <v>287</v>
      </c>
      <c r="C2345" s="4">
        <f>+C2344</f>
        <v>44803</v>
      </c>
      <c r="D2345">
        <f t="shared" si="38"/>
        <v>8</v>
      </c>
      <c r="E2345" t="s">
        <v>16</v>
      </c>
      <c r="F2345" t="s">
        <v>43</v>
      </c>
      <c r="G2345" t="s">
        <v>288</v>
      </c>
      <c r="I2345">
        <v>391999</v>
      </c>
      <c r="J2345">
        <f t="shared" ref="J2345:J2352" si="51">+H2345-I2345</f>
        <v>-391999</v>
      </c>
    </row>
    <row r="2346" spans="2:10" x14ac:dyDescent="0.25">
      <c r="B2346" t="s">
        <v>287</v>
      </c>
      <c r="C2346" s="4">
        <f t="shared" ref="C2346:C2350" si="52">+C2345</f>
        <v>44803</v>
      </c>
      <c r="D2346">
        <f t="shared" si="38"/>
        <v>8</v>
      </c>
      <c r="E2346" t="s">
        <v>21</v>
      </c>
      <c r="F2346" t="s">
        <v>34</v>
      </c>
      <c r="G2346" t="s">
        <v>288</v>
      </c>
      <c r="H2346">
        <v>6738</v>
      </c>
      <c r="J2346">
        <f t="shared" si="51"/>
        <v>6738</v>
      </c>
    </row>
    <row r="2347" spans="2:10" x14ac:dyDescent="0.25">
      <c r="B2347" t="s">
        <v>287</v>
      </c>
      <c r="C2347" s="4">
        <f t="shared" si="52"/>
        <v>44803</v>
      </c>
      <c r="D2347">
        <f t="shared" si="38"/>
        <v>8</v>
      </c>
      <c r="E2347" t="s">
        <v>21</v>
      </c>
      <c r="F2347" t="s">
        <v>290</v>
      </c>
      <c r="G2347" t="s">
        <v>288</v>
      </c>
      <c r="H2347">
        <v>8632</v>
      </c>
      <c r="J2347">
        <f t="shared" si="51"/>
        <v>8632</v>
      </c>
    </row>
    <row r="2348" spans="2:10" x14ac:dyDescent="0.25">
      <c r="B2348" t="s">
        <v>287</v>
      </c>
      <c r="C2348" s="4">
        <f>+C2346</f>
        <v>44803</v>
      </c>
      <c r="D2348">
        <f t="shared" si="38"/>
        <v>8</v>
      </c>
      <c r="E2348" t="s">
        <v>16</v>
      </c>
      <c r="F2348" t="s">
        <v>20</v>
      </c>
      <c r="G2348" t="s">
        <v>288</v>
      </c>
      <c r="H2348">
        <v>310360</v>
      </c>
      <c r="I2348">
        <v>588203</v>
      </c>
      <c r="J2348">
        <f t="shared" si="51"/>
        <v>-277843</v>
      </c>
    </row>
    <row r="2349" spans="2:10" x14ac:dyDescent="0.25">
      <c r="B2349" t="s">
        <v>287</v>
      </c>
      <c r="C2349" s="4">
        <f t="shared" si="52"/>
        <v>44803</v>
      </c>
      <c r="D2349">
        <f t="shared" ref="D2349:D2386" si="53">MONTH(C2349)</f>
        <v>8</v>
      </c>
      <c r="E2349" t="s">
        <v>16</v>
      </c>
      <c r="F2349" t="s">
        <v>19</v>
      </c>
      <c r="G2349" t="s">
        <v>288</v>
      </c>
      <c r="H2349">
        <v>3525</v>
      </c>
      <c r="J2349">
        <f t="shared" si="51"/>
        <v>3525</v>
      </c>
    </row>
    <row r="2350" spans="2:10" x14ac:dyDescent="0.25">
      <c r="B2350" t="s">
        <v>287</v>
      </c>
      <c r="C2350" s="4">
        <f t="shared" si="52"/>
        <v>44803</v>
      </c>
      <c r="D2350">
        <f t="shared" si="53"/>
        <v>8</v>
      </c>
      <c r="E2350" t="s">
        <v>21</v>
      </c>
      <c r="F2350" t="s">
        <v>22</v>
      </c>
      <c r="G2350" t="s">
        <v>288</v>
      </c>
      <c r="H2350">
        <v>0</v>
      </c>
      <c r="I2350">
        <v>18895</v>
      </c>
      <c r="J2350">
        <f t="shared" si="51"/>
        <v>-18895</v>
      </c>
    </row>
    <row r="2351" spans="2:10" x14ac:dyDescent="0.25">
      <c r="B2351" t="s">
        <v>36</v>
      </c>
      <c r="C2351" s="4">
        <v>44819</v>
      </c>
      <c r="D2351">
        <f t="shared" si="53"/>
        <v>9</v>
      </c>
      <c r="E2351" t="s">
        <v>21</v>
      </c>
      <c r="F2351" t="s">
        <v>22</v>
      </c>
      <c r="G2351" t="s">
        <v>289</v>
      </c>
      <c r="H2351">
        <v>18895</v>
      </c>
      <c r="I2351">
        <v>0</v>
      </c>
      <c r="J2351">
        <f t="shared" si="51"/>
        <v>18895</v>
      </c>
    </row>
    <row r="2352" spans="2:10" x14ac:dyDescent="0.25">
      <c r="B2352" t="s">
        <v>36</v>
      </c>
      <c r="C2352" s="4">
        <f>+C2351</f>
        <v>44819</v>
      </c>
      <c r="D2352">
        <f t="shared" si="53"/>
        <v>9</v>
      </c>
      <c r="E2352" t="s">
        <v>16</v>
      </c>
      <c r="F2352" t="s">
        <v>17</v>
      </c>
      <c r="G2352" t="s">
        <v>289</v>
      </c>
      <c r="H2352">
        <v>0</v>
      </c>
      <c r="I2352">
        <v>18895</v>
      </c>
      <c r="J2352">
        <f t="shared" si="51"/>
        <v>-18895</v>
      </c>
    </row>
    <row r="2353" spans="2:10" x14ac:dyDescent="0.25">
      <c r="B2353" t="s">
        <v>287</v>
      </c>
      <c r="C2353" s="4">
        <v>44834</v>
      </c>
      <c r="D2353">
        <f t="shared" si="53"/>
        <v>9</v>
      </c>
      <c r="E2353" t="s">
        <v>21</v>
      </c>
      <c r="F2353" t="s">
        <v>129</v>
      </c>
      <c r="G2353" t="s">
        <v>288</v>
      </c>
      <c r="H2353">
        <v>613795</v>
      </c>
      <c r="J2353">
        <f>+H2353-I2353</f>
        <v>613795</v>
      </c>
    </row>
    <row r="2354" spans="2:10" x14ac:dyDescent="0.25">
      <c r="B2354" t="s">
        <v>287</v>
      </c>
      <c r="C2354" s="4">
        <f>+C2353</f>
        <v>44834</v>
      </c>
      <c r="D2354">
        <f t="shared" si="53"/>
        <v>9</v>
      </c>
      <c r="E2354" t="s">
        <v>16</v>
      </c>
      <c r="F2354" t="s">
        <v>43</v>
      </c>
      <c r="G2354" t="s">
        <v>288</v>
      </c>
      <c r="I2354">
        <v>303991</v>
      </c>
      <c r="J2354">
        <f t="shared" ref="J2354:J2361" si="54">+H2354-I2354</f>
        <v>-303991</v>
      </c>
    </row>
    <row r="2355" spans="2:10" x14ac:dyDescent="0.25">
      <c r="B2355" t="s">
        <v>287</v>
      </c>
      <c r="C2355" s="4">
        <f t="shared" ref="C2355:C2359" si="55">+C2354</f>
        <v>44834</v>
      </c>
      <c r="D2355">
        <f t="shared" si="53"/>
        <v>9</v>
      </c>
      <c r="E2355" t="s">
        <v>21</v>
      </c>
      <c r="F2355" t="s">
        <v>34</v>
      </c>
      <c r="G2355" t="s">
        <v>288</v>
      </c>
      <c r="H2355">
        <v>6738</v>
      </c>
      <c r="J2355">
        <f t="shared" si="54"/>
        <v>6738</v>
      </c>
    </row>
    <row r="2356" spans="2:10" x14ac:dyDescent="0.25">
      <c r="B2356" t="s">
        <v>287</v>
      </c>
      <c r="C2356" s="4">
        <f t="shared" si="55"/>
        <v>44834</v>
      </c>
      <c r="D2356">
        <f t="shared" si="53"/>
        <v>9</v>
      </c>
      <c r="E2356" t="s">
        <v>21</v>
      </c>
      <c r="F2356" t="s">
        <v>290</v>
      </c>
      <c r="G2356" t="s">
        <v>288</v>
      </c>
      <c r="H2356">
        <v>8575</v>
      </c>
      <c r="J2356">
        <f t="shared" si="54"/>
        <v>8575</v>
      </c>
    </row>
    <row r="2357" spans="2:10" x14ac:dyDescent="0.25">
      <c r="B2357" t="s">
        <v>287</v>
      </c>
      <c r="C2357" s="4">
        <f>+C2355</f>
        <v>44834</v>
      </c>
      <c r="D2357">
        <f t="shared" si="53"/>
        <v>9</v>
      </c>
      <c r="E2357" t="s">
        <v>16</v>
      </c>
      <c r="F2357" t="s">
        <v>20</v>
      </c>
      <c r="G2357" t="s">
        <v>288</v>
      </c>
      <c r="H2357">
        <v>4411</v>
      </c>
      <c r="I2357">
        <v>314215</v>
      </c>
      <c r="J2357">
        <f t="shared" si="54"/>
        <v>-309804</v>
      </c>
    </row>
    <row r="2358" spans="2:10" x14ac:dyDescent="0.25">
      <c r="B2358" t="s">
        <v>287</v>
      </c>
      <c r="C2358" s="4">
        <f t="shared" si="55"/>
        <v>44834</v>
      </c>
      <c r="D2358">
        <f t="shared" si="53"/>
        <v>9</v>
      </c>
      <c r="E2358" t="s">
        <v>16</v>
      </c>
      <c r="F2358" t="s">
        <v>19</v>
      </c>
      <c r="G2358" t="s">
        <v>288</v>
      </c>
      <c r="H2358">
        <v>3231</v>
      </c>
      <c r="J2358">
        <f t="shared" si="54"/>
        <v>3231</v>
      </c>
    </row>
    <row r="2359" spans="2:10" x14ac:dyDescent="0.25">
      <c r="B2359" t="s">
        <v>287</v>
      </c>
      <c r="C2359" s="4">
        <f t="shared" si="55"/>
        <v>44834</v>
      </c>
      <c r="D2359">
        <f t="shared" si="53"/>
        <v>9</v>
      </c>
      <c r="E2359" t="s">
        <v>21</v>
      </c>
      <c r="F2359" t="s">
        <v>22</v>
      </c>
      <c r="G2359" t="s">
        <v>288</v>
      </c>
      <c r="H2359">
        <v>0</v>
      </c>
      <c r="I2359">
        <v>18544</v>
      </c>
      <c r="J2359">
        <f t="shared" si="54"/>
        <v>-18544</v>
      </c>
    </row>
    <row r="2360" spans="2:10" x14ac:dyDescent="0.25">
      <c r="B2360" t="s">
        <v>36</v>
      </c>
      <c r="C2360" s="4">
        <v>44852</v>
      </c>
      <c r="D2360">
        <f t="shared" si="53"/>
        <v>10</v>
      </c>
      <c r="E2360" t="s">
        <v>21</v>
      </c>
      <c r="F2360" t="s">
        <v>22</v>
      </c>
      <c r="G2360" t="s">
        <v>289</v>
      </c>
      <c r="H2360">
        <v>18544</v>
      </c>
      <c r="I2360">
        <v>0</v>
      </c>
      <c r="J2360">
        <f t="shared" si="54"/>
        <v>18544</v>
      </c>
    </row>
    <row r="2361" spans="2:10" x14ac:dyDescent="0.25">
      <c r="B2361" t="s">
        <v>36</v>
      </c>
      <c r="C2361" s="4">
        <f>+C2360</f>
        <v>44852</v>
      </c>
      <c r="D2361">
        <f t="shared" si="53"/>
        <v>10</v>
      </c>
      <c r="E2361" t="s">
        <v>16</v>
      </c>
      <c r="F2361" t="s">
        <v>17</v>
      </c>
      <c r="G2361" t="s">
        <v>289</v>
      </c>
      <c r="H2361">
        <v>0</v>
      </c>
      <c r="I2361">
        <v>18544</v>
      </c>
      <c r="J2361">
        <f t="shared" si="54"/>
        <v>-18544</v>
      </c>
    </row>
    <row r="2362" spans="2:10" x14ac:dyDescent="0.25">
      <c r="B2362" t="s">
        <v>287</v>
      </c>
      <c r="C2362" s="4">
        <v>44865</v>
      </c>
      <c r="D2362">
        <f t="shared" si="53"/>
        <v>10</v>
      </c>
      <c r="E2362" t="s">
        <v>21</v>
      </c>
      <c r="F2362" t="s">
        <v>129</v>
      </c>
      <c r="G2362" t="s">
        <v>288</v>
      </c>
      <c r="H2362">
        <v>925822</v>
      </c>
      <c r="J2362">
        <f>+H2362-I2362</f>
        <v>925822</v>
      </c>
    </row>
    <row r="2363" spans="2:10" x14ac:dyDescent="0.25">
      <c r="B2363" t="s">
        <v>287</v>
      </c>
      <c r="C2363" s="4">
        <f>+C2362</f>
        <v>44865</v>
      </c>
      <c r="D2363">
        <f t="shared" si="53"/>
        <v>10</v>
      </c>
      <c r="E2363" t="s">
        <v>16</v>
      </c>
      <c r="F2363" t="s">
        <v>43</v>
      </c>
      <c r="G2363" t="s">
        <v>288</v>
      </c>
      <c r="I2363">
        <v>391015</v>
      </c>
      <c r="J2363">
        <f t="shared" ref="J2363:J2370" si="56">+H2363-I2363</f>
        <v>-391015</v>
      </c>
    </row>
    <row r="2364" spans="2:10" x14ac:dyDescent="0.25">
      <c r="B2364" t="s">
        <v>287</v>
      </c>
      <c r="C2364" s="4">
        <f t="shared" ref="C2364:C2368" si="57">+C2363</f>
        <v>44865</v>
      </c>
      <c r="D2364">
        <f t="shared" si="53"/>
        <v>10</v>
      </c>
      <c r="E2364" t="s">
        <v>21</v>
      </c>
      <c r="F2364" t="s">
        <v>34</v>
      </c>
      <c r="G2364" t="s">
        <v>288</v>
      </c>
      <c r="H2364">
        <v>6738</v>
      </c>
      <c r="J2364">
        <f t="shared" si="56"/>
        <v>6738</v>
      </c>
    </row>
    <row r="2365" spans="2:10" x14ac:dyDescent="0.25">
      <c r="B2365" t="s">
        <v>287</v>
      </c>
      <c r="C2365" s="4">
        <f t="shared" si="57"/>
        <v>44865</v>
      </c>
      <c r="D2365">
        <f t="shared" si="53"/>
        <v>10</v>
      </c>
      <c r="E2365" t="s">
        <v>16</v>
      </c>
      <c r="F2365" t="s">
        <v>20</v>
      </c>
      <c r="G2365" t="s">
        <v>288</v>
      </c>
      <c r="I2365">
        <v>4260</v>
      </c>
      <c r="J2365">
        <f t="shared" si="56"/>
        <v>-4260</v>
      </c>
    </row>
    <row r="2366" spans="2:10" x14ac:dyDescent="0.25">
      <c r="B2366" t="s">
        <v>287</v>
      </c>
      <c r="C2366" s="4">
        <f t="shared" si="57"/>
        <v>44865</v>
      </c>
      <c r="D2366">
        <f t="shared" si="53"/>
        <v>10</v>
      </c>
      <c r="E2366" t="s">
        <v>21</v>
      </c>
      <c r="F2366" t="s">
        <v>290</v>
      </c>
      <c r="G2366" t="s">
        <v>288</v>
      </c>
      <c r="H2366">
        <v>8499</v>
      </c>
      <c r="J2366">
        <f t="shared" si="56"/>
        <v>8499</v>
      </c>
    </row>
    <row r="2367" spans="2:10" x14ac:dyDescent="0.25">
      <c r="B2367" t="s">
        <v>287</v>
      </c>
      <c r="C2367" s="4">
        <f>+C2365</f>
        <v>44865</v>
      </c>
      <c r="D2367">
        <f t="shared" si="53"/>
        <v>10</v>
      </c>
      <c r="E2367" t="s">
        <v>16</v>
      </c>
      <c r="F2367" t="s">
        <v>19</v>
      </c>
      <c r="G2367" t="s">
        <v>288</v>
      </c>
      <c r="H2367">
        <v>4873</v>
      </c>
      <c r="J2367">
        <f t="shared" si="56"/>
        <v>4873</v>
      </c>
    </row>
    <row r="2368" spans="2:10" x14ac:dyDescent="0.25">
      <c r="B2368" t="s">
        <v>287</v>
      </c>
      <c r="C2368" s="4">
        <f t="shared" si="57"/>
        <v>44865</v>
      </c>
      <c r="D2368">
        <f t="shared" si="53"/>
        <v>10</v>
      </c>
      <c r="E2368" t="s">
        <v>21</v>
      </c>
      <c r="F2368" t="s">
        <v>22</v>
      </c>
      <c r="G2368" t="s">
        <v>288</v>
      </c>
      <c r="H2368">
        <v>0</v>
      </c>
      <c r="I2368">
        <v>550657</v>
      </c>
      <c r="J2368">
        <f t="shared" si="56"/>
        <v>-550657</v>
      </c>
    </row>
    <row r="2369" spans="2:10" x14ac:dyDescent="0.25">
      <c r="B2369" t="s">
        <v>36</v>
      </c>
      <c r="C2369" s="4">
        <v>44883</v>
      </c>
      <c r="D2369">
        <f t="shared" si="53"/>
        <v>11</v>
      </c>
      <c r="E2369" t="s">
        <v>21</v>
      </c>
      <c r="F2369" t="s">
        <v>22</v>
      </c>
      <c r="G2369" t="s">
        <v>289</v>
      </c>
      <c r="H2369">
        <v>550657</v>
      </c>
      <c r="I2369">
        <v>0</v>
      </c>
      <c r="J2369">
        <f t="shared" si="56"/>
        <v>550657</v>
      </c>
    </row>
    <row r="2370" spans="2:10" x14ac:dyDescent="0.25">
      <c r="B2370" t="s">
        <v>36</v>
      </c>
      <c r="C2370" s="4">
        <f>+C2369</f>
        <v>44883</v>
      </c>
      <c r="D2370">
        <f t="shared" si="53"/>
        <v>11</v>
      </c>
      <c r="E2370" t="s">
        <v>16</v>
      </c>
      <c r="F2370" t="s">
        <v>17</v>
      </c>
      <c r="G2370" t="s">
        <v>289</v>
      </c>
      <c r="H2370">
        <v>0</v>
      </c>
      <c r="I2370">
        <v>550657</v>
      </c>
      <c r="J2370">
        <f t="shared" si="56"/>
        <v>-550657</v>
      </c>
    </row>
    <row r="2371" spans="2:10" x14ac:dyDescent="0.25">
      <c r="B2371" t="s">
        <v>287</v>
      </c>
      <c r="C2371" s="4">
        <v>44895</v>
      </c>
      <c r="D2371">
        <f t="shared" si="53"/>
        <v>11</v>
      </c>
      <c r="E2371" t="s">
        <v>21</v>
      </c>
      <c r="F2371" t="s">
        <v>129</v>
      </c>
      <c r="G2371" t="s">
        <v>288</v>
      </c>
      <c r="H2371">
        <v>581785</v>
      </c>
      <c r="J2371">
        <f>+H2371-I2371</f>
        <v>581785</v>
      </c>
    </row>
    <row r="2372" spans="2:10" x14ac:dyDescent="0.25">
      <c r="B2372" t="s">
        <v>287</v>
      </c>
      <c r="C2372" s="4">
        <f>+C2371</f>
        <v>44895</v>
      </c>
      <c r="D2372">
        <f t="shared" si="53"/>
        <v>11</v>
      </c>
      <c r="E2372" t="s">
        <v>16</v>
      </c>
      <c r="F2372" t="s">
        <v>43</v>
      </c>
      <c r="G2372" t="s">
        <v>288</v>
      </c>
      <c r="I2372">
        <v>566768</v>
      </c>
      <c r="J2372">
        <f t="shared" ref="J2372:J2378" si="58">+H2372-I2372</f>
        <v>-566768</v>
      </c>
    </row>
    <row r="2373" spans="2:10" x14ac:dyDescent="0.25">
      <c r="B2373" t="s">
        <v>287</v>
      </c>
      <c r="C2373" s="4">
        <f t="shared" ref="C2373:C2376" si="59">+C2372</f>
        <v>44895</v>
      </c>
      <c r="D2373">
        <f t="shared" si="53"/>
        <v>11</v>
      </c>
      <c r="E2373" t="s">
        <v>21</v>
      </c>
      <c r="F2373" t="s">
        <v>34</v>
      </c>
      <c r="G2373" t="s">
        <v>288</v>
      </c>
      <c r="H2373">
        <v>6738</v>
      </c>
      <c r="J2373">
        <f t="shared" si="58"/>
        <v>6738</v>
      </c>
    </row>
    <row r="2374" spans="2:10" x14ac:dyDescent="0.25">
      <c r="B2374" t="s">
        <v>287</v>
      </c>
      <c r="C2374" s="4">
        <f t="shared" si="59"/>
        <v>44895</v>
      </c>
      <c r="D2374">
        <f t="shared" si="53"/>
        <v>11</v>
      </c>
      <c r="E2374" t="s">
        <v>21</v>
      </c>
      <c r="F2374" t="s">
        <v>290</v>
      </c>
      <c r="G2374" t="s">
        <v>288</v>
      </c>
      <c r="H2374">
        <v>5647</v>
      </c>
      <c r="J2374">
        <f t="shared" si="58"/>
        <v>5647</v>
      </c>
    </row>
    <row r="2375" spans="2:10" x14ac:dyDescent="0.25">
      <c r="B2375" t="s">
        <v>287</v>
      </c>
      <c r="C2375" s="4">
        <f t="shared" si="59"/>
        <v>44895</v>
      </c>
      <c r="D2375">
        <f t="shared" si="53"/>
        <v>11</v>
      </c>
      <c r="E2375" t="s">
        <v>16</v>
      </c>
      <c r="F2375" t="s">
        <v>19</v>
      </c>
      <c r="G2375" t="s">
        <v>288</v>
      </c>
      <c r="H2375">
        <v>3062</v>
      </c>
      <c r="J2375">
        <f t="shared" si="58"/>
        <v>3062</v>
      </c>
    </row>
    <row r="2376" spans="2:10" x14ac:dyDescent="0.25">
      <c r="B2376" t="s">
        <v>287</v>
      </c>
      <c r="C2376" s="4">
        <f t="shared" si="59"/>
        <v>44895</v>
      </c>
      <c r="D2376">
        <f t="shared" si="53"/>
        <v>11</v>
      </c>
      <c r="E2376" t="s">
        <v>21</v>
      </c>
      <c r="F2376" t="s">
        <v>22</v>
      </c>
      <c r="G2376" t="s">
        <v>288</v>
      </c>
      <c r="H2376">
        <v>0</v>
      </c>
      <c r="I2376">
        <v>30464</v>
      </c>
      <c r="J2376">
        <f t="shared" si="58"/>
        <v>-30464</v>
      </c>
    </row>
    <row r="2377" spans="2:10" x14ac:dyDescent="0.25">
      <c r="B2377" t="s">
        <v>36</v>
      </c>
      <c r="C2377" s="4">
        <v>44915</v>
      </c>
      <c r="D2377">
        <f t="shared" si="53"/>
        <v>12</v>
      </c>
      <c r="E2377" t="s">
        <v>21</v>
      </c>
      <c r="F2377" t="s">
        <v>22</v>
      </c>
      <c r="G2377" t="s">
        <v>289</v>
      </c>
      <c r="H2377">
        <v>30464</v>
      </c>
      <c r="I2377">
        <v>0</v>
      </c>
      <c r="J2377">
        <f t="shared" si="58"/>
        <v>30464</v>
      </c>
    </row>
    <row r="2378" spans="2:10" x14ac:dyDescent="0.25">
      <c r="B2378" t="s">
        <v>36</v>
      </c>
      <c r="C2378" s="4">
        <f>+C2377</f>
        <v>44915</v>
      </c>
      <c r="D2378">
        <f t="shared" si="53"/>
        <v>12</v>
      </c>
      <c r="E2378" t="s">
        <v>16</v>
      </c>
      <c r="F2378" t="s">
        <v>17</v>
      </c>
      <c r="G2378" t="s">
        <v>289</v>
      </c>
      <c r="H2378">
        <v>0</v>
      </c>
      <c r="I2378">
        <v>30464</v>
      </c>
      <c r="J2378">
        <f t="shared" si="58"/>
        <v>-30464</v>
      </c>
    </row>
    <row r="2379" spans="2:10" x14ac:dyDescent="0.25">
      <c r="B2379" t="s">
        <v>287</v>
      </c>
      <c r="C2379" s="4">
        <v>44926</v>
      </c>
      <c r="D2379">
        <f t="shared" si="53"/>
        <v>12</v>
      </c>
      <c r="E2379" t="s">
        <v>21</v>
      </c>
      <c r="F2379" t="s">
        <v>129</v>
      </c>
      <c r="G2379" t="s">
        <v>288</v>
      </c>
      <c r="H2379">
        <v>884416</v>
      </c>
      <c r="J2379">
        <f>+H2379-I2379</f>
        <v>884416</v>
      </c>
    </row>
    <row r="2380" spans="2:10" x14ac:dyDescent="0.25">
      <c r="B2380" t="s">
        <v>287</v>
      </c>
      <c r="C2380" s="4">
        <f>+C2379</f>
        <v>44926</v>
      </c>
      <c r="D2380">
        <f t="shared" si="53"/>
        <v>12</v>
      </c>
      <c r="E2380" t="s">
        <v>16</v>
      </c>
      <c r="F2380" t="s">
        <v>43</v>
      </c>
      <c r="G2380" t="s">
        <v>288</v>
      </c>
      <c r="I2380">
        <v>473497</v>
      </c>
      <c r="J2380">
        <f t="shared" ref="J2380:J2386" si="60">+H2380-I2380</f>
        <v>-473497</v>
      </c>
    </row>
    <row r="2381" spans="2:10" x14ac:dyDescent="0.25">
      <c r="B2381" t="s">
        <v>287</v>
      </c>
      <c r="C2381" s="4">
        <f t="shared" ref="C2381:C2386" si="61">+C2380</f>
        <v>44926</v>
      </c>
      <c r="D2381">
        <f t="shared" si="53"/>
        <v>12</v>
      </c>
      <c r="E2381" t="s">
        <v>21</v>
      </c>
      <c r="F2381" t="s">
        <v>34</v>
      </c>
      <c r="G2381" t="s">
        <v>288</v>
      </c>
      <c r="H2381">
        <v>6738</v>
      </c>
      <c r="J2381">
        <f t="shared" si="60"/>
        <v>6738</v>
      </c>
    </row>
    <row r="2382" spans="2:10" x14ac:dyDescent="0.25">
      <c r="B2382" t="s">
        <v>287</v>
      </c>
      <c r="C2382" s="4">
        <f t="shared" si="61"/>
        <v>44926</v>
      </c>
      <c r="D2382">
        <f t="shared" si="53"/>
        <v>12</v>
      </c>
      <c r="E2382" t="s">
        <v>21</v>
      </c>
      <c r="F2382" t="s">
        <v>290</v>
      </c>
      <c r="G2382" t="s">
        <v>288</v>
      </c>
      <c r="H2382">
        <v>7024</v>
      </c>
      <c r="J2382">
        <f t="shared" si="60"/>
        <v>7024</v>
      </c>
    </row>
    <row r="2383" spans="2:10" x14ac:dyDescent="0.25">
      <c r="B2383" t="s">
        <v>287</v>
      </c>
      <c r="C2383" s="4">
        <f t="shared" si="61"/>
        <v>44926</v>
      </c>
      <c r="D2383">
        <f t="shared" si="53"/>
        <v>12</v>
      </c>
      <c r="E2383" t="s">
        <v>16</v>
      </c>
      <c r="F2383" t="s">
        <v>19</v>
      </c>
      <c r="G2383" t="s">
        <v>288</v>
      </c>
      <c r="H2383">
        <v>4655</v>
      </c>
      <c r="J2383">
        <f t="shared" si="60"/>
        <v>4655</v>
      </c>
    </row>
    <row r="2384" spans="2:10" x14ac:dyDescent="0.25">
      <c r="B2384" t="s">
        <v>287</v>
      </c>
      <c r="C2384" s="4">
        <f t="shared" si="61"/>
        <v>44926</v>
      </c>
      <c r="D2384">
        <f t="shared" si="53"/>
        <v>12</v>
      </c>
      <c r="E2384" t="s">
        <v>21</v>
      </c>
      <c r="F2384" t="s">
        <v>22</v>
      </c>
      <c r="G2384" t="s">
        <v>288</v>
      </c>
      <c r="H2384">
        <v>0</v>
      </c>
      <c r="I2384">
        <v>429336</v>
      </c>
      <c r="J2384">
        <f t="shared" si="60"/>
        <v>-429336</v>
      </c>
    </row>
    <row r="2385" spans="2:15" x14ac:dyDescent="0.25">
      <c r="B2385" t="s">
        <v>287</v>
      </c>
      <c r="C2385" s="4">
        <f t="shared" si="61"/>
        <v>44926</v>
      </c>
      <c r="D2385">
        <f t="shared" si="53"/>
        <v>12</v>
      </c>
      <c r="E2385" t="s">
        <v>16</v>
      </c>
      <c r="F2385" t="s">
        <v>19</v>
      </c>
      <c r="G2385" t="s">
        <v>291</v>
      </c>
      <c r="H2385">
        <v>2659</v>
      </c>
      <c r="J2385">
        <f t="shared" si="60"/>
        <v>2659</v>
      </c>
    </row>
    <row r="2386" spans="2:15" x14ac:dyDescent="0.25">
      <c r="B2386" t="s">
        <v>287</v>
      </c>
      <c r="C2386" s="4">
        <f t="shared" si="61"/>
        <v>44926</v>
      </c>
      <c r="D2386">
        <f t="shared" si="53"/>
        <v>12</v>
      </c>
      <c r="E2386" t="s">
        <v>292</v>
      </c>
      <c r="F2386" t="s">
        <v>293</v>
      </c>
      <c r="G2386" t="s">
        <v>291</v>
      </c>
      <c r="I2386">
        <v>2659</v>
      </c>
      <c r="J2386">
        <f t="shared" si="60"/>
        <v>-2659</v>
      </c>
    </row>
    <row r="2387" spans="2:15" x14ac:dyDescent="0.25">
      <c r="B2387" t="s">
        <v>15</v>
      </c>
      <c r="C2387" s="4">
        <v>44592</v>
      </c>
      <c r="D2387">
        <v>1</v>
      </c>
      <c r="E2387" t="s">
        <v>38</v>
      </c>
      <c r="F2387" t="s">
        <v>294</v>
      </c>
      <c r="G2387" t="s">
        <v>295</v>
      </c>
      <c r="H2387">
        <v>1128000</v>
      </c>
      <c r="J2387">
        <f>+H2387-I2387</f>
        <v>1128000</v>
      </c>
      <c r="O2387" t="s">
        <v>296</v>
      </c>
    </row>
    <row r="2388" spans="2:15" x14ac:dyDescent="0.25">
      <c r="B2388" t="s">
        <v>15</v>
      </c>
      <c r="C2388" s="4">
        <v>44592</v>
      </c>
      <c r="D2388">
        <v>1</v>
      </c>
      <c r="E2388" t="s">
        <v>38</v>
      </c>
      <c r="F2388" t="s">
        <v>294</v>
      </c>
      <c r="G2388" t="s">
        <v>295</v>
      </c>
      <c r="H2388">
        <v>226042</v>
      </c>
      <c r="J2388">
        <f t="shared" ref="J2388:J2451" si="62">+H2388-I2388</f>
        <v>226042</v>
      </c>
      <c r="O2388" t="s">
        <v>297</v>
      </c>
    </row>
    <row r="2389" spans="2:15" x14ac:dyDescent="0.25">
      <c r="B2389" t="s">
        <v>15</v>
      </c>
      <c r="C2389" s="4">
        <v>44592</v>
      </c>
      <c r="D2389">
        <v>1</v>
      </c>
      <c r="E2389" t="s">
        <v>38</v>
      </c>
      <c r="F2389" t="s">
        <v>298</v>
      </c>
      <c r="G2389" t="s">
        <v>295</v>
      </c>
      <c r="H2389">
        <v>60000</v>
      </c>
      <c r="J2389">
        <f t="shared" si="62"/>
        <v>60000</v>
      </c>
      <c r="O2389" t="s">
        <v>298</v>
      </c>
    </row>
    <row r="2390" spans="2:15" x14ac:dyDescent="0.25">
      <c r="B2390" t="s">
        <v>15</v>
      </c>
      <c r="C2390" s="4">
        <v>44592</v>
      </c>
      <c r="D2390">
        <v>1</v>
      </c>
      <c r="E2390" t="s">
        <v>38</v>
      </c>
      <c r="F2390" t="s">
        <v>299</v>
      </c>
      <c r="G2390" t="s">
        <v>295</v>
      </c>
      <c r="H2390">
        <v>60000</v>
      </c>
      <c r="J2390">
        <f t="shared" si="62"/>
        <v>60000</v>
      </c>
      <c r="O2390" t="s">
        <v>299</v>
      </c>
    </row>
    <row r="2391" spans="2:15" x14ac:dyDescent="0.25">
      <c r="B2391" t="s">
        <v>15</v>
      </c>
      <c r="C2391" s="4">
        <v>44592</v>
      </c>
      <c r="D2391">
        <v>1</v>
      </c>
      <c r="E2391" t="s">
        <v>21</v>
      </c>
      <c r="F2391" t="s">
        <v>300</v>
      </c>
      <c r="G2391" t="s">
        <v>295</v>
      </c>
      <c r="I2391">
        <v>104944</v>
      </c>
      <c r="J2391">
        <f t="shared" si="62"/>
        <v>-104944</v>
      </c>
      <c r="O2391" t="s">
        <v>301</v>
      </c>
    </row>
    <row r="2392" spans="2:15" x14ac:dyDescent="0.25">
      <c r="B2392" t="s">
        <v>15</v>
      </c>
      <c r="C2392" s="4">
        <v>44592</v>
      </c>
      <c r="D2392">
        <v>1</v>
      </c>
      <c r="E2392" t="s">
        <v>21</v>
      </c>
      <c r="F2392" t="s">
        <v>300</v>
      </c>
      <c r="G2392" t="s">
        <v>295</v>
      </c>
      <c r="I2392">
        <v>50050</v>
      </c>
      <c r="J2392">
        <f t="shared" si="62"/>
        <v>-50050</v>
      </c>
      <c r="O2392" t="s">
        <v>302</v>
      </c>
    </row>
    <row r="2393" spans="2:15" x14ac:dyDescent="0.25">
      <c r="B2393" t="s">
        <v>15</v>
      </c>
      <c r="C2393" s="4">
        <v>44592</v>
      </c>
      <c r="D2393">
        <v>1</v>
      </c>
      <c r="E2393" t="s">
        <v>21</v>
      </c>
      <c r="F2393" t="s">
        <v>303</v>
      </c>
      <c r="G2393" t="s">
        <v>295</v>
      </c>
      <c r="I2393">
        <v>30625</v>
      </c>
      <c r="J2393">
        <f t="shared" si="62"/>
        <v>-30625</v>
      </c>
      <c r="O2393" t="s">
        <v>304</v>
      </c>
    </row>
    <row r="2394" spans="2:15" x14ac:dyDescent="0.25">
      <c r="B2394" t="s">
        <v>15</v>
      </c>
      <c r="C2394" s="4">
        <v>44592</v>
      </c>
      <c r="D2394">
        <v>1</v>
      </c>
      <c r="E2394" t="s">
        <v>21</v>
      </c>
      <c r="F2394" t="s">
        <v>303</v>
      </c>
      <c r="G2394" t="s">
        <v>295</v>
      </c>
      <c r="I2394">
        <v>141144</v>
      </c>
      <c r="J2394">
        <f t="shared" si="62"/>
        <v>-141144</v>
      </c>
      <c r="O2394" t="s">
        <v>305</v>
      </c>
    </row>
    <row r="2395" spans="2:15" x14ac:dyDescent="0.25">
      <c r="B2395" t="s">
        <v>15</v>
      </c>
      <c r="C2395" s="4">
        <v>44592</v>
      </c>
      <c r="D2395">
        <v>1</v>
      </c>
      <c r="E2395" t="s">
        <v>21</v>
      </c>
      <c r="F2395" t="s">
        <v>300</v>
      </c>
      <c r="G2395" t="s">
        <v>295</v>
      </c>
      <c r="I2395">
        <v>8124</v>
      </c>
      <c r="J2395">
        <f t="shared" si="62"/>
        <v>-8124</v>
      </c>
      <c r="O2395" t="s">
        <v>306</v>
      </c>
    </row>
    <row r="2396" spans="2:15" x14ac:dyDescent="0.25">
      <c r="B2396" t="s">
        <v>15</v>
      </c>
      <c r="C2396" s="4">
        <v>44592</v>
      </c>
      <c r="D2396">
        <v>1</v>
      </c>
      <c r="E2396" t="s">
        <v>21</v>
      </c>
      <c r="F2396" t="s">
        <v>290</v>
      </c>
      <c r="G2396" t="s">
        <v>295</v>
      </c>
      <c r="I2396">
        <v>19949</v>
      </c>
      <c r="J2396">
        <f t="shared" si="62"/>
        <v>-19949</v>
      </c>
      <c r="O2396" t="s">
        <v>307</v>
      </c>
    </row>
    <row r="2397" spans="2:15" x14ac:dyDescent="0.25">
      <c r="B2397" t="s">
        <v>15</v>
      </c>
      <c r="C2397" s="4">
        <v>44592</v>
      </c>
      <c r="D2397">
        <v>1</v>
      </c>
      <c r="E2397" t="s">
        <v>21</v>
      </c>
      <c r="F2397" t="s">
        <v>308</v>
      </c>
      <c r="G2397" t="s">
        <v>295</v>
      </c>
      <c r="I2397">
        <v>1119206</v>
      </c>
      <c r="J2397">
        <f t="shared" si="62"/>
        <v>-1119206</v>
      </c>
      <c r="O2397" t="s">
        <v>309</v>
      </c>
    </row>
    <row r="2398" spans="2:15" x14ac:dyDescent="0.25">
      <c r="B2398" t="s">
        <v>15</v>
      </c>
      <c r="C2398" s="4">
        <v>44592</v>
      </c>
      <c r="D2398">
        <v>1</v>
      </c>
      <c r="E2398" t="s">
        <v>38</v>
      </c>
      <c r="F2398" t="s">
        <v>310</v>
      </c>
      <c r="G2398" t="s">
        <v>295</v>
      </c>
      <c r="H2398">
        <v>32497</v>
      </c>
      <c r="J2398">
        <f t="shared" si="62"/>
        <v>32497</v>
      </c>
      <c r="O2398" t="s">
        <v>311</v>
      </c>
    </row>
    <row r="2399" spans="2:15" x14ac:dyDescent="0.25">
      <c r="B2399" t="s">
        <v>15</v>
      </c>
      <c r="C2399" s="4">
        <v>44592</v>
      </c>
      <c r="D2399">
        <v>1</v>
      </c>
      <c r="E2399" t="s">
        <v>21</v>
      </c>
      <c r="F2399" t="s">
        <v>300</v>
      </c>
      <c r="G2399" t="s">
        <v>295</v>
      </c>
      <c r="I2399">
        <v>32497</v>
      </c>
      <c r="J2399">
        <f t="shared" si="62"/>
        <v>-32497</v>
      </c>
      <c r="O2399" t="s">
        <v>311</v>
      </c>
    </row>
    <row r="2400" spans="2:15" x14ac:dyDescent="0.25">
      <c r="B2400" t="s">
        <v>15</v>
      </c>
      <c r="C2400" s="4">
        <v>44592</v>
      </c>
      <c r="D2400">
        <v>1</v>
      </c>
      <c r="E2400" t="s">
        <v>38</v>
      </c>
      <c r="F2400" t="s">
        <v>310</v>
      </c>
      <c r="G2400" t="s">
        <v>295</v>
      </c>
      <c r="H2400">
        <v>12593</v>
      </c>
      <c r="J2400">
        <f t="shared" si="62"/>
        <v>12593</v>
      </c>
      <c r="O2400" t="s">
        <v>312</v>
      </c>
    </row>
    <row r="2401" spans="2:15" x14ac:dyDescent="0.25">
      <c r="B2401" t="s">
        <v>15</v>
      </c>
      <c r="C2401" s="4">
        <v>44592</v>
      </c>
      <c r="D2401">
        <v>1</v>
      </c>
      <c r="E2401" t="s">
        <v>21</v>
      </c>
      <c r="F2401" t="s">
        <v>313</v>
      </c>
      <c r="G2401" t="s">
        <v>295</v>
      </c>
      <c r="I2401">
        <v>12593</v>
      </c>
      <c r="J2401">
        <f t="shared" si="62"/>
        <v>-12593</v>
      </c>
      <c r="O2401" t="s">
        <v>312</v>
      </c>
    </row>
    <row r="2402" spans="2:15" x14ac:dyDescent="0.25">
      <c r="B2402" t="s">
        <v>15</v>
      </c>
      <c r="C2402" s="4">
        <v>44592</v>
      </c>
      <c r="D2402">
        <v>1</v>
      </c>
      <c r="E2402" t="s">
        <v>38</v>
      </c>
      <c r="F2402" t="s">
        <v>310</v>
      </c>
      <c r="G2402" t="s">
        <v>295</v>
      </c>
      <c r="H2402">
        <v>20987</v>
      </c>
      <c r="J2402">
        <f t="shared" si="62"/>
        <v>20987</v>
      </c>
      <c r="O2402" t="s">
        <v>314</v>
      </c>
    </row>
    <row r="2403" spans="2:15" x14ac:dyDescent="0.25">
      <c r="B2403" t="s">
        <v>15</v>
      </c>
      <c r="C2403" s="4">
        <v>44592</v>
      </c>
      <c r="D2403">
        <v>1</v>
      </c>
      <c r="E2403" t="s">
        <v>21</v>
      </c>
      <c r="F2403" t="s">
        <v>314</v>
      </c>
      <c r="G2403" t="s">
        <v>295</v>
      </c>
      <c r="I2403">
        <v>20987</v>
      </c>
      <c r="J2403">
        <f t="shared" si="62"/>
        <v>-20987</v>
      </c>
      <c r="O2403" t="s">
        <v>314</v>
      </c>
    </row>
    <row r="2404" spans="2:15" x14ac:dyDescent="0.25">
      <c r="B2404" t="s">
        <v>15</v>
      </c>
      <c r="C2404" s="4">
        <v>44620</v>
      </c>
      <c r="D2404">
        <v>2</v>
      </c>
      <c r="E2404" t="s">
        <v>38</v>
      </c>
      <c r="F2404" t="s">
        <v>294</v>
      </c>
      <c r="G2404" t="s">
        <v>295</v>
      </c>
      <c r="H2404">
        <v>1128000</v>
      </c>
      <c r="J2404">
        <f t="shared" si="62"/>
        <v>1128000</v>
      </c>
      <c r="O2404" t="s">
        <v>315</v>
      </c>
    </row>
    <row r="2405" spans="2:15" x14ac:dyDescent="0.25">
      <c r="B2405" t="s">
        <v>15</v>
      </c>
      <c r="C2405" s="4">
        <v>44620</v>
      </c>
      <c r="D2405">
        <v>2</v>
      </c>
      <c r="E2405" t="s">
        <v>38</v>
      </c>
      <c r="F2405" t="s">
        <v>294</v>
      </c>
      <c r="G2405" t="s">
        <v>295</v>
      </c>
      <c r="H2405">
        <v>226042</v>
      </c>
      <c r="J2405">
        <f t="shared" si="62"/>
        <v>226042</v>
      </c>
      <c r="O2405" t="s">
        <v>297</v>
      </c>
    </row>
    <row r="2406" spans="2:15" x14ac:dyDescent="0.25">
      <c r="B2406" t="s">
        <v>15</v>
      </c>
      <c r="C2406" s="4">
        <v>44620</v>
      </c>
      <c r="D2406">
        <v>2</v>
      </c>
      <c r="E2406" t="s">
        <v>38</v>
      </c>
      <c r="F2406" t="s">
        <v>298</v>
      </c>
      <c r="G2406" t="s">
        <v>295</v>
      </c>
      <c r="H2406">
        <v>60000</v>
      </c>
      <c r="J2406">
        <f t="shared" si="62"/>
        <v>60000</v>
      </c>
      <c r="O2406" t="s">
        <v>298</v>
      </c>
    </row>
    <row r="2407" spans="2:15" x14ac:dyDescent="0.25">
      <c r="B2407" t="s">
        <v>15</v>
      </c>
      <c r="C2407" s="4">
        <v>44620</v>
      </c>
      <c r="D2407">
        <v>2</v>
      </c>
      <c r="E2407" t="s">
        <v>38</v>
      </c>
      <c r="F2407" t="s">
        <v>299</v>
      </c>
      <c r="G2407" t="s">
        <v>295</v>
      </c>
      <c r="H2407">
        <v>60000</v>
      </c>
      <c r="J2407">
        <f t="shared" si="62"/>
        <v>60000</v>
      </c>
      <c r="O2407" t="s">
        <v>299</v>
      </c>
    </row>
    <row r="2408" spans="2:15" x14ac:dyDescent="0.25">
      <c r="B2408" t="s">
        <v>15</v>
      </c>
      <c r="C2408" s="4">
        <v>44620</v>
      </c>
      <c r="D2408">
        <v>2</v>
      </c>
      <c r="E2408" t="s">
        <v>21</v>
      </c>
      <c r="F2408" t="s">
        <v>300</v>
      </c>
      <c r="G2408" t="s">
        <v>295</v>
      </c>
      <c r="I2408">
        <v>104944</v>
      </c>
      <c r="J2408">
        <f t="shared" si="62"/>
        <v>-104944</v>
      </c>
      <c r="O2408" t="s">
        <v>301</v>
      </c>
    </row>
    <row r="2409" spans="2:15" x14ac:dyDescent="0.25">
      <c r="B2409" t="s">
        <v>15</v>
      </c>
      <c r="C2409" s="4">
        <v>44620</v>
      </c>
      <c r="D2409">
        <v>2</v>
      </c>
      <c r="E2409" t="s">
        <v>21</v>
      </c>
      <c r="F2409" t="s">
        <v>300</v>
      </c>
      <c r="G2409" t="s">
        <v>295</v>
      </c>
      <c r="I2409">
        <v>50050</v>
      </c>
      <c r="J2409">
        <f t="shared" si="62"/>
        <v>-50050</v>
      </c>
      <c r="O2409" t="s">
        <v>302</v>
      </c>
    </row>
    <row r="2410" spans="2:15" x14ac:dyDescent="0.25">
      <c r="B2410" t="s">
        <v>15</v>
      </c>
      <c r="C2410" s="4">
        <v>44620</v>
      </c>
      <c r="D2410">
        <v>2</v>
      </c>
      <c r="E2410" t="s">
        <v>21</v>
      </c>
      <c r="F2410" t="s">
        <v>303</v>
      </c>
      <c r="G2410" t="s">
        <v>295</v>
      </c>
      <c r="I2410">
        <v>30625</v>
      </c>
      <c r="J2410">
        <f t="shared" si="62"/>
        <v>-30625</v>
      </c>
      <c r="O2410" t="s">
        <v>304</v>
      </c>
    </row>
    <row r="2411" spans="2:15" x14ac:dyDescent="0.25">
      <c r="B2411" t="s">
        <v>15</v>
      </c>
      <c r="C2411" s="4">
        <v>44620</v>
      </c>
      <c r="D2411">
        <v>2</v>
      </c>
      <c r="E2411" t="s">
        <v>21</v>
      </c>
      <c r="F2411" t="s">
        <v>303</v>
      </c>
      <c r="G2411" t="s">
        <v>295</v>
      </c>
      <c r="I2411">
        <v>142620</v>
      </c>
      <c r="J2411">
        <f t="shared" si="62"/>
        <v>-142620</v>
      </c>
      <c r="O2411" t="s">
        <v>305</v>
      </c>
    </row>
    <row r="2412" spans="2:15" x14ac:dyDescent="0.25">
      <c r="B2412" t="s">
        <v>15</v>
      </c>
      <c r="C2412" s="4">
        <v>44620</v>
      </c>
      <c r="D2412">
        <v>2</v>
      </c>
      <c r="E2412" t="s">
        <v>21</v>
      </c>
      <c r="F2412" t="s">
        <v>300</v>
      </c>
      <c r="G2412" t="s">
        <v>295</v>
      </c>
      <c r="I2412">
        <v>8124</v>
      </c>
      <c r="J2412">
        <f t="shared" si="62"/>
        <v>-8124</v>
      </c>
      <c r="O2412" t="s">
        <v>306</v>
      </c>
    </row>
    <row r="2413" spans="2:15" x14ac:dyDescent="0.25">
      <c r="B2413" t="s">
        <v>15</v>
      </c>
      <c r="C2413" s="4">
        <v>44620</v>
      </c>
      <c r="D2413">
        <v>2</v>
      </c>
      <c r="E2413" t="s">
        <v>21</v>
      </c>
      <c r="F2413" t="s">
        <v>290</v>
      </c>
      <c r="G2413" t="s">
        <v>295</v>
      </c>
      <c r="I2413">
        <v>19904</v>
      </c>
      <c r="J2413">
        <f t="shared" si="62"/>
        <v>-19904</v>
      </c>
      <c r="O2413" t="s">
        <v>307</v>
      </c>
    </row>
    <row r="2414" spans="2:15" x14ac:dyDescent="0.25">
      <c r="B2414" t="s">
        <v>15</v>
      </c>
      <c r="C2414" s="4">
        <v>44620</v>
      </c>
      <c r="D2414">
        <v>2</v>
      </c>
      <c r="E2414" t="s">
        <v>21</v>
      </c>
      <c r="F2414" t="s">
        <v>308</v>
      </c>
      <c r="G2414" t="s">
        <v>295</v>
      </c>
      <c r="I2414">
        <v>1117775</v>
      </c>
      <c r="J2414">
        <f t="shared" si="62"/>
        <v>-1117775</v>
      </c>
      <c r="O2414" t="s">
        <v>316</v>
      </c>
    </row>
    <row r="2415" spans="2:15" x14ac:dyDescent="0.25">
      <c r="B2415" t="s">
        <v>15</v>
      </c>
      <c r="C2415" s="4">
        <v>44620</v>
      </c>
      <c r="D2415">
        <v>2</v>
      </c>
      <c r="E2415" t="s">
        <v>38</v>
      </c>
      <c r="F2415" t="s">
        <v>310</v>
      </c>
      <c r="G2415" t="s">
        <v>295</v>
      </c>
      <c r="H2415">
        <v>32497</v>
      </c>
      <c r="J2415">
        <f t="shared" si="62"/>
        <v>32497</v>
      </c>
      <c r="O2415" t="s">
        <v>311</v>
      </c>
    </row>
    <row r="2416" spans="2:15" x14ac:dyDescent="0.25">
      <c r="B2416" t="s">
        <v>15</v>
      </c>
      <c r="C2416" s="4">
        <v>44620</v>
      </c>
      <c r="D2416">
        <v>2</v>
      </c>
      <c r="E2416" t="s">
        <v>21</v>
      </c>
      <c r="F2416" t="s">
        <v>300</v>
      </c>
      <c r="G2416" t="s">
        <v>295</v>
      </c>
      <c r="I2416">
        <v>32497</v>
      </c>
      <c r="J2416">
        <f t="shared" si="62"/>
        <v>-32497</v>
      </c>
      <c r="O2416" t="s">
        <v>311</v>
      </c>
    </row>
    <row r="2417" spans="2:15" x14ac:dyDescent="0.25">
      <c r="B2417" t="s">
        <v>15</v>
      </c>
      <c r="C2417" s="4">
        <v>44620</v>
      </c>
      <c r="D2417">
        <v>2</v>
      </c>
      <c r="E2417" t="s">
        <v>38</v>
      </c>
      <c r="F2417" t="s">
        <v>310</v>
      </c>
      <c r="G2417" t="s">
        <v>295</v>
      </c>
      <c r="H2417">
        <v>12593</v>
      </c>
      <c r="J2417">
        <f t="shared" si="62"/>
        <v>12593</v>
      </c>
      <c r="O2417" t="s">
        <v>312</v>
      </c>
    </row>
    <row r="2418" spans="2:15" x14ac:dyDescent="0.25">
      <c r="B2418" t="s">
        <v>15</v>
      </c>
      <c r="C2418" s="4">
        <v>44620</v>
      </c>
      <c r="D2418">
        <v>2</v>
      </c>
      <c r="E2418" t="s">
        <v>21</v>
      </c>
      <c r="F2418" t="s">
        <v>313</v>
      </c>
      <c r="G2418" t="s">
        <v>295</v>
      </c>
      <c r="I2418">
        <v>12593</v>
      </c>
      <c r="J2418">
        <f t="shared" si="62"/>
        <v>-12593</v>
      </c>
      <c r="O2418" t="s">
        <v>312</v>
      </c>
    </row>
    <row r="2419" spans="2:15" x14ac:dyDescent="0.25">
      <c r="B2419" t="s">
        <v>15</v>
      </c>
      <c r="C2419" s="4">
        <v>44620</v>
      </c>
      <c r="D2419">
        <v>2</v>
      </c>
      <c r="E2419" t="s">
        <v>38</v>
      </c>
      <c r="F2419" t="s">
        <v>310</v>
      </c>
      <c r="G2419" t="s">
        <v>295</v>
      </c>
      <c r="H2419">
        <v>20987</v>
      </c>
      <c r="J2419">
        <f t="shared" si="62"/>
        <v>20987</v>
      </c>
      <c r="O2419" t="s">
        <v>314</v>
      </c>
    </row>
    <row r="2420" spans="2:15" x14ac:dyDescent="0.25">
      <c r="B2420" t="s">
        <v>15</v>
      </c>
      <c r="C2420" s="4">
        <v>44620</v>
      </c>
      <c r="D2420">
        <v>2</v>
      </c>
      <c r="E2420" t="s">
        <v>21</v>
      </c>
      <c r="F2420" t="s">
        <v>314</v>
      </c>
      <c r="G2420" t="s">
        <v>295</v>
      </c>
      <c r="I2420">
        <v>20987</v>
      </c>
      <c r="J2420">
        <f t="shared" si="62"/>
        <v>-20987</v>
      </c>
      <c r="O2420" t="s">
        <v>314</v>
      </c>
    </row>
    <row r="2421" spans="2:15" x14ac:dyDescent="0.25">
      <c r="B2421" t="s">
        <v>15</v>
      </c>
      <c r="C2421" s="4">
        <v>44651</v>
      </c>
      <c r="D2421">
        <v>3</v>
      </c>
      <c r="E2421" t="s">
        <v>38</v>
      </c>
      <c r="F2421" t="s">
        <v>294</v>
      </c>
      <c r="G2421" t="s">
        <v>295</v>
      </c>
      <c r="H2421">
        <v>1128000</v>
      </c>
      <c r="J2421">
        <f t="shared" si="62"/>
        <v>1128000</v>
      </c>
      <c r="O2421" t="s">
        <v>317</v>
      </c>
    </row>
    <row r="2422" spans="2:15" x14ac:dyDescent="0.25">
      <c r="B2422" t="s">
        <v>15</v>
      </c>
      <c r="C2422" s="4">
        <v>44651</v>
      </c>
      <c r="D2422">
        <v>3</v>
      </c>
      <c r="E2422" t="s">
        <v>38</v>
      </c>
      <c r="F2422" t="s">
        <v>294</v>
      </c>
      <c r="G2422" t="s">
        <v>295</v>
      </c>
      <c r="H2422">
        <v>226042</v>
      </c>
      <c r="J2422">
        <f t="shared" si="62"/>
        <v>226042</v>
      </c>
      <c r="O2422" t="s">
        <v>297</v>
      </c>
    </row>
    <row r="2423" spans="2:15" x14ac:dyDescent="0.25">
      <c r="B2423" t="s">
        <v>15</v>
      </c>
      <c r="C2423" s="4">
        <v>44651</v>
      </c>
      <c r="D2423">
        <v>3</v>
      </c>
      <c r="E2423" t="s">
        <v>38</v>
      </c>
      <c r="F2423" t="s">
        <v>298</v>
      </c>
      <c r="G2423" t="s">
        <v>295</v>
      </c>
      <c r="H2423">
        <v>60000</v>
      </c>
      <c r="J2423">
        <f t="shared" si="62"/>
        <v>60000</v>
      </c>
      <c r="O2423" t="s">
        <v>298</v>
      </c>
    </row>
    <row r="2424" spans="2:15" x14ac:dyDescent="0.25">
      <c r="B2424" t="s">
        <v>15</v>
      </c>
      <c r="C2424" s="4">
        <v>44651</v>
      </c>
      <c r="D2424">
        <v>3</v>
      </c>
      <c r="E2424" t="s">
        <v>38</v>
      </c>
      <c r="F2424" t="s">
        <v>299</v>
      </c>
      <c r="G2424" t="s">
        <v>295</v>
      </c>
      <c r="H2424">
        <v>60000</v>
      </c>
      <c r="J2424">
        <f t="shared" si="62"/>
        <v>60000</v>
      </c>
      <c r="O2424" t="s">
        <v>299</v>
      </c>
    </row>
    <row r="2425" spans="2:15" x14ac:dyDescent="0.25">
      <c r="B2425" t="s">
        <v>15</v>
      </c>
      <c r="C2425" s="4">
        <v>44651</v>
      </c>
      <c r="D2425">
        <v>3</v>
      </c>
      <c r="E2425" t="s">
        <v>21</v>
      </c>
      <c r="F2425" t="s">
        <v>300</v>
      </c>
      <c r="G2425" t="s">
        <v>295</v>
      </c>
      <c r="I2425">
        <v>104944</v>
      </c>
      <c r="J2425">
        <f t="shared" si="62"/>
        <v>-104944</v>
      </c>
      <c r="O2425" t="s">
        <v>301</v>
      </c>
    </row>
    <row r="2426" spans="2:15" x14ac:dyDescent="0.25">
      <c r="B2426" t="s">
        <v>15</v>
      </c>
      <c r="C2426" s="4">
        <v>44651</v>
      </c>
      <c r="D2426">
        <v>3</v>
      </c>
      <c r="E2426" t="s">
        <v>21</v>
      </c>
      <c r="F2426" t="s">
        <v>300</v>
      </c>
      <c r="G2426" t="s">
        <v>295</v>
      </c>
      <c r="I2426">
        <v>50050</v>
      </c>
      <c r="J2426">
        <f t="shared" si="62"/>
        <v>-50050</v>
      </c>
      <c r="O2426" t="s">
        <v>302</v>
      </c>
    </row>
    <row r="2427" spans="2:15" x14ac:dyDescent="0.25">
      <c r="B2427" t="s">
        <v>15</v>
      </c>
      <c r="C2427" s="4">
        <v>44651</v>
      </c>
      <c r="D2427">
        <v>3</v>
      </c>
      <c r="E2427" t="s">
        <v>21</v>
      </c>
      <c r="F2427" t="s">
        <v>303</v>
      </c>
      <c r="G2427" t="s">
        <v>295</v>
      </c>
      <c r="I2427">
        <v>30625</v>
      </c>
      <c r="J2427">
        <f t="shared" si="62"/>
        <v>-30625</v>
      </c>
      <c r="O2427" t="s">
        <v>304</v>
      </c>
    </row>
    <row r="2428" spans="2:15" x14ac:dyDescent="0.25">
      <c r="B2428" t="s">
        <v>15</v>
      </c>
      <c r="C2428" s="4">
        <v>44651</v>
      </c>
      <c r="D2428">
        <v>3</v>
      </c>
      <c r="E2428" t="s">
        <v>21</v>
      </c>
      <c r="F2428" t="s">
        <v>303</v>
      </c>
      <c r="G2428" t="s">
        <v>295</v>
      </c>
      <c r="I2428">
        <v>143473</v>
      </c>
      <c r="J2428">
        <f t="shared" si="62"/>
        <v>-143473</v>
      </c>
      <c r="O2428" t="s">
        <v>305</v>
      </c>
    </row>
    <row r="2429" spans="2:15" x14ac:dyDescent="0.25">
      <c r="B2429" t="s">
        <v>15</v>
      </c>
      <c r="C2429" s="4">
        <v>44651</v>
      </c>
      <c r="D2429">
        <v>3</v>
      </c>
      <c r="E2429" t="s">
        <v>21</v>
      </c>
      <c r="F2429" t="s">
        <v>300</v>
      </c>
      <c r="G2429" t="s">
        <v>295</v>
      </c>
      <c r="I2429">
        <v>8124</v>
      </c>
      <c r="J2429">
        <f t="shared" si="62"/>
        <v>-8124</v>
      </c>
      <c r="O2429" t="s">
        <v>306</v>
      </c>
    </row>
    <row r="2430" spans="2:15" x14ac:dyDescent="0.25">
      <c r="B2430" t="s">
        <v>15</v>
      </c>
      <c r="C2430" s="4">
        <v>44651</v>
      </c>
      <c r="D2430">
        <v>3</v>
      </c>
      <c r="E2430" t="s">
        <v>21</v>
      </c>
      <c r="F2430" t="s">
        <v>290</v>
      </c>
      <c r="G2430" t="s">
        <v>295</v>
      </c>
      <c r="I2430">
        <v>19879</v>
      </c>
      <c r="J2430">
        <f t="shared" si="62"/>
        <v>-19879</v>
      </c>
      <c r="O2430" t="s">
        <v>307</v>
      </c>
    </row>
    <row r="2431" spans="2:15" x14ac:dyDescent="0.25">
      <c r="B2431" t="s">
        <v>15</v>
      </c>
      <c r="C2431" s="4">
        <v>44651</v>
      </c>
      <c r="D2431">
        <v>3</v>
      </c>
      <c r="E2431" t="s">
        <v>21</v>
      </c>
      <c r="F2431" t="s">
        <v>308</v>
      </c>
      <c r="G2431" t="s">
        <v>295</v>
      </c>
      <c r="I2431">
        <v>1116947</v>
      </c>
      <c r="J2431">
        <f t="shared" si="62"/>
        <v>-1116947</v>
      </c>
      <c r="O2431" t="s">
        <v>318</v>
      </c>
    </row>
    <row r="2432" spans="2:15" x14ac:dyDescent="0.25">
      <c r="B2432" t="s">
        <v>15</v>
      </c>
      <c r="C2432" s="4">
        <v>44651</v>
      </c>
      <c r="D2432">
        <v>3</v>
      </c>
      <c r="E2432" t="s">
        <v>38</v>
      </c>
      <c r="F2432" t="s">
        <v>310</v>
      </c>
      <c r="G2432" t="s">
        <v>295</v>
      </c>
      <c r="H2432">
        <v>32497</v>
      </c>
      <c r="J2432">
        <f t="shared" si="62"/>
        <v>32497</v>
      </c>
      <c r="O2432" t="s">
        <v>311</v>
      </c>
    </row>
    <row r="2433" spans="2:15" x14ac:dyDescent="0.25">
      <c r="B2433" t="s">
        <v>15</v>
      </c>
      <c r="C2433" s="4">
        <v>44651</v>
      </c>
      <c r="D2433">
        <v>3</v>
      </c>
      <c r="E2433" t="s">
        <v>21</v>
      </c>
      <c r="F2433" t="s">
        <v>300</v>
      </c>
      <c r="G2433" t="s">
        <v>295</v>
      </c>
      <c r="I2433">
        <v>32497</v>
      </c>
      <c r="J2433">
        <f t="shared" si="62"/>
        <v>-32497</v>
      </c>
      <c r="O2433" t="s">
        <v>311</v>
      </c>
    </row>
    <row r="2434" spans="2:15" x14ac:dyDescent="0.25">
      <c r="B2434" t="s">
        <v>15</v>
      </c>
      <c r="C2434" s="4">
        <v>44651</v>
      </c>
      <c r="D2434">
        <v>3</v>
      </c>
      <c r="E2434" t="s">
        <v>38</v>
      </c>
      <c r="F2434" t="s">
        <v>310</v>
      </c>
      <c r="G2434" t="s">
        <v>295</v>
      </c>
      <c r="H2434">
        <v>12593</v>
      </c>
      <c r="J2434">
        <f t="shared" si="62"/>
        <v>12593</v>
      </c>
      <c r="O2434" t="s">
        <v>312</v>
      </c>
    </row>
    <row r="2435" spans="2:15" x14ac:dyDescent="0.25">
      <c r="B2435" t="s">
        <v>15</v>
      </c>
      <c r="C2435" s="4">
        <v>44651</v>
      </c>
      <c r="D2435">
        <v>3</v>
      </c>
      <c r="E2435" t="s">
        <v>21</v>
      </c>
      <c r="F2435" t="s">
        <v>313</v>
      </c>
      <c r="G2435" t="s">
        <v>295</v>
      </c>
      <c r="I2435">
        <v>12593</v>
      </c>
      <c r="J2435">
        <f t="shared" si="62"/>
        <v>-12593</v>
      </c>
      <c r="O2435" t="s">
        <v>312</v>
      </c>
    </row>
    <row r="2436" spans="2:15" x14ac:dyDescent="0.25">
      <c r="B2436" t="s">
        <v>15</v>
      </c>
      <c r="C2436" s="4">
        <v>44651</v>
      </c>
      <c r="D2436">
        <v>3</v>
      </c>
      <c r="E2436" t="s">
        <v>38</v>
      </c>
      <c r="F2436" t="s">
        <v>310</v>
      </c>
      <c r="G2436" t="s">
        <v>295</v>
      </c>
      <c r="H2436">
        <v>20987</v>
      </c>
      <c r="J2436">
        <f t="shared" si="62"/>
        <v>20987</v>
      </c>
      <c r="O2436" t="s">
        <v>314</v>
      </c>
    </row>
    <row r="2437" spans="2:15" x14ac:dyDescent="0.25">
      <c r="B2437" t="s">
        <v>15</v>
      </c>
      <c r="C2437" s="4">
        <v>44651</v>
      </c>
      <c r="D2437">
        <v>3</v>
      </c>
      <c r="E2437" t="s">
        <v>21</v>
      </c>
      <c r="F2437" t="s">
        <v>314</v>
      </c>
      <c r="G2437" t="s">
        <v>295</v>
      </c>
      <c r="I2437">
        <v>20987</v>
      </c>
      <c r="J2437">
        <f t="shared" si="62"/>
        <v>-20987</v>
      </c>
      <c r="O2437" t="s">
        <v>314</v>
      </c>
    </row>
    <row r="2438" spans="2:15" x14ac:dyDescent="0.25">
      <c r="B2438" t="s">
        <v>15</v>
      </c>
      <c r="C2438" s="4">
        <v>44681</v>
      </c>
      <c r="D2438">
        <v>4</v>
      </c>
      <c r="E2438" t="s">
        <v>38</v>
      </c>
      <c r="F2438" t="s">
        <v>294</v>
      </c>
      <c r="G2438" t="s">
        <v>295</v>
      </c>
      <c r="H2438">
        <v>700000</v>
      </c>
      <c r="J2438">
        <f t="shared" si="62"/>
        <v>700000</v>
      </c>
      <c r="O2438" t="s">
        <v>319</v>
      </c>
    </row>
    <row r="2439" spans="2:15" x14ac:dyDescent="0.25">
      <c r="B2439" t="s">
        <v>15</v>
      </c>
      <c r="C2439" s="4">
        <v>44681</v>
      </c>
      <c r="D2439">
        <v>4</v>
      </c>
      <c r="E2439" t="s">
        <v>38</v>
      </c>
      <c r="F2439" t="s">
        <v>294</v>
      </c>
      <c r="G2439" t="s">
        <v>295</v>
      </c>
      <c r="H2439">
        <v>175000</v>
      </c>
      <c r="J2439">
        <f t="shared" si="62"/>
        <v>175000</v>
      </c>
      <c r="O2439" t="s">
        <v>297</v>
      </c>
    </row>
    <row r="2440" spans="2:15" x14ac:dyDescent="0.25">
      <c r="B2440" t="s">
        <v>15</v>
      </c>
      <c r="C2440" s="4">
        <v>44681</v>
      </c>
      <c r="D2440">
        <v>4</v>
      </c>
      <c r="E2440" t="s">
        <v>38</v>
      </c>
      <c r="F2440" t="s">
        <v>298</v>
      </c>
      <c r="G2440" t="s">
        <v>295</v>
      </c>
      <c r="H2440">
        <v>60000</v>
      </c>
      <c r="J2440">
        <f t="shared" si="62"/>
        <v>60000</v>
      </c>
      <c r="O2440" t="s">
        <v>298</v>
      </c>
    </row>
    <row r="2441" spans="2:15" x14ac:dyDescent="0.25">
      <c r="B2441" t="s">
        <v>15</v>
      </c>
      <c r="C2441" s="4">
        <v>44681</v>
      </c>
      <c r="D2441">
        <v>4</v>
      </c>
      <c r="E2441" t="s">
        <v>38</v>
      </c>
      <c r="F2441" t="s">
        <v>299</v>
      </c>
      <c r="G2441" t="s">
        <v>295</v>
      </c>
      <c r="H2441">
        <v>60000</v>
      </c>
      <c r="J2441">
        <f t="shared" si="62"/>
        <v>60000</v>
      </c>
      <c r="O2441" t="s">
        <v>299</v>
      </c>
    </row>
    <row r="2442" spans="2:15" x14ac:dyDescent="0.25">
      <c r="B2442" t="s">
        <v>15</v>
      </c>
      <c r="C2442" s="4">
        <v>44681</v>
      </c>
      <c r="D2442">
        <v>4</v>
      </c>
      <c r="E2442" t="s">
        <v>21</v>
      </c>
      <c r="F2442" t="s">
        <v>300</v>
      </c>
      <c r="G2442" t="s">
        <v>295</v>
      </c>
      <c r="I2442">
        <v>50094</v>
      </c>
      <c r="J2442">
        <f t="shared" si="62"/>
        <v>-50094</v>
      </c>
      <c r="O2442" t="s">
        <v>301</v>
      </c>
    </row>
    <row r="2443" spans="2:15" x14ac:dyDescent="0.25">
      <c r="B2443" t="s">
        <v>15</v>
      </c>
      <c r="C2443" s="4">
        <v>44681</v>
      </c>
      <c r="D2443">
        <v>4</v>
      </c>
      <c r="E2443" t="s">
        <v>21</v>
      </c>
      <c r="F2443" t="s">
        <v>300</v>
      </c>
      <c r="G2443" t="s">
        <v>295</v>
      </c>
      <c r="I2443">
        <v>50050</v>
      </c>
      <c r="J2443">
        <f t="shared" si="62"/>
        <v>-50050</v>
      </c>
      <c r="O2443" t="s">
        <v>302</v>
      </c>
    </row>
    <row r="2444" spans="2:15" x14ac:dyDescent="0.25">
      <c r="B2444" t="s">
        <v>15</v>
      </c>
      <c r="C2444" s="4">
        <v>44681</v>
      </c>
      <c r="D2444">
        <v>4</v>
      </c>
      <c r="E2444" t="s">
        <v>21</v>
      </c>
      <c r="F2444" t="s">
        <v>303</v>
      </c>
      <c r="G2444" t="s">
        <v>295</v>
      </c>
      <c r="I2444">
        <v>30625</v>
      </c>
      <c r="J2444">
        <f t="shared" si="62"/>
        <v>-30625</v>
      </c>
      <c r="O2444" t="s">
        <v>304</v>
      </c>
    </row>
    <row r="2445" spans="2:15" x14ac:dyDescent="0.25">
      <c r="B2445" t="s">
        <v>15</v>
      </c>
      <c r="C2445" s="4">
        <v>44681</v>
      </c>
      <c r="D2445">
        <v>4</v>
      </c>
      <c r="E2445" t="s">
        <v>21</v>
      </c>
      <c r="F2445" t="s">
        <v>303</v>
      </c>
      <c r="G2445" t="s">
        <v>295</v>
      </c>
      <c r="I2445">
        <v>128384</v>
      </c>
      <c r="J2445">
        <f t="shared" si="62"/>
        <v>-128384</v>
      </c>
      <c r="O2445" t="s">
        <v>305</v>
      </c>
    </row>
    <row r="2446" spans="2:15" x14ac:dyDescent="0.25">
      <c r="B2446" t="s">
        <v>15</v>
      </c>
      <c r="C2446" s="4">
        <v>44681</v>
      </c>
      <c r="D2446">
        <v>4</v>
      </c>
      <c r="E2446" t="s">
        <v>21</v>
      </c>
      <c r="F2446" t="s">
        <v>300</v>
      </c>
      <c r="G2446" t="s">
        <v>295</v>
      </c>
      <c r="I2446">
        <v>5250</v>
      </c>
      <c r="J2446">
        <f t="shared" si="62"/>
        <v>-5250</v>
      </c>
      <c r="O2446" t="s">
        <v>306</v>
      </c>
    </row>
    <row r="2447" spans="2:15" x14ac:dyDescent="0.25">
      <c r="B2447" t="s">
        <v>15</v>
      </c>
      <c r="C2447" s="4">
        <v>44681</v>
      </c>
      <c r="D2447">
        <v>4</v>
      </c>
      <c r="E2447" t="s">
        <v>21</v>
      </c>
      <c r="F2447" t="s">
        <v>290</v>
      </c>
      <c r="G2447" t="s">
        <v>295</v>
      </c>
      <c r="I2447">
        <v>7692</v>
      </c>
      <c r="J2447">
        <f t="shared" si="62"/>
        <v>-7692</v>
      </c>
      <c r="O2447" t="s">
        <v>307</v>
      </c>
    </row>
    <row r="2448" spans="2:15" x14ac:dyDescent="0.25">
      <c r="B2448" t="s">
        <v>15</v>
      </c>
      <c r="C2448" s="4">
        <v>44681</v>
      </c>
      <c r="D2448">
        <v>4</v>
      </c>
      <c r="E2448" t="s">
        <v>21</v>
      </c>
      <c r="F2448" t="s">
        <v>308</v>
      </c>
      <c r="G2448" t="s">
        <v>295</v>
      </c>
      <c r="I2448">
        <v>722905</v>
      </c>
      <c r="J2448">
        <f t="shared" si="62"/>
        <v>-722905</v>
      </c>
      <c r="O2448" t="s">
        <v>320</v>
      </c>
    </row>
    <row r="2449" spans="2:15" x14ac:dyDescent="0.25">
      <c r="B2449" t="s">
        <v>15</v>
      </c>
      <c r="C2449" s="4">
        <v>44681</v>
      </c>
      <c r="D2449">
        <v>4</v>
      </c>
      <c r="E2449" t="s">
        <v>38</v>
      </c>
      <c r="F2449" t="s">
        <v>310</v>
      </c>
      <c r="G2449" t="s">
        <v>295</v>
      </c>
      <c r="H2449">
        <v>21000</v>
      </c>
      <c r="J2449">
        <f t="shared" si="62"/>
        <v>21000</v>
      </c>
      <c r="O2449" t="s">
        <v>311</v>
      </c>
    </row>
    <row r="2450" spans="2:15" x14ac:dyDescent="0.25">
      <c r="B2450" t="s">
        <v>15</v>
      </c>
      <c r="C2450" s="4">
        <v>44681</v>
      </c>
      <c r="D2450">
        <v>4</v>
      </c>
      <c r="E2450" t="s">
        <v>21</v>
      </c>
      <c r="F2450" t="s">
        <v>300</v>
      </c>
      <c r="G2450" t="s">
        <v>295</v>
      </c>
      <c r="I2450">
        <v>21000</v>
      </c>
      <c r="J2450">
        <f t="shared" si="62"/>
        <v>-21000</v>
      </c>
      <c r="O2450" t="s">
        <v>311</v>
      </c>
    </row>
    <row r="2451" spans="2:15" x14ac:dyDescent="0.25">
      <c r="B2451" t="s">
        <v>15</v>
      </c>
      <c r="C2451" s="4">
        <v>44681</v>
      </c>
      <c r="D2451">
        <v>4</v>
      </c>
      <c r="E2451" t="s">
        <v>38</v>
      </c>
      <c r="F2451" t="s">
        <v>310</v>
      </c>
      <c r="G2451" t="s">
        <v>295</v>
      </c>
      <c r="H2451">
        <v>8138</v>
      </c>
      <c r="J2451">
        <f t="shared" si="62"/>
        <v>8138</v>
      </c>
      <c r="O2451" t="s">
        <v>312</v>
      </c>
    </row>
    <row r="2452" spans="2:15" x14ac:dyDescent="0.25">
      <c r="B2452" t="s">
        <v>15</v>
      </c>
      <c r="C2452" s="4">
        <v>44681</v>
      </c>
      <c r="D2452">
        <v>4</v>
      </c>
      <c r="E2452" t="s">
        <v>21</v>
      </c>
      <c r="F2452" t="s">
        <v>313</v>
      </c>
      <c r="G2452" t="s">
        <v>295</v>
      </c>
      <c r="I2452">
        <v>8138</v>
      </c>
      <c r="J2452">
        <f t="shared" ref="J2452:J2515" si="63">+H2452-I2452</f>
        <v>-8138</v>
      </c>
      <c r="O2452" t="s">
        <v>312</v>
      </c>
    </row>
    <row r="2453" spans="2:15" x14ac:dyDescent="0.25">
      <c r="B2453" t="s">
        <v>15</v>
      </c>
      <c r="C2453" s="4">
        <v>44681</v>
      </c>
      <c r="D2453">
        <v>4</v>
      </c>
      <c r="E2453" t="s">
        <v>38</v>
      </c>
      <c r="F2453" t="s">
        <v>310</v>
      </c>
      <c r="G2453" t="s">
        <v>295</v>
      </c>
      <c r="H2453">
        <v>16274</v>
      </c>
      <c r="J2453">
        <f t="shared" si="63"/>
        <v>16274</v>
      </c>
      <c r="O2453" t="s">
        <v>314</v>
      </c>
    </row>
    <row r="2454" spans="2:15" x14ac:dyDescent="0.25">
      <c r="B2454" t="s">
        <v>15</v>
      </c>
      <c r="C2454" s="4">
        <v>44681</v>
      </c>
      <c r="D2454">
        <v>4</v>
      </c>
      <c r="E2454" t="s">
        <v>21</v>
      </c>
      <c r="F2454" t="s">
        <v>314</v>
      </c>
      <c r="G2454" t="s">
        <v>295</v>
      </c>
      <c r="I2454">
        <v>16274</v>
      </c>
      <c r="J2454">
        <f t="shared" si="63"/>
        <v>-16274</v>
      </c>
      <c r="O2454" t="s">
        <v>314</v>
      </c>
    </row>
    <row r="2455" spans="2:15" x14ac:dyDescent="0.25">
      <c r="B2455" t="s">
        <v>15</v>
      </c>
      <c r="C2455" s="4">
        <v>44712</v>
      </c>
      <c r="D2455">
        <v>5</v>
      </c>
      <c r="E2455" t="s">
        <v>38</v>
      </c>
      <c r="F2455" t="s">
        <v>294</v>
      </c>
      <c r="G2455" t="s">
        <v>295</v>
      </c>
      <c r="H2455">
        <v>760000</v>
      </c>
      <c r="J2455">
        <f t="shared" si="63"/>
        <v>760000</v>
      </c>
      <c r="O2455" t="s">
        <v>321</v>
      </c>
    </row>
    <row r="2456" spans="2:15" x14ac:dyDescent="0.25">
      <c r="B2456" t="s">
        <v>15</v>
      </c>
      <c r="C2456" s="4">
        <v>44712</v>
      </c>
      <c r="D2456">
        <v>5</v>
      </c>
      <c r="E2456" t="s">
        <v>38</v>
      </c>
      <c r="F2456" t="s">
        <v>294</v>
      </c>
      <c r="G2456" t="s">
        <v>295</v>
      </c>
      <c r="H2456">
        <v>190000</v>
      </c>
      <c r="J2456">
        <f t="shared" si="63"/>
        <v>190000</v>
      </c>
      <c r="O2456" t="s">
        <v>297</v>
      </c>
    </row>
    <row r="2457" spans="2:15" x14ac:dyDescent="0.25">
      <c r="B2457" t="s">
        <v>15</v>
      </c>
      <c r="C2457" s="4">
        <v>44712</v>
      </c>
      <c r="D2457">
        <v>5</v>
      </c>
      <c r="E2457" t="s">
        <v>38</v>
      </c>
      <c r="F2457" t="s">
        <v>298</v>
      </c>
      <c r="G2457" t="s">
        <v>295</v>
      </c>
      <c r="H2457">
        <v>60000</v>
      </c>
      <c r="J2457">
        <f t="shared" si="63"/>
        <v>60000</v>
      </c>
      <c r="O2457" t="s">
        <v>298</v>
      </c>
    </row>
    <row r="2458" spans="2:15" x14ac:dyDescent="0.25">
      <c r="B2458" t="s">
        <v>15</v>
      </c>
      <c r="C2458" s="4">
        <v>44712</v>
      </c>
      <c r="D2458">
        <v>5</v>
      </c>
      <c r="E2458" t="s">
        <v>38</v>
      </c>
      <c r="F2458" t="s">
        <v>299</v>
      </c>
      <c r="G2458" t="s">
        <v>295</v>
      </c>
      <c r="H2458">
        <v>60000</v>
      </c>
      <c r="J2458">
        <f t="shared" si="63"/>
        <v>60000</v>
      </c>
      <c r="O2458" t="s">
        <v>299</v>
      </c>
    </row>
    <row r="2459" spans="2:15" x14ac:dyDescent="0.25">
      <c r="B2459" t="s">
        <v>15</v>
      </c>
      <c r="C2459" s="4">
        <v>44712</v>
      </c>
      <c r="D2459">
        <v>5</v>
      </c>
      <c r="E2459" t="s">
        <v>21</v>
      </c>
      <c r="F2459" t="s">
        <v>300</v>
      </c>
      <c r="G2459" t="s">
        <v>295</v>
      </c>
      <c r="I2459">
        <v>54388</v>
      </c>
      <c r="J2459">
        <f t="shared" si="63"/>
        <v>-54388</v>
      </c>
      <c r="O2459" t="s">
        <v>301</v>
      </c>
    </row>
    <row r="2460" spans="2:15" x14ac:dyDescent="0.25">
      <c r="B2460" t="s">
        <v>15</v>
      </c>
      <c r="C2460" s="4">
        <v>44712</v>
      </c>
      <c r="D2460">
        <v>5</v>
      </c>
      <c r="E2460" t="s">
        <v>21</v>
      </c>
      <c r="F2460" t="s">
        <v>300</v>
      </c>
      <c r="G2460" t="s">
        <v>295</v>
      </c>
      <c r="I2460">
        <v>54340</v>
      </c>
      <c r="J2460">
        <f t="shared" si="63"/>
        <v>-54340</v>
      </c>
      <c r="O2460" t="s">
        <v>302</v>
      </c>
    </row>
    <row r="2461" spans="2:15" x14ac:dyDescent="0.25">
      <c r="B2461" t="s">
        <v>15</v>
      </c>
      <c r="C2461" s="4">
        <v>44712</v>
      </c>
      <c r="D2461">
        <v>5</v>
      </c>
      <c r="E2461" t="s">
        <v>21</v>
      </c>
      <c r="F2461" t="s">
        <v>303</v>
      </c>
      <c r="G2461" t="s">
        <v>295</v>
      </c>
      <c r="I2461">
        <v>33250</v>
      </c>
      <c r="J2461">
        <f t="shared" si="63"/>
        <v>-33250</v>
      </c>
      <c r="O2461" t="s">
        <v>304</v>
      </c>
    </row>
    <row r="2462" spans="2:15" x14ac:dyDescent="0.25">
      <c r="B2462" t="s">
        <v>15</v>
      </c>
      <c r="C2462" s="4">
        <v>44712</v>
      </c>
      <c r="D2462">
        <v>5</v>
      </c>
      <c r="E2462" t="s">
        <v>21</v>
      </c>
      <c r="F2462" t="s">
        <v>303</v>
      </c>
      <c r="G2462" t="s">
        <v>295</v>
      </c>
      <c r="I2462">
        <v>130391</v>
      </c>
      <c r="J2462">
        <f t="shared" si="63"/>
        <v>-130391</v>
      </c>
      <c r="O2462" t="s">
        <v>305</v>
      </c>
    </row>
    <row r="2463" spans="2:15" x14ac:dyDescent="0.25">
      <c r="B2463" t="s">
        <v>15</v>
      </c>
      <c r="C2463" s="4">
        <v>44712</v>
      </c>
      <c r="D2463">
        <v>5</v>
      </c>
      <c r="E2463" t="s">
        <v>21</v>
      </c>
      <c r="F2463" t="s">
        <v>300</v>
      </c>
      <c r="G2463" t="s">
        <v>295</v>
      </c>
      <c r="I2463">
        <v>5700</v>
      </c>
      <c r="J2463">
        <f t="shared" si="63"/>
        <v>-5700</v>
      </c>
      <c r="O2463" t="s">
        <v>306</v>
      </c>
    </row>
    <row r="2464" spans="2:15" x14ac:dyDescent="0.25">
      <c r="B2464" t="s">
        <v>15</v>
      </c>
      <c r="C2464" s="4">
        <v>44712</v>
      </c>
      <c r="D2464">
        <v>5</v>
      </c>
      <c r="E2464" t="s">
        <v>21</v>
      </c>
      <c r="F2464" t="s">
        <v>290</v>
      </c>
      <c r="G2464" t="s">
        <v>295</v>
      </c>
      <c r="I2464">
        <v>8621</v>
      </c>
      <c r="J2464">
        <f t="shared" si="63"/>
        <v>-8621</v>
      </c>
      <c r="O2464" t="s">
        <v>307</v>
      </c>
    </row>
    <row r="2465" spans="2:15" x14ac:dyDescent="0.25">
      <c r="B2465" t="s">
        <v>15</v>
      </c>
      <c r="C2465" s="4">
        <v>44712</v>
      </c>
      <c r="D2465">
        <v>5</v>
      </c>
      <c r="E2465" t="s">
        <v>21</v>
      </c>
      <c r="F2465" t="s">
        <v>308</v>
      </c>
      <c r="G2465" t="s">
        <v>295</v>
      </c>
      <c r="I2465">
        <v>783310</v>
      </c>
      <c r="J2465">
        <f t="shared" si="63"/>
        <v>-783310</v>
      </c>
      <c r="O2465" t="s">
        <v>322</v>
      </c>
    </row>
    <row r="2466" spans="2:15" x14ac:dyDescent="0.25">
      <c r="B2466" t="s">
        <v>15</v>
      </c>
      <c r="C2466" s="4">
        <v>44712</v>
      </c>
      <c r="D2466">
        <v>5</v>
      </c>
      <c r="E2466" t="s">
        <v>38</v>
      </c>
      <c r="F2466" t="s">
        <v>310</v>
      </c>
      <c r="G2466" t="s">
        <v>295</v>
      </c>
      <c r="H2466">
        <v>22800</v>
      </c>
      <c r="J2466">
        <f t="shared" si="63"/>
        <v>22800</v>
      </c>
      <c r="O2466" t="s">
        <v>311</v>
      </c>
    </row>
    <row r="2467" spans="2:15" x14ac:dyDescent="0.25">
      <c r="B2467" t="s">
        <v>15</v>
      </c>
      <c r="C2467" s="4">
        <v>44712</v>
      </c>
      <c r="D2467">
        <v>5</v>
      </c>
      <c r="E2467" t="s">
        <v>21</v>
      </c>
      <c r="F2467" t="s">
        <v>300</v>
      </c>
      <c r="G2467" t="s">
        <v>295</v>
      </c>
      <c r="I2467">
        <v>22800</v>
      </c>
      <c r="J2467">
        <f t="shared" si="63"/>
        <v>-22800</v>
      </c>
      <c r="O2467" t="s">
        <v>311</v>
      </c>
    </row>
    <row r="2468" spans="2:15" x14ac:dyDescent="0.25">
      <c r="B2468" t="s">
        <v>15</v>
      </c>
      <c r="C2468" s="4">
        <v>44712</v>
      </c>
      <c r="D2468">
        <v>5</v>
      </c>
      <c r="E2468" t="s">
        <v>38</v>
      </c>
      <c r="F2468" t="s">
        <v>310</v>
      </c>
      <c r="G2468" t="s">
        <v>295</v>
      </c>
      <c r="H2468">
        <v>8836</v>
      </c>
      <c r="J2468">
        <f t="shared" si="63"/>
        <v>8836</v>
      </c>
      <c r="O2468" t="s">
        <v>312</v>
      </c>
    </row>
    <row r="2469" spans="2:15" x14ac:dyDescent="0.25">
      <c r="B2469" t="s">
        <v>15</v>
      </c>
      <c r="C2469" s="4">
        <v>44712</v>
      </c>
      <c r="D2469">
        <v>5</v>
      </c>
      <c r="E2469" t="s">
        <v>21</v>
      </c>
      <c r="F2469" t="s">
        <v>313</v>
      </c>
      <c r="G2469" t="s">
        <v>295</v>
      </c>
      <c r="I2469">
        <v>8836</v>
      </c>
      <c r="J2469">
        <f t="shared" si="63"/>
        <v>-8836</v>
      </c>
      <c r="O2469" t="s">
        <v>312</v>
      </c>
    </row>
    <row r="2470" spans="2:15" x14ac:dyDescent="0.25">
      <c r="B2470" t="s">
        <v>15</v>
      </c>
      <c r="C2470" s="4">
        <v>44712</v>
      </c>
      <c r="D2470">
        <v>5</v>
      </c>
      <c r="E2470" t="s">
        <v>38</v>
      </c>
      <c r="F2470" t="s">
        <v>310</v>
      </c>
      <c r="G2470" t="s">
        <v>295</v>
      </c>
      <c r="H2470">
        <v>17670</v>
      </c>
      <c r="J2470">
        <f t="shared" si="63"/>
        <v>17670</v>
      </c>
      <c r="O2470" t="s">
        <v>314</v>
      </c>
    </row>
    <row r="2471" spans="2:15" x14ac:dyDescent="0.25">
      <c r="B2471" t="s">
        <v>15</v>
      </c>
      <c r="C2471" s="4">
        <v>44712</v>
      </c>
      <c r="D2471">
        <v>5</v>
      </c>
      <c r="E2471" t="s">
        <v>21</v>
      </c>
      <c r="F2471" t="s">
        <v>314</v>
      </c>
      <c r="G2471" t="s">
        <v>295</v>
      </c>
      <c r="I2471">
        <v>17670</v>
      </c>
      <c r="J2471">
        <f t="shared" si="63"/>
        <v>-17670</v>
      </c>
      <c r="O2471" t="s">
        <v>314</v>
      </c>
    </row>
    <row r="2472" spans="2:15" x14ac:dyDescent="0.25">
      <c r="B2472" t="s">
        <v>15</v>
      </c>
      <c r="C2472" s="4">
        <v>44742</v>
      </c>
      <c r="D2472">
        <v>6</v>
      </c>
      <c r="E2472" t="s">
        <v>38</v>
      </c>
      <c r="F2472" t="s">
        <v>294</v>
      </c>
      <c r="G2472" t="s">
        <v>295</v>
      </c>
      <c r="H2472">
        <v>760000</v>
      </c>
      <c r="J2472">
        <f t="shared" si="63"/>
        <v>760000</v>
      </c>
      <c r="O2472" t="s">
        <v>323</v>
      </c>
    </row>
    <row r="2473" spans="2:15" x14ac:dyDescent="0.25">
      <c r="B2473" t="s">
        <v>15</v>
      </c>
      <c r="C2473" s="4">
        <v>44742</v>
      </c>
      <c r="D2473">
        <v>6</v>
      </c>
      <c r="E2473" t="s">
        <v>38</v>
      </c>
      <c r="F2473" t="s">
        <v>294</v>
      </c>
      <c r="G2473" t="s">
        <v>295</v>
      </c>
      <c r="H2473">
        <v>190000</v>
      </c>
      <c r="J2473">
        <f t="shared" si="63"/>
        <v>190000</v>
      </c>
      <c r="O2473" t="s">
        <v>297</v>
      </c>
    </row>
    <row r="2474" spans="2:15" x14ac:dyDescent="0.25">
      <c r="B2474" t="s">
        <v>15</v>
      </c>
      <c r="C2474" s="4">
        <v>44742</v>
      </c>
      <c r="D2474">
        <v>6</v>
      </c>
      <c r="E2474" t="s">
        <v>38</v>
      </c>
      <c r="F2474" t="s">
        <v>298</v>
      </c>
      <c r="G2474" t="s">
        <v>295</v>
      </c>
      <c r="H2474">
        <v>60000</v>
      </c>
      <c r="J2474">
        <f t="shared" si="63"/>
        <v>60000</v>
      </c>
      <c r="O2474" t="s">
        <v>298</v>
      </c>
    </row>
    <row r="2475" spans="2:15" x14ac:dyDescent="0.25">
      <c r="B2475" t="s">
        <v>15</v>
      </c>
      <c r="C2475" s="4">
        <v>44742</v>
      </c>
      <c r="D2475">
        <v>6</v>
      </c>
      <c r="E2475" t="s">
        <v>38</v>
      </c>
      <c r="F2475" t="s">
        <v>299</v>
      </c>
      <c r="G2475" t="s">
        <v>295</v>
      </c>
      <c r="H2475">
        <v>60000</v>
      </c>
      <c r="J2475">
        <f t="shared" si="63"/>
        <v>60000</v>
      </c>
      <c r="O2475" t="s">
        <v>299</v>
      </c>
    </row>
    <row r="2476" spans="2:15" x14ac:dyDescent="0.25">
      <c r="B2476" t="s">
        <v>15</v>
      </c>
      <c r="C2476" s="4">
        <v>44742</v>
      </c>
      <c r="D2476">
        <v>6</v>
      </c>
      <c r="E2476" t="s">
        <v>21</v>
      </c>
      <c r="F2476" t="s">
        <v>300</v>
      </c>
      <c r="G2476" t="s">
        <v>295</v>
      </c>
      <c r="I2476">
        <v>54388</v>
      </c>
      <c r="J2476">
        <f t="shared" si="63"/>
        <v>-54388</v>
      </c>
      <c r="O2476" t="s">
        <v>301</v>
      </c>
    </row>
    <row r="2477" spans="2:15" x14ac:dyDescent="0.25">
      <c r="B2477" t="s">
        <v>15</v>
      </c>
      <c r="C2477" s="4">
        <v>44742</v>
      </c>
      <c r="D2477">
        <v>6</v>
      </c>
      <c r="E2477" t="s">
        <v>21</v>
      </c>
      <c r="F2477" t="s">
        <v>300</v>
      </c>
      <c r="G2477" t="s">
        <v>295</v>
      </c>
      <c r="I2477">
        <v>54340</v>
      </c>
      <c r="J2477">
        <f t="shared" si="63"/>
        <v>-54340</v>
      </c>
      <c r="O2477" t="s">
        <v>302</v>
      </c>
    </row>
    <row r="2478" spans="2:15" x14ac:dyDescent="0.25">
      <c r="B2478" t="s">
        <v>15</v>
      </c>
      <c r="C2478" s="4">
        <v>44742</v>
      </c>
      <c r="D2478">
        <v>6</v>
      </c>
      <c r="E2478" t="s">
        <v>21</v>
      </c>
      <c r="F2478" t="s">
        <v>303</v>
      </c>
      <c r="G2478" t="s">
        <v>295</v>
      </c>
      <c r="I2478">
        <v>33250</v>
      </c>
      <c r="J2478">
        <f t="shared" si="63"/>
        <v>-33250</v>
      </c>
      <c r="O2478" t="s">
        <v>304</v>
      </c>
    </row>
    <row r="2479" spans="2:15" x14ac:dyDescent="0.25">
      <c r="B2479" t="s">
        <v>15</v>
      </c>
      <c r="C2479" s="4">
        <v>44742</v>
      </c>
      <c r="D2479">
        <v>6</v>
      </c>
      <c r="E2479" t="s">
        <v>21</v>
      </c>
      <c r="F2479" t="s">
        <v>303</v>
      </c>
      <c r="G2479" t="s">
        <v>295</v>
      </c>
      <c r="I2479">
        <v>148659</v>
      </c>
      <c r="J2479">
        <f t="shared" si="63"/>
        <v>-148659</v>
      </c>
      <c r="O2479" t="s">
        <v>305</v>
      </c>
    </row>
    <row r="2480" spans="2:15" x14ac:dyDescent="0.25">
      <c r="B2480" t="s">
        <v>15</v>
      </c>
      <c r="C2480" s="4">
        <v>44742</v>
      </c>
      <c r="D2480">
        <v>6</v>
      </c>
      <c r="E2480" t="s">
        <v>21</v>
      </c>
      <c r="F2480" t="s">
        <v>300</v>
      </c>
      <c r="G2480" t="s">
        <v>295</v>
      </c>
      <c r="I2480">
        <v>5700</v>
      </c>
      <c r="J2480">
        <f t="shared" si="63"/>
        <v>-5700</v>
      </c>
      <c r="O2480" t="s">
        <v>306</v>
      </c>
    </row>
    <row r="2481" spans="2:15" x14ac:dyDescent="0.25">
      <c r="B2481" t="s">
        <v>15</v>
      </c>
      <c r="C2481" s="4">
        <v>44742</v>
      </c>
      <c r="D2481">
        <v>6</v>
      </c>
      <c r="E2481" t="s">
        <v>21</v>
      </c>
      <c r="F2481" t="s">
        <v>290</v>
      </c>
      <c r="G2481" t="s">
        <v>295</v>
      </c>
      <c r="I2481">
        <v>8073</v>
      </c>
      <c r="J2481">
        <f t="shared" si="63"/>
        <v>-8073</v>
      </c>
      <c r="O2481" t="s">
        <v>307</v>
      </c>
    </row>
    <row r="2482" spans="2:15" x14ac:dyDescent="0.25">
      <c r="B2482" t="s">
        <v>15</v>
      </c>
      <c r="C2482" s="4">
        <v>44742</v>
      </c>
      <c r="D2482">
        <v>6</v>
      </c>
      <c r="E2482" t="s">
        <v>21</v>
      </c>
      <c r="F2482" t="s">
        <v>308</v>
      </c>
      <c r="G2482" t="s">
        <v>295</v>
      </c>
      <c r="I2482">
        <v>765590</v>
      </c>
      <c r="J2482">
        <f t="shared" si="63"/>
        <v>-765590</v>
      </c>
      <c r="O2482" t="s">
        <v>324</v>
      </c>
    </row>
    <row r="2483" spans="2:15" x14ac:dyDescent="0.25">
      <c r="B2483" t="s">
        <v>15</v>
      </c>
      <c r="C2483" s="4">
        <v>44742</v>
      </c>
      <c r="D2483">
        <v>6</v>
      </c>
      <c r="E2483" t="s">
        <v>38</v>
      </c>
      <c r="F2483" t="s">
        <v>310</v>
      </c>
      <c r="G2483" t="s">
        <v>295</v>
      </c>
      <c r="H2483">
        <v>22800</v>
      </c>
      <c r="J2483">
        <f t="shared" si="63"/>
        <v>22800</v>
      </c>
      <c r="O2483" t="s">
        <v>311</v>
      </c>
    </row>
    <row r="2484" spans="2:15" x14ac:dyDescent="0.25">
      <c r="B2484" t="s">
        <v>15</v>
      </c>
      <c r="C2484" s="4">
        <v>44742</v>
      </c>
      <c r="D2484">
        <v>6</v>
      </c>
      <c r="E2484" t="s">
        <v>21</v>
      </c>
      <c r="F2484" t="s">
        <v>300</v>
      </c>
      <c r="G2484" t="s">
        <v>295</v>
      </c>
      <c r="I2484">
        <v>22800</v>
      </c>
      <c r="J2484">
        <f t="shared" si="63"/>
        <v>-22800</v>
      </c>
      <c r="O2484" t="s">
        <v>311</v>
      </c>
    </row>
    <row r="2485" spans="2:15" x14ac:dyDescent="0.25">
      <c r="B2485" t="s">
        <v>15</v>
      </c>
      <c r="C2485" s="4">
        <v>44742</v>
      </c>
      <c r="D2485">
        <v>6</v>
      </c>
      <c r="E2485" t="s">
        <v>38</v>
      </c>
      <c r="F2485" t="s">
        <v>310</v>
      </c>
      <c r="G2485" t="s">
        <v>295</v>
      </c>
      <c r="H2485">
        <v>8836</v>
      </c>
      <c r="J2485">
        <f t="shared" si="63"/>
        <v>8836</v>
      </c>
      <c r="O2485" t="s">
        <v>312</v>
      </c>
    </row>
    <row r="2486" spans="2:15" x14ac:dyDescent="0.25">
      <c r="B2486" t="s">
        <v>15</v>
      </c>
      <c r="C2486" s="4">
        <v>44742</v>
      </c>
      <c r="D2486">
        <v>6</v>
      </c>
      <c r="E2486" t="s">
        <v>21</v>
      </c>
      <c r="F2486" t="s">
        <v>313</v>
      </c>
      <c r="G2486" t="s">
        <v>295</v>
      </c>
      <c r="I2486">
        <v>8836</v>
      </c>
      <c r="J2486">
        <f t="shared" si="63"/>
        <v>-8836</v>
      </c>
      <c r="O2486" t="s">
        <v>312</v>
      </c>
    </row>
    <row r="2487" spans="2:15" x14ac:dyDescent="0.25">
      <c r="B2487" t="s">
        <v>15</v>
      </c>
      <c r="C2487" s="4">
        <v>44742</v>
      </c>
      <c r="D2487">
        <v>6</v>
      </c>
      <c r="E2487" t="s">
        <v>38</v>
      </c>
      <c r="F2487" t="s">
        <v>310</v>
      </c>
      <c r="G2487" t="s">
        <v>295</v>
      </c>
      <c r="H2487">
        <v>17670</v>
      </c>
      <c r="J2487">
        <f t="shared" si="63"/>
        <v>17670</v>
      </c>
      <c r="O2487" t="s">
        <v>314</v>
      </c>
    </row>
    <row r="2488" spans="2:15" x14ac:dyDescent="0.25">
      <c r="B2488" t="s">
        <v>15</v>
      </c>
      <c r="C2488" s="4">
        <v>44742</v>
      </c>
      <c r="D2488">
        <v>6</v>
      </c>
      <c r="E2488" t="s">
        <v>21</v>
      </c>
      <c r="F2488" t="s">
        <v>314</v>
      </c>
      <c r="G2488" t="s">
        <v>295</v>
      </c>
      <c r="I2488">
        <v>17670</v>
      </c>
      <c r="J2488">
        <f t="shared" si="63"/>
        <v>-17670</v>
      </c>
      <c r="O2488" t="s">
        <v>314</v>
      </c>
    </row>
    <row r="2489" spans="2:15" x14ac:dyDescent="0.25">
      <c r="B2489" t="s">
        <v>15</v>
      </c>
      <c r="C2489" s="4">
        <v>44773</v>
      </c>
      <c r="D2489">
        <v>7</v>
      </c>
      <c r="E2489" t="s">
        <v>38</v>
      </c>
      <c r="F2489" t="s">
        <v>294</v>
      </c>
      <c r="G2489" t="s">
        <v>295</v>
      </c>
      <c r="H2489">
        <v>760000</v>
      </c>
      <c r="J2489">
        <f t="shared" si="63"/>
        <v>760000</v>
      </c>
      <c r="O2489" t="s">
        <v>325</v>
      </c>
    </row>
    <row r="2490" spans="2:15" x14ac:dyDescent="0.25">
      <c r="B2490" t="s">
        <v>15</v>
      </c>
      <c r="C2490" s="4">
        <v>44773</v>
      </c>
      <c r="D2490">
        <v>7</v>
      </c>
      <c r="E2490" t="s">
        <v>38</v>
      </c>
      <c r="F2490" t="s">
        <v>294</v>
      </c>
      <c r="G2490" t="s">
        <v>295</v>
      </c>
      <c r="H2490">
        <v>190000</v>
      </c>
      <c r="J2490">
        <f t="shared" si="63"/>
        <v>190000</v>
      </c>
      <c r="O2490" t="s">
        <v>297</v>
      </c>
    </row>
    <row r="2491" spans="2:15" x14ac:dyDescent="0.25">
      <c r="B2491" t="s">
        <v>15</v>
      </c>
      <c r="C2491" s="4">
        <v>44773</v>
      </c>
      <c r="D2491">
        <v>7</v>
      </c>
      <c r="E2491" t="s">
        <v>38</v>
      </c>
      <c r="F2491" t="s">
        <v>298</v>
      </c>
      <c r="G2491" t="s">
        <v>295</v>
      </c>
      <c r="H2491">
        <v>60000</v>
      </c>
      <c r="J2491">
        <f t="shared" si="63"/>
        <v>60000</v>
      </c>
      <c r="O2491" t="s">
        <v>298</v>
      </c>
    </row>
    <row r="2492" spans="2:15" x14ac:dyDescent="0.25">
      <c r="B2492" t="s">
        <v>15</v>
      </c>
      <c r="C2492" s="4">
        <v>44773</v>
      </c>
      <c r="D2492">
        <v>7</v>
      </c>
      <c r="E2492" t="s">
        <v>38</v>
      </c>
      <c r="F2492" t="s">
        <v>299</v>
      </c>
      <c r="G2492" t="s">
        <v>295</v>
      </c>
      <c r="H2492">
        <v>60000</v>
      </c>
      <c r="J2492">
        <f t="shared" si="63"/>
        <v>60000</v>
      </c>
      <c r="O2492" t="s">
        <v>299</v>
      </c>
    </row>
    <row r="2493" spans="2:15" x14ac:dyDescent="0.25">
      <c r="B2493" t="s">
        <v>15</v>
      </c>
      <c r="C2493" s="4">
        <v>44773</v>
      </c>
      <c r="D2493">
        <v>7</v>
      </c>
      <c r="E2493" t="s">
        <v>21</v>
      </c>
      <c r="F2493" t="s">
        <v>300</v>
      </c>
      <c r="G2493" t="s">
        <v>295</v>
      </c>
      <c r="I2493">
        <v>54388</v>
      </c>
      <c r="J2493">
        <f t="shared" si="63"/>
        <v>-54388</v>
      </c>
      <c r="O2493" t="s">
        <v>301</v>
      </c>
    </row>
    <row r="2494" spans="2:15" x14ac:dyDescent="0.25">
      <c r="B2494" t="s">
        <v>15</v>
      </c>
      <c r="C2494" s="4">
        <v>44773</v>
      </c>
      <c r="D2494">
        <v>7</v>
      </c>
      <c r="E2494" t="s">
        <v>21</v>
      </c>
      <c r="F2494" t="s">
        <v>300</v>
      </c>
      <c r="G2494" t="s">
        <v>295</v>
      </c>
      <c r="I2494">
        <v>54340</v>
      </c>
      <c r="J2494">
        <f t="shared" si="63"/>
        <v>-54340</v>
      </c>
      <c r="O2494" t="s">
        <v>302</v>
      </c>
    </row>
    <row r="2495" spans="2:15" x14ac:dyDescent="0.25">
      <c r="B2495" t="s">
        <v>15</v>
      </c>
      <c r="C2495" s="4">
        <v>44773</v>
      </c>
      <c r="D2495">
        <v>7</v>
      </c>
      <c r="E2495" t="s">
        <v>21</v>
      </c>
      <c r="F2495" t="s">
        <v>303</v>
      </c>
      <c r="G2495" t="s">
        <v>295</v>
      </c>
      <c r="I2495">
        <v>33250</v>
      </c>
      <c r="J2495">
        <f t="shared" si="63"/>
        <v>-33250</v>
      </c>
      <c r="O2495" t="s">
        <v>304</v>
      </c>
    </row>
    <row r="2496" spans="2:15" x14ac:dyDescent="0.25">
      <c r="B2496" t="s">
        <v>15</v>
      </c>
      <c r="C2496" s="4">
        <v>44773</v>
      </c>
      <c r="D2496">
        <v>7</v>
      </c>
      <c r="E2496" t="s">
        <v>21</v>
      </c>
      <c r="F2496" t="s">
        <v>303</v>
      </c>
      <c r="G2496" t="s">
        <v>295</v>
      </c>
      <c r="I2496">
        <v>150144</v>
      </c>
      <c r="J2496">
        <f t="shared" si="63"/>
        <v>-150144</v>
      </c>
      <c r="O2496" t="s">
        <v>305</v>
      </c>
    </row>
    <row r="2497" spans="2:15" x14ac:dyDescent="0.25">
      <c r="B2497" t="s">
        <v>15</v>
      </c>
      <c r="C2497" s="4">
        <v>44773</v>
      </c>
      <c r="D2497">
        <v>7</v>
      </c>
      <c r="E2497" t="s">
        <v>21</v>
      </c>
      <c r="F2497" t="s">
        <v>300</v>
      </c>
      <c r="G2497" t="s">
        <v>295</v>
      </c>
      <c r="I2497">
        <v>5700</v>
      </c>
      <c r="J2497">
        <f t="shared" si="63"/>
        <v>-5700</v>
      </c>
      <c r="O2497" t="s">
        <v>306</v>
      </c>
    </row>
    <row r="2498" spans="2:15" x14ac:dyDescent="0.25">
      <c r="B2498" t="s">
        <v>15</v>
      </c>
      <c r="C2498" s="4">
        <v>44773</v>
      </c>
      <c r="D2498">
        <v>7</v>
      </c>
      <c r="E2498" t="s">
        <v>21</v>
      </c>
      <c r="F2498" t="s">
        <v>290</v>
      </c>
      <c r="G2498" t="s">
        <v>295</v>
      </c>
      <c r="I2498">
        <v>8029</v>
      </c>
      <c r="J2498">
        <f t="shared" si="63"/>
        <v>-8029</v>
      </c>
      <c r="O2498" t="s">
        <v>307</v>
      </c>
    </row>
    <row r="2499" spans="2:15" x14ac:dyDescent="0.25">
      <c r="B2499" t="s">
        <v>15</v>
      </c>
      <c r="C2499" s="4">
        <v>44773</v>
      </c>
      <c r="D2499">
        <v>7</v>
      </c>
      <c r="E2499" t="s">
        <v>21</v>
      </c>
      <c r="F2499" t="s">
        <v>308</v>
      </c>
      <c r="G2499" t="s">
        <v>295</v>
      </c>
      <c r="I2499">
        <v>764149</v>
      </c>
      <c r="J2499">
        <f t="shared" si="63"/>
        <v>-764149</v>
      </c>
      <c r="O2499" t="s">
        <v>326</v>
      </c>
    </row>
    <row r="2500" spans="2:15" x14ac:dyDescent="0.25">
      <c r="B2500" t="s">
        <v>15</v>
      </c>
      <c r="C2500" s="4">
        <v>44773</v>
      </c>
      <c r="D2500">
        <v>7</v>
      </c>
      <c r="E2500" t="s">
        <v>38</v>
      </c>
      <c r="F2500" t="s">
        <v>310</v>
      </c>
      <c r="G2500" t="s">
        <v>295</v>
      </c>
      <c r="H2500">
        <v>22800</v>
      </c>
      <c r="J2500">
        <f t="shared" si="63"/>
        <v>22800</v>
      </c>
      <c r="O2500" t="s">
        <v>311</v>
      </c>
    </row>
    <row r="2501" spans="2:15" x14ac:dyDescent="0.25">
      <c r="B2501" t="s">
        <v>15</v>
      </c>
      <c r="C2501" s="4">
        <v>44773</v>
      </c>
      <c r="D2501">
        <v>7</v>
      </c>
      <c r="E2501" t="s">
        <v>21</v>
      </c>
      <c r="F2501" t="s">
        <v>300</v>
      </c>
      <c r="G2501" t="s">
        <v>295</v>
      </c>
      <c r="I2501">
        <v>22800</v>
      </c>
      <c r="J2501">
        <f t="shared" si="63"/>
        <v>-22800</v>
      </c>
      <c r="O2501" t="s">
        <v>311</v>
      </c>
    </row>
    <row r="2502" spans="2:15" x14ac:dyDescent="0.25">
      <c r="B2502" t="s">
        <v>15</v>
      </c>
      <c r="C2502" s="4">
        <v>44773</v>
      </c>
      <c r="D2502">
        <v>7</v>
      </c>
      <c r="E2502" t="s">
        <v>38</v>
      </c>
      <c r="F2502" t="s">
        <v>310</v>
      </c>
      <c r="G2502" t="s">
        <v>295</v>
      </c>
      <c r="H2502">
        <v>8836</v>
      </c>
      <c r="J2502">
        <f t="shared" si="63"/>
        <v>8836</v>
      </c>
      <c r="O2502" t="s">
        <v>312</v>
      </c>
    </row>
    <row r="2503" spans="2:15" x14ac:dyDescent="0.25">
      <c r="B2503" t="s">
        <v>15</v>
      </c>
      <c r="C2503" s="4">
        <v>44773</v>
      </c>
      <c r="D2503">
        <v>7</v>
      </c>
      <c r="E2503" t="s">
        <v>21</v>
      </c>
      <c r="F2503" t="s">
        <v>313</v>
      </c>
      <c r="G2503" t="s">
        <v>295</v>
      </c>
      <c r="I2503">
        <v>8836</v>
      </c>
      <c r="J2503">
        <f t="shared" si="63"/>
        <v>-8836</v>
      </c>
      <c r="O2503" t="s">
        <v>312</v>
      </c>
    </row>
    <row r="2504" spans="2:15" x14ac:dyDescent="0.25">
      <c r="B2504" t="s">
        <v>15</v>
      </c>
      <c r="C2504" s="4">
        <v>44773</v>
      </c>
      <c r="D2504">
        <v>7</v>
      </c>
      <c r="E2504" t="s">
        <v>38</v>
      </c>
      <c r="F2504" t="s">
        <v>310</v>
      </c>
      <c r="G2504" t="s">
        <v>295</v>
      </c>
      <c r="H2504">
        <v>17480</v>
      </c>
      <c r="J2504">
        <f t="shared" si="63"/>
        <v>17480</v>
      </c>
      <c r="O2504" t="s">
        <v>314</v>
      </c>
    </row>
    <row r="2505" spans="2:15" x14ac:dyDescent="0.25">
      <c r="B2505" t="s">
        <v>15</v>
      </c>
      <c r="C2505" s="4">
        <v>44773</v>
      </c>
      <c r="D2505">
        <v>7</v>
      </c>
      <c r="E2505" t="s">
        <v>21</v>
      </c>
      <c r="F2505" t="s">
        <v>314</v>
      </c>
      <c r="G2505" t="s">
        <v>295</v>
      </c>
      <c r="I2505">
        <v>17480</v>
      </c>
      <c r="J2505">
        <f t="shared" si="63"/>
        <v>-17480</v>
      </c>
      <c r="O2505" t="s">
        <v>314</v>
      </c>
    </row>
    <row r="2506" spans="2:15" x14ac:dyDescent="0.25">
      <c r="B2506" t="s">
        <v>15</v>
      </c>
      <c r="C2506" s="4">
        <v>44804</v>
      </c>
      <c r="D2506">
        <v>8</v>
      </c>
      <c r="E2506" t="s">
        <v>38</v>
      </c>
      <c r="F2506" t="s">
        <v>294</v>
      </c>
      <c r="G2506" t="s">
        <v>295</v>
      </c>
      <c r="H2506">
        <v>800000</v>
      </c>
      <c r="J2506">
        <f t="shared" si="63"/>
        <v>800000</v>
      </c>
      <c r="O2506" t="s">
        <v>327</v>
      </c>
    </row>
    <row r="2507" spans="2:15" x14ac:dyDescent="0.25">
      <c r="B2507" t="s">
        <v>15</v>
      </c>
      <c r="C2507" s="4">
        <v>44804</v>
      </c>
      <c r="D2507">
        <v>8</v>
      </c>
      <c r="E2507" t="s">
        <v>38</v>
      </c>
      <c r="F2507" t="s">
        <v>294</v>
      </c>
      <c r="G2507" t="s">
        <v>295</v>
      </c>
      <c r="H2507">
        <v>200000</v>
      </c>
      <c r="J2507">
        <f t="shared" si="63"/>
        <v>200000</v>
      </c>
      <c r="O2507" t="s">
        <v>297</v>
      </c>
    </row>
    <row r="2508" spans="2:15" x14ac:dyDescent="0.25">
      <c r="B2508" t="s">
        <v>15</v>
      </c>
      <c r="C2508" s="4">
        <v>44804</v>
      </c>
      <c r="D2508">
        <v>8</v>
      </c>
      <c r="E2508" t="s">
        <v>38</v>
      </c>
      <c r="F2508" t="s">
        <v>298</v>
      </c>
      <c r="G2508" t="s">
        <v>295</v>
      </c>
      <c r="H2508">
        <v>60000</v>
      </c>
      <c r="J2508">
        <f t="shared" si="63"/>
        <v>60000</v>
      </c>
      <c r="O2508" t="s">
        <v>298</v>
      </c>
    </row>
    <row r="2509" spans="2:15" x14ac:dyDescent="0.25">
      <c r="B2509" t="s">
        <v>15</v>
      </c>
      <c r="C2509" s="4">
        <v>44804</v>
      </c>
      <c r="D2509">
        <v>8</v>
      </c>
      <c r="E2509" t="s">
        <v>38</v>
      </c>
      <c r="F2509" t="s">
        <v>299</v>
      </c>
      <c r="G2509" t="s">
        <v>295</v>
      </c>
      <c r="H2509">
        <v>60000</v>
      </c>
      <c r="J2509">
        <f t="shared" si="63"/>
        <v>60000</v>
      </c>
      <c r="O2509" t="s">
        <v>299</v>
      </c>
    </row>
    <row r="2510" spans="2:15" x14ac:dyDescent="0.25">
      <c r="B2510" t="s">
        <v>15</v>
      </c>
      <c r="C2510" s="4">
        <v>44804</v>
      </c>
      <c r="D2510">
        <v>8</v>
      </c>
      <c r="E2510" t="s">
        <v>21</v>
      </c>
      <c r="F2510" t="s">
        <v>300</v>
      </c>
      <c r="G2510" t="s">
        <v>295</v>
      </c>
      <c r="I2510">
        <v>57250</v>
      </c>
      <c r="J2510">
        <f t="shared" si="63"/>
        <v>-57250</v>
      </c>
      <c r="O2510" t="s">
        <v>301</v>
      </c>
    </row>
    <row r="2511" spans="2:15" x14ac:dyDescent="0.25">
      <c r="B2511" t="s">
        <v>15</v>
      </c>
      <c r="C2511" s="4">
        <v>44804</v>
      </c>
      <c r="D2511">
        <v>8</v>
      </c>
      <c r="E2511" t="s">
        <v>21</v>
      </c>
      <c r="F2511" t="s">
        <v>300</v>
      </c>
      <c r="G2511" t="s">
        <v>295</v>
      </c>
      <c r="I2511">
        <v>57200</v>
      </c>
      <c r="J2511">
        <f t="shared" si="63"/>
        <v>-57200</v>
      </c>
      <c r="O2511" t="s">
        <v>302</v>
      </c>
    </row>
    <row r="2512" spans="2:15" x14ac:dyDescent="0.25">
      <c r="B2512" t="s">
        <v>15</v>
      </c>
      <c r="C2512" s="4">
        <v>44804</v>
      </c>
      <c r="D2512">
        <v>8</v>
      </c>
      <c r="E2512" t="s">
        <v>21</v>
      </c>
      <c r="F2512" t="s">
        <v>303</v>
      </c>
      <c r="G2512" t="s">
        <v>295</v>
      </c>
      <c r="I2512">
        <v>35000</v>
      </c>
      <c r="J2512">
        <f t="shared" si="63"/>
        <v>-35000</v>
      </c>
      <c r="O2512" t="s">
        <v>304</v>
      </c>
    </row>
    <row r="2513" spans="2:15" x14ac:dyDescent="0.25">
      <c r="B2513" t="s">
        <v>15</v>
      </c>
      <c r="C2513" s="4">
        <v>44804</v>
      </c>
      <c r="D2513">
        <v>8</v>
      </c>
      <c r="E2513" t="s">
        <v>21</v>
      </c>
      <c r="F2513" t="s">
        <v>303</v>
      </c>
      <c r="G2513" t="s">
        <v>295</v>
      </c>
      <c r="I2513">
        <v>152027</v>
      </c>
      <c r="J2513">
        <f t="shared" si="63"/>
        <v>-152027</v>
      </c>
      <c r="O2513" t="s">
        <v>305</v>
      </c>
    </row>
    <row r="2514" spans="2:15" x14ac:dyDescent="0.25">
      <c r="B2514" t="s">
        <v>15</v>
      </c>
      <c r="C2514" s="4">
        <v>44804</v>
      </c>
      <c r="D2514">
        <v>8</v>
      </c>
      <c r="E2514" t="s">
        <v>21</v>
      </c>
      <c r="F2514" t="s">
        <v>300</v>
      </c>
      <c r="G2514" t="s">
        <v>295</v>
      </c>
      <c r="I2514">
        <v>6000</v>
      </c>
      <c r="J2514">
        <f t="shared" si="63"/>
        <v>-6000</v>
      </c>
      <c r="O2514" t="s">
        <v>306</v>
      </c>
    </row>
    <row r="2515" spans="2:15" x14ac:dyDescent="0.25">
      <c r="B2515" t="s">
        <v>15</v>
      </c>
      <c r="C2515" s="4">
        <v>44804</v>
      </c>
      <c r="D2515">
        <v>8</v>
      </c>
      <c r="E2515" t="s">
        <v>21</v>
      </c>
      <c r="F2515" t="s">
        <v>290</v>
      </c>
      <c r="G2515" t="s">
        <v>295</v>
      </c>
      <c r="I2515">
        <v>8632</v>
      </c>
      <c r="J2515">
        <f t="shared" si="63"/>
        <v>-8632</v>
      </c>
      <c r="O2515" t="s">
        <v>307</v>
      </c>
    </row>
    <row r="2516" spans="2:15" x14ac:dyDescent="0.25">
      <c r="B2516" t="s">
        <v>15</v>
      </c>
      <c r="C2516" s="4">
        <v>44804</v>
      </c>
      <c r="D2516">
        <v>8</v>
      </c>
      <c r="E2516" t="s">
        <v>21</v>
      </c>
      <c r="F2516" t="s">
        <v>308</v>
      </c>
      <c r="G2516" t="s">
        <v>295</v>
      </c>
      <c r="I2516">
        <v>803891</v>
      </c>
      <c r="J2516">
        <f t="shared" ref="J2516:J2579" si="64">+H2516-I2516</f>
        <v>-803891</v>
      </c>
      <c r="O2516" t="s">
        <v>328</v>
      </c>
    </row>
    <row r="2517" spans="2:15" x14ac:dyDescent="0.25">
      <c r="B2517" t="s">
        <v>15</v>
      </c>
      <c r="C2517" s="4">
        <v>44804</v>
      </c>
      <c r="D2517">
        <v>8</v>
      </c>
      <c r="E2517" t="s">
        <v>38</v>
      </c>
      <c r="F2517" t="s">
        <v>310</v>
      </c>
      <c r="G2517" t="s">
        <v>295</v>
      </c>
      <c r="H2517">
        <v>24000</v>
      </c>
      <c r="J2517">
        <f t="shared" si="64"/>
        <v>24000</v>
      </c>
      <c r="O2517" t="s">
        <v>311</v>
      </c>
    </row>
    <row r="2518" spans="2:15" x14ac:dyDescent="0.25">
      <c r="B2518" t="s">
        <v>15</v>
      </c>
      <c r="C2518" s="4">
        <v>44804</v>
      </c>
      <c r="D2518">
        <v>8</v>
      </c>
      <c r="E2518" t="s">
        <v>21</v>
      </c>
      <c r="F2518" t="s">
        <v>300</v>
      </c>
      <c r="G2518" t="s">
        <v>295</v>
      </c>
      <c r="I2518">
        <v>24000</v>
      </c>
      <c r="J2518">
        <f t="shared" si="64"/>
        <v>-24000</v>
      </c>
      <c r="O2518" t="s">
        <v>311</v>
      </c>
    </row>
    <row r="2519" spans="2:15" x14ac:dyDescent="0.25">
      <c r="B2519" t="s">
        <v>15</v>
      </c>
      <c r="C2519" s="4">
        <v>44804</v>
      </c>
      <c r="D2519">
        <v>8</v>
      </c>
      <c r="E2519" t="s">
        <v>38</v>
      </c>
      <c r="F2519" t="s">
        <v>310</v>
      </c>
      <c r="G2519" t="s">
        <v>295</v>
      </c>
      <c r="H2519">
        <v>9300</v>
      </c>
      <c r="J2519">
        <f t="shared" si="64"/>
        <v>9300</v>
      </c>
      <c r="O2519" t="s">
        <v>312</v>
      </c>
    </row>
    <row r="2520" spans="2:15" x14ac:dyDescent="0.25">
      <c r="B2520" t="s">
        <v>15</v>
      </c>
      <c r="C2520" s="4">
        <v>44804</v>
      </c>
      <c r="D2520">
        <v>8</v>
      </c>
      <c r="E2520" t="s">
        <v>21</v>
      </c>
      <c r="F2520" t="s">
        <v>313</v>
      </c>
      <c r="G2520" t="s">
        <v>295</v>
      </c>
      <c r="I2520">
        <v>9300</v>
      </c>
      <c r="J2520">
        <f t="shared" si="64"/>
        <v>-9300</v>
      </c>
      <c r="O2520" t="s">
        <v>312</v>
      </c>
    </row>
    <row r="2521" spans="2:15" x14ac:dyDescent="0.25">
      <c r="B2521" t="s">
        <v>15</v>
      </c>
      <c r="C2521" s="4">
        <v>44804</v>
      </c>
      <c r="D2521">
        <v>8</v>
      </c>
      <c r="E2521" t="s">
        <v>38</v>
      </c>
      <c r="F2521" t="s">
        <v>310</v>
      </c>
      <c r="G2521" t="s">
        <v>295</v>
      </c>
      <c r="H2521">
        <v>18400</v>
      </c>
      <c r="J2521">
        <f t="shared" si="64"/>
        <v>18400</v>
      </c>
      <c r="O2521" t="s">
        <v>314</v>
      </c>
    </row>
    <row r="2522" spans="2:15" x14ac:dyDescent="0.25">
      <c r="B2522" t="s">
        <v>15</v>
      </c>
      <c r="C2522" s="4">
        <v>44804</v>
      </c>
      <c r="D2522">
        <v>8</v>
      </c>
      <c r="E2522" t="s">
        <v>21</v>
      </c>
      <c r="F2522" t="s">
        <v>314</v>
      </c>
      <c r="G2522" t="s">
        <v>295</v>
      </c>
      <c r="I2522">
        <v>18400</v>
      </c>
      <c r="J2522">
        <f t="shared" si="64"/>
        <v>-18400</v>
      </c>
      <c r="O2522" t="s">
        <v>314</v>
      </c>
    </row>
    <row r="2523" spans="2:15" x14ac:dyDescent="0.25">
      <c r="B2523" t="s">
        <v>15</v>
      </c>
      <c r="C2523" s="4">
        <v>44834</v>
      </c>
      <c r="D2523">
        <v>9</v>
      </c>
      <c r="E2523" t="s">
        <v>38</v>
      </c>
      <c r="F2523" t="s">
        <v>294</v>
      </c>
      <c r="G2523" t="s">
        <v>295</v>
      </c>
      <c r="H2523">
        <v>800000</v>
      </c>
      <c r="J2523">
        <f t="shared" si="64"/>
        <v>800000</v>
      </c>
      <c r="O2523" t="s">
        <v>329</v>
      </c>
    </row>
    <row r="2524" spans="2:15" x14ac:dyDescent="0.25">
      <c r="B2524" t="s">
        <v>15</v>
      </c>
      <c r="C2524" s="4">
        <v>44834</v>
      </c>
      <c r="D2524">
        <v>9</v>
      </c>
      <c r="E2524" t="s">
        <v>38</v>
      </c>
      <c r="F2524" t="s">
        <v>294</v>
      </c>
      <c r="G2524" t="s">
        <v>295</v>
      </c>
      <c r="H2524">
        <v>200000</v>
      </c>
      <c r="J2524">
        <f t="shared" si="64"/>
        <v>200000</v>
      </c>
      <c r="O2524" t="s">
        <v>297</v>
      </c>
    </row>
    <row r="2525" spans="2:15" x14ac:dyDescent="0.25">
      <c r="B2525" t="s">
        <v>15</v>
      </c>
      <c r="C2525" s="4">
        <v>44834</v>
      </c>
      <c r="D2525">
        <v>9</v>
      </c>
      <c r="E2525" t="s">
        <v>38</v>
      </c>
      <c r="F2525" t="s">
        <v>298</v>
      </c>
      <c r="G2525" t="s">
        <v>295</v>
      </c>
      <c r="H2525">
        <v>60000</v>
      </c>
      <c r="J2525">
        <f t="shared" si="64"/>
        <v>60000</v>
      </c>
      <c r="O2525" t="s">
        <v>298</v>
      </c>
    </row>
    <row r="2526" spans="2:15" x14ac:dyDescent="0.25">
      <c r="B2526" t="s">
        <v>15</v>
      </c>
      <c r="C2526" s="4">
        <v>44834</v>
      </c>
      <c r="D2526">
        <v>9</v>
      </c>
      <c r="E2526" t="s">
        <v>38</v>
      </c>
      <c r="F2526" t="s">
        <v>299</v>
      </c>
      <c r="G2526" t="s">
        <v>295</v>
      </c>
      <c r="H2526">
        <v>60000</v>
      </c>
      <c r="J2526">
        <f t="shared" si="64"/>
        <v>60000</v>
      </c>
      <c r="O2526" t="s">
        <v>299</v>
      </c>
    </row>
    <row r="2527" spans="2:15" x14ac:dyDescent="0.25">
      <c r="B2527" t="s">
        <v>15</v>
      </c>
      <c r="C2527" s="4">
        <v>44834</v>
      </c>
      <c r="D2527">
        <v>9</v>
      </c>
      <c r="E2527" t="s">
        <v>21</v>
      </c>
      <c r="F2527" t="s">
        <v>300</v>
      </c>
      <c r="G2527" t="s">
        <v>295</v>
      </c>
      <c r="I2527">
        <v>57250</v>
      </c>
      <c r="J2527">
        <f t="shared" si="64"/>
        <v>-57250</v>
      </c>
      <c r="O2527" t="s">
        <v>301</v>
      </c>
    </row>
    <row r="2528" spans="2:15" x14ac:dyDescent="0.25">
      <c r="B2528" t="s">
        <v>15</v>
      </c>
      <c r="C2528" s="4">
        <v>44834</v>
      </c>
      <c r="D2528">
        <v>9</v>
      </c>
      <c r="E2528" t="s">
        <v>21</v>
      </c>
      <c r="F2528" t="s">
        <v>300</v>
      </c>
      <c r="G2528" t="s">
        <v>295</v>
      </c>
      <c r="I2528">
        <v>57200</v>
      </c>
      <c r="J2528">
        <f t="shared" si="64"/>
        <v>-57200</v>
      </c>
      <c r="O2528" t="s">
        <v>302</v>
      </c>
    </row>
    <row r="2529" spans="2:15" x14ac:dyDescent="0.25">
      <c r="B2529" t="s">
        <v>15</v>
      </c>
      <c r="C2529" s="4">
        <v>44834</v>
      </c>
      <c r="D2529">
        <v>9</v>
      </c>
      <c r="E2529" t="s">
        <v>21</v>
      </c>
      <c r="F2529" t="s">
        <v>303</v>
      </c>
      <c r="G2529" t="s">
        <v>295</v>
      </c>
      <c r="I2529">
        <v>35000</v>
      </c>
      <c r="J2529">
        <f t="shared" si="64"/>
        <v>-35000</v>
      </c>
      <c r="O2529" t="s">
        <v>304</v>
      </c>
    </row>
    <row r="2530" spans="2:15" x14ac:dyDescent="0.25">
      <c r="B2530" t="s">
        <v>15</v>
      </c>
      <c r="C2530" s="4">
        <v>44834</v>
      </c>
      <c r="D2530">
        <v>9</v>
      </c>
      <c r="E2530" t="s">
        <v>21</v>
      </c>
      <c r="F2530" t="s">
        <v>303</v>
      </c>
      <c r="G2530" t="s">
        <v>295</v>
      </c>
      <c r="I2530">
        <v>153922</v>
      </c>
      <c r="J2530">
        <f t="shared" si="64"/>
        <v>-153922</v>
      </c>
      <c r="O2530" t="s">
        <v>305</v>
      </c>
    </row>
    <row r="2531" spans="2:15" x14ac:dyDescent="0.25">
      <c r="B2531" t="s">
        <v>15</v>
      </c>
      <c r="C2531" s="4">
        <v>44834</v>
      </c>
      <c r="D2531">
        <v>9</v>
      </c>
      <c r="E2531" t="s">
        <v>21</v>
      </c>
      <c r="F2531" t="s">
        <v>300</v>
      </c>
      <c r="G2531" t="s">
        <v>295</v>
      </c>
      <c r="I2531">
        <v>6000</v>
      </c>
      <c r="J2531">
        <f t="shared" si="64"/>
        <v>-6000</v>
      </c>
      <c r="O2531" t="s">
        <v>306</v>
      </c>
    </row>
    <row r="2532" spans="2:15" x14ac:dyDescent="0.25">
      <c r="B2532" t="s">
        <v>15</v>
      </c>
      <c r="C2532" s="4">
        <v>44834</v>
      </c>
      <c r="D2532">
        <v>9</v>
      </c>
      <c r="E2532" t="s">
        <v>21</v>
      </c>
      <c r="F2532" t="s">
        <v>290</v>
      </c>
      <c r="G2532" t="s">
        <v>295</v>
      </c>
      <c r="I2532">
        <v>8575</v>
      </c>
      <c r="J2532">
        <f t="shared" si="64"/>
        <v>-8575</v>
      </c>
      <c r="O2532" t="s">
        <v>307</v>
      </c>
    </row>
    <row r="2533" spans="2:15" x14ac:dyDescent="0.25">
      <c r="B2533" t="s">
        <v>15</v>
      </c>
      <c r="C2533" s="4">
        <v>44834</v>
      </c>
      <c r="D2533">
        <v>9</v>
      </c>
      <c r="E2533" t="s">
        <v>21</v>
      </c>
      <c r="F2533" t="s">
        <v>308</v>
      </c>
      <c r="G2533" t="s">
        <v>295</v>
      </c>
      <c r="I2533">
        <v>802053</v>
      </c>
      <c r="J2533">
        <f t="shared" si="64"/>
        <v>-802053</v>
      </c>
      <c r="O2533" t="s">
        <v>330</v>
      </c>
    </row>
    <row r="2534" spans="2:15" x14ac:dyDescent="0.25">
      <c r="B2534" t="s">
        <v>15</v>
      </c>
      <c r="C2534" s="4">
        <v>44834</v>
      </c>
      <c r="D2534">
        <v>9</v>
      </c>
      <c r="E2534" t="s">
        <v>38</v>
      </c>
      <c r="F2534" t="s">
        <v>310</v>
      </c>
      <c r="G2534" t="s">
        <v>295</v>
      </c>
      <c r="H2534">
        <v>24000</v>
      </c>
      <c r="J2534">
        <f t="shared" si="64"/>
        <v>24000</v>
      </c>
      <c r="O2534" t="s">
        <v>311</v>
      </c>
    </row>
    <row r="2535" spans="2:15" x14ac:dyDescent="0.25">
      <c r="B2535" t="s">
        <v>15</v>
      </c>
      <c r="C2535" s="4">
        <v>44834</v>
      </c>
      <c r="D2535">
        <v>9</v>
      </c>
      <c r="E2535" t="s">
        <v>21</v>
      </c>
      <c r="F2535" t="s">
        <v>300</v>
      </c>
      <c r="G2535" t="s">
        <v>295</v>
      </c>
      <c r="I2535">
        <v>24000</v>
      </c>
      <c r="J2535">
        <f t="shared" si="64"/>
        <v>-24000</v>
      </c>
      <c r="O2535" t="s">
        <v>311</v>
      </c>
    </row>
    <row r="2536" spans="2:15" x14ac:dyDescent="0.25">
      <c r="B2536" t="s">
        <v>15</v>
      </c>
      <c r="C2536" s="4">
        <v>44834</v>
      </c>
      <c r="D2536">
        <v>9</v>
      </c>
      <c r="E2536" t="s">
        <v>38</v>
      </c>
      <c r="F2536" t="s">
        <v>310</v>
      </c>
      <c r="G2536" t="s">
        <v>295</v>
      </c>
      <c r="H2536">
        <v>9300</v>
      </c>
      <c r="J2536">
        <f t="shared" si="64"/>
        <v>9300</v>
      </c>
      <c r="O2536" t="s">
        <v>312</v>
      </c>
    </row>
    <row r="2537" spans="2:15" x14ac:dyDescent="0.25">
      <c r="B2537" t="s">
        <v>15</v>
      </c>
      <c r="C2537" s="4">
        <v>44834</v>
      </c>
      <c r="D2537">
        <v>9</v>
      </c>
      <c r="E2537" t="s">
        <v>21</v>
      </c>
      <c r="F2537" t="s">
        <v>313</v>
      </c>
      <c r="G2537" t="s">
        <v>295</v>
      </c>
      <c r="I2537">
        <v>9300</v>
      </c>
      <c r="J2537">
        <f t="shared" si="64"/>
        <v>-9300</v>
      </c>
      <c r="O2537" t="s">
        <v>312</v>
      </c>
    </row>
    <row r="2538" spans="2:15" x14ac:dyDescent="0.25">
      <c r="B2538" t="s">
        <v>15</v>
      </c>
      <c r="C2538" s="4">
        <v>44834</v>
      </c>
      <c r="D2538">
        <v>9</v>
      </c>
      <c r="E2538" t="s">
        <v>38</v>
      </c>
      <c r="F2538" t="s">
        <v>310</v>
      </c>
      <c r="G2538" t="s">
        <v>295</v>
      </c>
      <c r="H2538">
        <v>18400</v>
      </c>
      <c r="J2538">
        <f t="shared" si="64"/>
        <v>18400</v>
      </c>
      <c r="O2538" t="s">
        <v>314</v>
      </c>
    </row>
    <row r="2539" spans="2:15" x14ac:dyDescent="0.25">
      <c r="B2539" t="s">
        <v>15</v>
      </c>
      <c r="C2539" s="4">
        <v>44834</v>
      </c>
      <c r="D2539">
        <v>9</v>
      </c>
      <c r="E2539" t="s">
        <v>21</v>
      </c>
      <c r="F2539" t="s">
        <v>314</v>
      </c>
      <c r="G2539" t="s">
        <v>295</v>
      </c>
      <c r="I2539">
        <v>18400</v>
      </c>
      <c r="J2539">
        <f t="shared" si="64"/>
        <v>-18400</v>
      </c>
      <c r="O2539" t="s">
        <v>314</v>
      </c>
    </row>
    <row r="2540" spans="2:15" x14ac:dyDescent="0.25">
      <c r="B2540" t="s">
        <v>15</v>
      </c>
      <c r="C2540" s="4">
        <v>44865</v>
      </c>
      <c r="D2540">
        <v>10</v>
      </c>
      <c r="E2540" t="s">
        <v>38</v>
      </c>
      <c r="F2540" t="s">
        <v>294</v>
      </c>
      <c r="G2540" t="s">
        <v>295</v>
      </c>
      <c r="H2540">
        <v>800000</v>
      </c>
      <c r="J2540">
        <f t="shared" si="64"/>
        <v>800000</v>
      </c>
      <c r="O2540" t="s">
        <v>331</v>
      </c>
    </row>
    <row r="2541" spans="2:15" x14ac:dyDescent="0.25">
      <c r="B2541" t="s">
        <v>15</v>
      </c>
      <c r="C2541" s="4">
        <v>44865</v>
      </c>
      <c r="D2541">
        <v>10</v>
      </c>
      <c r="E2541" t="s">
        <v>38</v>
      </c>
      <c r="F2541" t="s">
        <v>294</v>
      </c>
      <c r="G2541" t="s">
        <v>295</v>
      </c>
      <c r="H2541">
        <v>200000</v>
      </c>
      <c r="J2541">
        <f t="shared" si="64"/>
        <v>200000</v>
      </c>
      <c r="O2541" t="s">
        <v>297</v>
      </c>
    </row>
    <row r="2542" spans="2:15" x14ac:dyDescent="0.25">
      <c r="B2542" t="s">
        <v>15</v>
      </c>
      <c r="C2542" s="4">
        <v>44865</v>
      </c>
      <c r="D2542">
        <v>10</v>
      </c>
      <c r="E2542" t="s">
        <v>38</v>
      </c>
      <c r="F2542" t="s">
        <v>298</v>
      </c>
      <c r="G2542" t="s">
        <v>295</v>
      </c>
      <c r="H2542">
        <v>60000</v>
      </c>
      <c r="J2542">
        <f t="shared" si="64"/>
        <v>60000</v>
      </c>
      <c r="O2542" t="s">
        <v>298</v>
      </c>
    </row>
    <row r="2543" spans="2:15" x14ac:dyDescent="0.25">
      <c r="B2543" t="s">
        <v>15</v>
      </c>
      <c r="C2543" s="4">
        <v>44865</v>
      </c>
      <c r="D2543">
        <v>10</v>
      </c>
      <c r="E2543" t="s">
        <v>38</v>
      </c>
      <c r="F2543" t="s">
        <v>299</v>
      </c>
      <c r="G2543" t="s">
        <v>295</v>
      </c>
      <c r="H2543">
        <v>60000</v>
      </c>
      <c r="J2543">
        <f t="shared" si="64"/>
        <v>60000</v>
      </c>
      <c r="O2543" t="s">
        <v>299</v>
      </c>
    </row>
    <row r="2544" spans="2:15" x14ac:dyDescent="0.25">
      <c r="B2544" t="s">
        <v>15</v>
      </c>
      <c r="C2544" s="4">
        <v>44865</v>
      </c>
      <c r="D2544">
        <v>10</v>
      </c>
      <c r="E2544" t="s">
        <v>21</v>
      </c>
      <c r="F2544" t="s">
        <v>300</v>
      </c>
      <c r="G2544" t="s">
        <v>295</v>
      </c>
      <c r="I2544">
        <v>57250</v>
      </c>
      <c r="J2544">
        <f t="shared" si="64"/>
        <v>-57250</v>
      </c>
      <c r="O2544" t="s">
        <v>301</v>
      </c>
    </row>
    <row r="2545" spans="2:15" x14ac:dyDescent="0.25">
      <c r="B2545" t="s">
        <v>15</v>
      </c>
      <c r="C2545" s="4">
        <v>44865</v>
      </c>
      <c r="D2545">
        <v>10</v>
      </c>
      <c r="E2545" t="s">
        <v>21</v>
      </c>
      <c r="F2545" t="s">
        <v>300</v>
      </c>
      <c r="G2545" t="s">
        <v>295</v>
      </c>
      <c r="I2545">
        <v>57200</v>
      </c>
      <c r="J2545">
        <f t="shared" si="64"/>
        <v>-57200</v>
      </c>
      <c r="O2545" t="s">
        <v>302</v>
      </c>
    </row>
    <row r="2546" spans="2:15" x14ac:dyDescent="0.25">
      <c r="B2546" t="s">
        <v>15</v>
      </c>
      <c r="C2546" s="4">
        <v>44865</v>
      </c>
      <c r="D2546">
        <v>10</v>
      </c>
      <c r="E2546" t="s">
        <v>21</v>
      </c>
      <c r="F2546" t="s">
        <v>303</v>
      </c>
      <c r="G2546" t="s">
        <v>295</v>
      </c>
      <c r="I2546">
        <v>35000</v>
      </c>
      <c r="J2546">
        <f t="shared" si="64"/>
        <v>-35000</v>
      </c>
      <c r="O2546" t="s">
        <v>304</v>
      </c>
    </row>
    <row r="2547" spans="2:15" x14ac:dyDescent="0.25">
      <c r="B2547" t="s">
        <v>15</v>
      </c>
      <c r="C2547" s="4">
        <v>44865</v>
      </c>
      <c r="D2547">
        <v>10</v>
      </c>
      <c r="E2547" t="s">
        <v>21</v>
      </c>
      <c r="F2547" t="s">
        <v>303</v>
      </c>
      <c r="G2547" t="s">
        <v>295</v>
      </c>
      <c r="I2547">
        <v>156463</v>
      </c>
      <c r="J2547">
        <f t="shared" si="64"/>
        <v>-156463</v>
      </c>
      <c r="O2547" t="s">
        <v>305</v>
      </c>
    </row>
    <row r="2548" spans="2:15" x14ac:dyDescent="0.25">
      <c r="B2548" t="s">
        <v>15</v>
      </c>
      <c r="C2548" s="4">
        <v>44865</v>
      </c>
      <c r="D2548">
        <v>10</v>
      </c>
      <c r="E2548" t="s">
        <v>21</v>
      </c>
      <c r="F2548" t="s">
        <v>300</v>
      </c>
      <c r="G2548" t="s">
        <v>295</v>
      </c>
      <c r="I2548">
        <v>6000</v>
      </c>
      <c r="J2548">
        <f t="shared" si="64"/>
        <v>-6000</v>
      </c>
      <c r="O2548" t="s">
        <v>306</v>
      </c>
    </row>
    <row r="2549" spans="2:15" x14ac:dyDescent="0.25">
      <c r="B2549" t="s">
        <v>15</v>
      </c>
      <c r="C2549" s="4">
        <v>44865</v>
      </c>
      <c r="D2549">
        <v>10</v>
      </c>
      <c r="E2549" t="s">
        <v>21</v>
      </c>
      <c r="F2549" t="s">
        <v>290</v>
      </c>
      <c r="G2549" t="s">
        <v>295</v>
      </c>
      <c r="I2549">
        <v>8499</v>
      </c>
      <c r="J2549">
        <f t="shared" si="64"/>
        <v>-8499</v>
      </c>
      <c r="O2549" t="s">
        <v>307</v>
      </c>
    </row>
    <row r="2550" spans="2:15" x14ac:dyDescent="0.25">
      <c r="B2550" t="s">
        <v>15</v>
      </c>
      <c r="C2550" s="4">
        <v>44865</v>
      </c>
      <c r="D2550">
        <v>10</v>
      </c>
      <c r="E2550" t="s">
        <v>21</v>
      </c>
      <c r="F2550" t="s">
        <v>308</v>
      </c>
      <c r="G2550" t="s">
        <v>295</v>
      </c>
      <c r="I2550">
        <v>799588</v>
      </c>
      <c r="J2550">
        <f t="shared" si="64"/>
        <v>-799588</v>
      </c>
      <c r="O2550" t="s">
        <v>332</v>
      </c>
    </row>
    <row r="2551" spans="2:15" x14ac:dyDescent="0.25">
      <c r="B2551" t="s">
        <v>15</v>
      </c>
      <c r="C2551" s="4">
        <v>44865</v>
      </c>
      <c r="D2551">
        <v>10</v>
      </c>
      <c r="E2551" t="s">
        <v>38</v>
      </c>
      <c r="F2551" t="s">
        <v>310</v>
      </c>
      <c r="G2551" t="s">
        <v>295</v>
      </c>
      <c r="H2551">
        <v>24000</v>
      </c>
      <c r="J2551">
        <f t="shared" si="64"/>
        <v>24000</v>
      </c>
      <c r="O2551" t="s">
        <v>311</v>
      </c>
    </row>
    <row r="2552" spans="2:15" x14ac:dyDescent="0.25">
      <c r="B2552" t="s">
        <v>15</v>
      </c>
      <c r="C2552" s="4">
        <v>44865</v>
      </c>
      <c r="D2552">
        <v>10</v>
      </c>
      <c r="E2552" t="s">
        <v>21</v>
      </c>
      <c r="F2552" t="s">
        <v>300</v>
      </c>
      <c r="G2552" t="s">
        <v>295</v>
      </c>
      <c r="I2552">
        <v>24000</v>
      </c>
      <c r="J2552">
        <f t="shared" si="64"/>
        <v>-24000</v>
      </c>
      <c r="O2552" t="s">
        <v>311</v>
      </c>
    </row>
    <row r="2553" spans="2:15" x14ac:dyDescent="0.25">
      <c r="B2553" t="s">
        <v>15</v>
      </c>
      <c r="C2553" s="4">
        <v>44865</v>
      </c>
      <c r="D2553">
        <v>10</v>
      </c>
      <c r="E2553" t="s">
        <v>38</v>
      </c>
      <c r="F2553" t="s">
        <v>310</v>
      </c>
      <c r="G2553" t="s">
        <v>295</v>
      </c>
      <c r="H2553">
        <v>9300</v>
      </c>
      <c r="J2553">
        <f t="shared" si="64"/>
        <v>9300</v>
      </c>
      <c r="O2553" t="s">
        <v>312</v>
      </c>
    </row>
    <row r="2554" spans="2:15" x14ac:dyDescent="0.25">
      <c r="B2554" t="s">
        <v>15</v>
      </c>
      <c r="C2554" s="4">
        <v>44865</v>
      </c>
      <c r="D2554">
        <v>10</v>
      </c>
      <c r="E2554" t="s">
        <v>21</v>
      </c>
      <c r="F2554" t="s">
        <v>313</v>
      </c>
      <c r="G2554" t="s">
        <v>295</v>
      </c>
      <c r="I2554">
        <v>9300</v>
      </c>
      <c r="J2554">
        <f t="shared" si="64"/>
        <v>-9300</v>
      </c>
      <c r="O2554" t="s">
        <v>312</v>
      </c>
    </row>
    <row r="2555" spans="2:15" x14ac:dyDescent="0.25">
      <c r="B2555" t="s">
        <v>15</v>
      </c>
      <c r="C2555" s="4">
        <v>44865</v>
      </c>
      <c r="D2555">
        <v>10</v>
      </c>
      <c r="E2555" t="s">
        <v>38</v>
      </c>
      <c r="F2555" t="s">
        <v>310</v>
      </c>
      <c r="G2555" t="s">
        <v>295</v>
      </c>
      <c r="H2555">
        <v>15400</v>
      </c>
      <c r="J2555">
        <f t="shared" si="64"/>
        <v>15400</v>
      </c>
      <c r="O2555" t="s">
        <v>314</v>
      </c>
    </row>
    <row r="2556" spans="2:15" x14ac:dyDescent="0.25">
      <c r="B2556" t="s">
        <v>15</v>
      </c>
      <c r="C2556" s="4">
        <v>44865</v>
      </c>
      <c r="D2556">
        <v>10</v>
      </c>
      <c r="E2556" t="s">
        <v>21</v>
      </c>
      <c r="F2556" t="s">
        <v>314</v>
      </c>
      <c r="G2556" t="s">
        <v>295</v>
      </c>
      <c r="I2556">
        <v>15400</v>
      </c>
      <c r="J2556">
        <f t="shared" si="64"/>
        <v>-15400</v>
      </c>
      <c r="O2556" t="s">
        <v>314</v>
      </c>
    </row>
    <row r="2557" spans="2:15" x14ac:dyDescent="0.25">
      <c r="B2557" t="s">
        <v>15</v>
      </c>
      <c r="C2557" s="4">
        <v>44895</v>
      </c>
      <c r="D2557">
        <v>11</v>
      </c>
      <c r="E2557" t="s">
        <v>38</v>
      </c>
      <c r="F2557" t="s">
        <v>294</v>
      </c>
      <c r="G2557" t="s">
        <v>295</v>
      </c>
      <c r="H2557">
        <v>666667</v>
      </c>
      <c r="J2557">
        <f t="shared" si="64"/>
        <v>666667</v>
      </c>
      <c r="O2557" t="s">
        <v>333</v>
      </c>
    </row>
    <row r="2558" spans="2:15" x14ac:dyDescent="0.25">
      <c r="B2558" t="s">
        <v>15</v>
      </c>
      <c r="C2558" s="4">
        <v>44895</v>
      </c>
      <c r="D2558">
        <v>11</v>
      </c>
      <c r="E2558" t="s">
        <v>38</v>
      </c>
      <c r="F2558" t="s">
        <v>294</v>
      </c>
      <c r="G2558" t="s">
        <v>295</v>
      </c>
      <c r="H2558">
        <v>166667</v>
      </c>
      <c r="J2558">
        <f t="shared" si="64"/>
        <v>166667</v>
      </c>
      <c r="O2558" t="s">
        <v>297</v>
      </c>
    </row>
    <row r="2559" spans="2:15" x14ac:dyDescent="0.25">
      <c r="B2559" t="s">
        <v>15</v>
      </c>
      <c r="C2559" s="4">
        <v>44895</v>
      </c>
      <c r="D2559">
        <v>11</v>
      </c>
      <c r="E2559" t="s">
        <v>38</v>
      </c>
      <c r="F2559" t="s">
        <v>298</v>
      </c>
      <c r="G2559" t="s">
        <v>295</v>
      </c>
      <c r="H2559">
        <v>40000</v>
      </c>
      <c r="J2559">
        <f t="shared" si="64"/>
        <v>40000</v>
      </c>
      <c r="O2559" t="s">
        <v>298</v>
      </c>
    </row>
    <row r="2560" spans="2:15" x14ac:dyDescent="0.25">
      <c r="B2560" t="s">
        <v>15</v>
      </c>
      <c r="C2560" s="4">
        <v>44895</v>
      </c>
      <c r="D2560">
        <v>11</v>
      </c>
      <c r="E2560" t="s">
        <v>38</v>
      </c>
      <c r="F2560" t="s">
        <v>299</v>
      </c>
      <c r="G2560" t="s">
        <v>295</v>
      </c>
      <c r="H2560">
        <v>40000</v>
      </c>
      <c r="J2560">
        <f t="shared" si="64"/>
        <v>40000</v>
      </c>
      <c r="O2560" t="s">
        <v>299</v>
      </c>
    </row>
    <row r="2561" spans="2:15" x14ac:dyDescent="0.25">
      <c r="B2561" t="s">
        <v>15</v>
      </c>
      <c r="C2561" s="4">
        <v>44895</v>
      </c>
      <c r="D2561">
        <v>11</v>
      </c>
      <c r="E2561" t="s">
        <v>21</v>
      </c>
      <c r="F2561" t="s">
        <v>300</v>
      </c>
      <c r="G2561" t="s">
        <v>295</v>
      </c>
      <c r="I2561">
        <v>38167</v>
      </c>
      <c r="J2561">
        <f t="shared" si="64"/>
        <v>-38167</v>
      </c>
      <c r="O2561" t="s">
        <v>301</v>
      </c>
    </row>
    <row r="2562" spans="2:15" x14ac:dyDescent="0.25">
      <c r="B2562" t="s">
        <v>15</v>
      </c>
      <c r="C2562" s="4">
        <v>44895</v>
      </c>
      <c r="D2562">
        <v>11</v>
      </c>
      <c r="E2562" t="s">
        <v>21</v>
      </c>
      <c r="F2562" t="s">
        <v>300</v>
      </c>
      <c r="G2562" t="s">
        <v>295</v>
      </c>
      <c r="I2562">
        <v>57200</v>
      </c>
      <c r="J2562">
        <f t="shared" si="64"/>
        <v>-57200</v>
      </c>
      <c r="O2562" t="s">
        <v>302</v>
      </c>
    </row>
    <row r="2563" spans="2:15" x14ac:dyDescent="0.25">
      <c r="B2563" t="s">
        <v>15</v>
      </c>
      <c r="C2563" s="4">
        <v>44895</v>
      </c>
      <c r="D2563">
        <v>11</v>
      </c>
      <c r="E2563" t="s">
        <v>21</v>
      </c>
      <c r="F2563" t="s">
        <v>303</v>
      </c>
      <c r="G2563" t="s">
        <v>295</v>
      </c>
      <c r="I2563">
        <v>35000</v>
      </c>
      <c r="J2563">
        <f t="shared" si="64"/>
        <v>-35000</v>
      </c>
      <c r="O2563" t="s">
        <v>304</v>
      </c>
    </row>
    <row r="2564" spans="2:15" x14ac:dyDescent="0.25">
      <c r="B2564" t="s">
        <v>15</v>
      </c>
      <c r="C2564" s="4">
        <v>44895</v>
      </c>
      <c r="D2564">
        <v>11</v>
      </c>
      <c r="E2564" t="s">
        <v>21</v>
      </c>
      <c r="F2564" t="s">
        <v>303</v>
      </c>
      <c r="G2564" t="s">
        <v>295</v>
      </c>
      <c r="I2564">
        <v>104946</v>
      </c>
      <c r="J2564">
        <f t="shared" si="64"/>
        <v>-104946</v>
      </c>
      <c r="O2564" t="s">
        <v>305</v>
      </c>
    </row>
    <row r="2565" spans="2:15" x14ac:dyDescent="0.25">
      <c r="B2565" t="s">
        <v>15</v>
      </c>
      <c r="C2565" s="4">
        <v>44895</v>
      </c>
      <c r="D2565">
        <v>11</v>
      </c>
      <c r="E2565" t="s">
        <v>21</v>
      </c>
      <c r="F2565" t="s">
        <v>300</v>
      </c>
      <c r="G2565" t="s">
        <v>295</v>
      </c>
      <c r="I2565">
        <v>5000</v>
      </c>
      <c r="J2565">
        <f t="shared" si="64"/>
        <v>-5000</v>
      </c>
      <c r="O2565" t="s">
        <v>306</v>
      </c>
    </row>
    <row r="2566" spans="2:15" x14ac:dyDescent="0.25">
      <c r="B2566" t="s">
        <v>15</v>
      </c>
      <c r="C2566" s="4">
        <v>44895</v>
      </c>
      <c r="D2566">
        <v>11</v>
      </c>
      <c r="E2566" t="s">
        <v>21</v>
      </c>
      <c r="F2566" t="s">
        <v>290</v>
      </c>
      <c r="G2566" t="s">
        <v>295</v>
      </c>
      <c r="I2566">
        <v>5647</v>
      </c>
      <c r="J2566">
        <f t="shared" si="64"/>
        <v>-5647</v>
      </c>
      <c r="O2566" t="s">
        <v>307</v>
      </c>
    </row>
    <row r="2567" spans="2:15" x14ac:dyDescent="0.25">
      <c r="B2567" t="s">
        <v>15</v>
      </c>
      <c r="C2567" s="4">
        <v>44895</v>
      </c>
      <c r="D2567">
        <v>11</v>
      </c>
      <c r="E2567" t="s">
        <v>21</v>
      </c>
      <c r="F2567" t="s">
        <v>308</v>
      </c>
      <c r="G2567" t="s">
        <v>295</v>
      </c>
      <c r="I2567">
        <v>667374</v>
      </c>
      <c r="J2567">
        <f t="shared" si="64"/>
        <v>-667374</v>
      </c>
      <c r="O2567" t="s">
        <v>334</v>
      </c>
    </row>
    <row r="2568" spans="2:15" x14ac:dyDescent="0.25">
      <c r="B2568" t="s">
        <v>15</v>
      </c>
      <c r="C2568" s="4">
        <v>44895</v>
      </c>
      <c r="D2568">
        <v>11</v>
      </c>
      <c r="E2568" t="s">
        <v>38</v>
      </c>
      <c r="F2568" t="s">
        <v>310</v>
      </c>
      <c r="G2568" t="s">
        <v>295</v>
      </c>
      <c r="H2568">
        <v>24000</v>
      </c>
      <c r="J2568">
        <f t="shared" si="64"/>
        <v>24000</v>
      </c>
      <c r="O2568" t="s">
        <v>311</v>
      </c>
    </row>
    <row r="2569" spans="2:15" x14ac:dyDescent="0.25">
      <c r="B2569" t="s">
        <v>15</v>
      </c>
      <c r="C2569" s="4">
        <v>44895</v>
      </c>
      <c r="D2569">
        <v>11</v>
      </c>
      <c r="E2569" t="s">
        <v>21</v>
      </c>
      <c r="F2569" t="s">
        <v>300</v>
      </c>
      <c r="G2569" t="s">
        <v>295</v>
      </c>
      <c r="I2569">
        <v>24000</v>
      </c>
      <c r="J2569">
        <f t="shared" si="64"/>
        <v>-24000</v>
      </c>
      <c r="O2569" t="s">
        <v>311</v>
      </c>
    </row>
    <row r="2570" spans="2:15" x14ac:dyDescent="0.25">
      <c r="B2570" t="s">
        <v>15</v>
      </c>
      <c r="C2570" s="4">
        <v>44895</v>
      </c>
      <c r="D2570">
        <v>11</v>
      </c>
      <c r="E2570" t="s">
        <v>38</v>
      </c>
      <c r="F2570" t="s">
        <v>310</v>
      </c>
      <c r="G2570" t="s">
        <v>295</v>
      </c>
      <c r="H2570">
        <v>7800</v>
      </c>
      <c r="J2570">
        <f t="shared" si="64"/>
        <v>7800</v>
      </c>
      <c r="O2570" t="s">
        <v>312</v>
      </c>
    </row>
    <row r="2571" spans="2:15" x14ac:dyDescent="0.25">
      <c r="B2571" t="s">
        <v>15</v>
      </c>
      <c r="C2571" s="4">
        <v>44895</v>
      </c>
      <c r="D2571">
        <v>11</v>
      </c>
      <c r="E2571" t="s">
        <v>21</v>
      </c>
      <c r="F2571" t="s">
        <v>313</v>
      </c>
      <c r="G2571" t="s">
        <v>295</v>
      </c>
      <c r="I2571">
        <v>7800</v>
      </c>
      <c r="J2571">
        <f t="shared" si="64"/>
        <v>-7800</v>
      </c>
      <c r="O2571" t="s">
        <v>312</v>
      </c>
    </row>
    <row r="2572" spans="2:15" x14ac:dyDescent="0.25">
      <c r="B2572" t="s">
        <v>15</v>
      </c>
      <c r="C2572" s="4">
        <v>44895</v>
      </c>
      <c r="D2572">
        <v>11</v>
      </c>
      <c r="E2572" t="s">
        <v>38</v>
      </c>
      <c r="F2572" t="s">
        <v>310</v>
      </c>
      <c r="G2572" t="s">
        <v>295</v>
      </c>
      <c r="H2572">
        <v>15400</v>
      </c>
      <c r="J2572">
        <f t="shared" si="64"/>
        <v>15400</v>
      </c>
      <c r="O2572" t="s">
        <v>314</v>
      </c>
    </row>
    <row r="2573" spans="2:15" x14ac:dyDescent="0.25">
      <c r="B2573" t="s">
        <v>15</v>
      </c>
      <c r="C2573" s="4">
        <v>44895</v>
      </c>
      <c r="D2573">
        <v>11</v>
      </c>
      <c r="E2573" t="s">
        <v>21</v>
      </c>
      <c r="F2573" t="s">
        <v>314</v>
      </c>
      <c r="G2573" t="s">
        <v>295</v>
      </c>
      <c r="I2573">
        <v>15400</v>
      </c>
      <c r="J2573">
        <f t="shared" si="64"/>
        <v>-15400</v>
      </c>
      <c r="O2573" t="s">
        <v>314</v>
      </c>
    </row>
    <row r="2574" spans="2:15" x14ac:dyDescent="0.25">
      <c r="B2574" t="s">
        <v>15</v>
      </c>
      <c r="C2574" s="4">
        <v>44926</v>
      </c>
      <c r="D2574">
        <v>12</v>
      </c>
      <c r="E2574" t="s">
        <v>38</v>
      </c>
      <c r="F2574" t="s">
        <v>294</v>
      </c>
      <c r="G2574" t="s">
        <v>295</v>
      </c>
      <c r="H2574">
        <v>733333</v>
      </c>
      <c r="J2574">
        <f t="shared" si="64"/>
        <v>733333</v>
      </c>
      <c r="O2574" t="s">
        <v>335</v>
      </c>
    </row>
    <row r="2575" spans="2:15" x14ac:dyDescent="0.25">
      <c r="B2575" t="s">
        <v>15</v>
      </c>
      <c r="C2575" s="4">
        <v>44926</v>
      </c>
      <c r="D2575">
        <v>12</v>
      </c>
      <c r="E2575" t="s">
        <v>38</v>
      </c>
      <c r="F2575" t="s">
        <v>294</v>
      </c>
      <c r="G2575" t="s">
        <v>295</v>
      </c>
      <c r="H2575">
        <v>183333</v>
      </c>
      <c r="J2575">
        <f t="shared" si="64"/>
        <v>183333</v>
      </c>
      <c r="O2575" t="s">
        <v>297</v>
      </c>
    </row>
    <row r="2576" spans="2:15" x14ac:dyDescent="0.25">
      <c r="B2576" t="s">
        <v>15</v>
      </c>
      <c r="C2576" s="4">
        <v>44926</v>
      </c>
      <c r="D2576">
        <v>12</v>
      </c>
      <c r="E2576" t="s">
        <v>38</v>
      </c>
      <c r="F2576" t="s">
        <v>298</v>
      </c>
      <c r="G2576" t="s">
        <v>295</v>
      </c>
      <c r="H2576">
        <v>50000</v>
      </c>
      <c r="J2576">
        <f t="shared" si="64"/>
        <v>50000</v>
      </c>
      <c r="O2576" t="s">
        <v>298</v>
      </c>
    </row>
    <row r="2577" spans="2:15" x14ac:dyDescent="0.25">
      <c r="B2577" t="s">
        <v>15</v>
      </c>
      <c r="C2577" s="4">
        <v>44926</v>
      </c>
      <c r="D2577">
        <v>12</v>
      </c>
      <c r="E2577" t="s">
        <v>38</v>
      </c>
      <c r="F2577" t="s">
        <v>299</v>
      </c>
      <c r="G2577" t="s">
        <v>295</v>
      </c>
      <c r="H2577">
        <v>50000</v>
      </c>
      <c r="J2577">
        <f t="shared" si="64"/>
        <v>50000</v>
      </c>
      <c r="O2577" t="s">
        <v>299</v>
      </c>
    </row>
    <row r="2578" spans="2:15" x14ac:dyDescent="0.25">
      <c r="B2578" t="s">
        <v>15</v>
      </c>
      <c r="C2578" s="4">
        <v>44926</v>
      </c>
      <c r="D2578">
        <v>12</v>
      </c>
      <c r="E2578" t="s">
        <v>21</v>
      </c>
      <c r="F2578" t="s">
        <v>300</v>
      </c>
      <c r="G2578" t="s">
        <v>295</v>
      </c>
      <c r="I2578">
        <v>47708</v>
      </c>
      <c r="J2578">
        <f t="shared" si="64"/>
        <v>-47708</v>
      </c>
      <c r="O2578" t="s">
        <v>301</v>
      </c>
    </row>
    <row r="2579" spans="2:15" x14ac:dyDescent="0.25">
      <c r="B2579" t="s">
        <v>15</v>
      </c>
      <c r="C2579" s="4">
        <v>44926</v>
      </c>
      <c r="D2579">
        <v>12</v>
      </c>
      <c r="E2579" t="s">
        <v>21</v>
      </c>
      <c r="F2579" t="s">
        <v>300</v>
      </c>
      <c r="G2579" t="s">
        <v>295</v>
      </c>
      <c r="I2579">
        <v>57200</v>
      </c>
      <c r="J2579">
        <f t="shared" si="64"/>
        <v>-57200</v>
      </c>
      <c r="O2579" t="s">
        <v>302</v>
      </c>
    </row>
    <row r="2580" spans="2:15" x14ac:dyDescent="0.25">
      <c r="B2580" t="s">
        <v>15</v>
      </c>
      <c r="C2580" s="4">
        <v>44926</v>
      </c>
      <c r="D2580">
        <v>12</v>
      </c>
      <c r="E2580" t="s">
        <v>21</v>
      </c>
      <c r="F2580" t="s">
        <v>303</v>
      </c>
      <c r="G2580" t="s">
        <v>295</v>
      </c>
      <c r="I2580">
        <v>35000</v>
      </c>
      <c r="J2580">
        <f t="shared" ref="J2580:J2649" si="65">+H2580-I2580</f>
        <v>-35000</v>
      </c>
      <c r="O2580" t="s">
        <v>304</v>
      </c>
    </row>
    <row r="2581" spans="2:15" x14ac:dyDescent="0.25">
      <c r="B2581" t="s">
        <v>15</v>
      </c>
      <c r="C2581" s="4">
        <v>44926</v>
      </c>
      <c r="D2581">
        <v>12</v>
      </c>
      <c r="E2581" t="s">
        <v>21</v>
      </c>
      <c r="F2581" t="s">
        <v>303</v>
      </c>
      <c r="G2581" t="s">
        <v>295</v>
      </c>
      <c r="I2581">
        <v>132310</v>
      </c>
      <c r="J2581">
        <f t="shared" si="65"/>
        <v>-132310</v>
      </c>
      <c r="O2581" t="s">
        <v>305</v>
      </c>
    </row>
    <row r="2582" spans="2:15" x14ac:dyDescent="0.25">
      <c r="B2582" t="s">
        <v>15</v>
      </c>
      <c r="C2582" s="4">
        <v>44926</v>
      </c>
      <c r="D2582">
        <v>12</v>
      </c>
      <c r="E2582" t="s">
        <v>21</v>
      </c>
      <c r="F2582" t="s">
        <v>300</v>
      </c>
      <c r="G2582" t="s">
        <v>295</v>
      </c>
      <c r="I2582">
        <v>5500</v>
      </c>
      <c r="J2582">
        <f t="shared" si="65"/>
        <v>-5500</v>
      </c>
      <c r="O2582" t="s">
        <v>306</v>
      </c>
    </row>
    <row r="2583" spans="2:15" x14ac:dyDescent="0.25">
      <c r="B2583" t="s">
        <v>15</v>
      </c>
      <c r="C2583" s="4">
        <v>44926</v>
      </c>
      <c r="D2583">
        <v>12</v>
      </c>
      <c r="E2583" t="s">
        <v>21</v>
      </c>
      <c r="F2583" t="s">
        <v>290</v>
      </c>
      <c r="G2583" t="s">
        <v>295</v>
      </c>
      <c r="I2583">
        <v>7024</v>
      </c>
      <c r="J2583">
        <f t="shared" si="65"/>
        <v>-7024</v>
      </c>
      <c r="O2583" t="s">
        <v>307</v>
      </c>
    </row>
    <row r="2584" spans="2:15" x14ac:dyDescent="0.25">
      <c r="B2584" t="s">
        <v>15</v>
      </c>
      <c r="C2584" s="4">
        <v>44926</v>
      </c>
      <c r="D2584">
        <v>12</v>
      </c>
      <c r="E2584" t="s">
        <v>21</v>
      </c>
      <c r="F2584" t="s">
        <v>308</v>
      </c>
      <c r="G2584" t="s">
        <v>295</v>
      </c>
      <c r="I2584">
        <v>731924</v>
      </c>
      <c r="J2584">
        <f t="shared" si="65"/>
        <v>-731924</v>
      </c>
      <c r="O2584" t="s">
        <v>336</v>
      </c>
    </row>
    <row r="2585" spans="2:15" x14ac:dyDescent="0.25">
      <c r="B2585" t="s">
        <v>15</v>
      </c>
      <c r="C2585" s="4">
        <v>44926</v>
      </c>
      <c r="D2585">
        <v>12</v>
      </c>
      <c r="E2585" t="s">
        <v>38</v>
      </c>
      <c r="F2585" t="s">
        <v>310</v>
      </c>
      <c r="G2585" t="s">
        <v>295</v>
      </c>
      <c r="H2585">
        <v>24000</v>
      </c>
      <c r="J2585">
        <f t="shared" si="65"/>
        <v>24000</v>
      </c>
      <c r="O2585" t="s">
        <v>311</v>
      </c>
    </row>
    <row r="2586" spans="2:15" x14ac:dyDescent="0.25">
      <c r="B2586" t="s">
        <v>15</v>
      </c>
      <c r="C2586" s="4">
        <v>44926</v>
      </c>
      <c r="D2586">
        <v>12</v>
      </c>
      <c r="E2586" t="s">
        <v>21</v>
      </c>
      <c r="F2586" t="s">
        <v>300</v>
      </c>
      <c r="G2586" t="s">
        <v>295</v>
      </c>
      <c r="I2586">
        <v>24000</v>
      </c>
      <c r="J2586">
        <f t="shared" si="65"/>
        <v>-24000</v>
      </c>
      <c r="O2586" t="s">
        <v>311</v>
      </c>
    </row>
    <row r="2587" spans="2:15" x14ac:dyDescent="0.25">
      <c r="B2587" t="s">
        <v>15</v>
      </c>
      <c r="C2587" s="4">
        <v>44926</v>
      </c>
      <c r="D2587">
        <v>12</v>
      </c>
      <c r="E2587" t="s">
        <v>38</v>
      </c>
      <c r="F2587" t="s">
        <v>310</v>
      </c>
      <c r="G2587" t="s">
        <v>295</v>
      </c>
      <c r="H2587">
        <v>8550</v>
      </c>
      <c r="J2587">
        <f t="shared" si="65"/>
        <v>8550</v>
      </c>
      <c r="O2587" t="s">
        <v>312</v>
      </c>
    </row>
    <row r="2588" spans="2:15" x14ac:dyDescent="0.25">
      <c r="B2588" t="s">
        <v>15</v>
      </c>
      <c r="C2588" s="4">
        <v>44926</v>
      </c>
      <c r="D2588">
        <v>12</v>
      </c>
      <c r="E2588" t="s">
        <v>21</v>
      </c>
      <c r="F2588" t="s">
        <v>313</v>
      </c>
      <c r="G2588" t="s">
        <v>295</v>
      </c>
      <c r="I2588">
        <v>8550</v>
      </c>
      <c r="J2588">
        <f t="shared" si="65"/>
        <v>-8550</v>
      </c>
      <c r="O2588" t="s">
        <v>312</v>
      </c>
    </row>
    <row r="2589" spans="2:15" x14ac:dyDescent="0.25">
      <c r="B2589" t="s">
        <v>15</v>
      </c>
      <c r="C2589" s="4">
        <v>44926</v>
      </c>
      <c r="D2589">
        <v>12</v>
      </c>
      <c r="E2589" t="s">
        <v>38</v>
      </c>
      <c r="F2589" t="s">
        <v>310</v>
      </c>
      <c r="G2589" t="s">
        <v>295</v>
      </c>
      <c r="H2589">
        <v>15400</v>
      </c>
      <c r="J2589">
        <f t="shared" si="65"/>
        <v>15400</v>
      </c>
      <c r="O2589" t="s">
        <v>314</v>
      </c>
    </row>
    <row r="2590" spans="2:15" x14ac:dyDescent="0.25">
      <c r="B2590" t="s">
        <v>15</v>
      </c>
      <c r="C2590" s="4">
        <v>44926</v>
      </c>
      <c r="D2590">
        <v>12</v>
      </c>
      <c r="E2590" t="s">
        <v>21</v>
      </c>
      <c r="F2590" t="s">
        <v>314</v>
      </c>
      <c r="G2590" t="s">
        <v>295</v>
      </c>
      <c r="I2590">
        <v>15400</v>
      </c>
      <c r="J2590">
        <f t="shared" si="65"/>
        <v>-15400</v>
      </c>
      <c r="O2590" t="s">
        <v>314</v>
      </c>
    </row>
    <row r="2591" spans="2:15" x14ac:dyDescent="0.25">
      <c r="B2591" t="s">
        <v>36</v>
      </c>
      <c r="C2591" s="4">
        <v>44592</v>
      </c>
      <c r="D2591">
        <v>1</v>
      </c>
      <c r="E2591" t="s">
        <v>21</v>
      </c>
      <c r="F2591" t="s">
        <v>308</v>
      </c>
      <c r="G2591" t="s">
        <v>337</v>
      </c>
      <c r="H2591">
        <v>1119206</v>
      </c>
      <c r="J2591">
        <f t="shared" si="65"/>
        <v>1119206</v>
      </c>
      <c r="O2591" t="s">
        <v>309</v>
      </c>
    </row>
    <row r="2592" spans="2:15" x14ac:dyDescent="0.25">
      <c r="B2592" t="s">
        <v>36</v>
      </c>
      <c r="C2592" s="4">
        <v>44592</v>
      </c>
      <c r="D2592">
        <f>+D2591</f>
        <v>1</v>
      </c>
      <c r="E2592" t="s">
        <v>16</v>
      </c>
      <c r="F2592" t="s">
        <v>17</v>
      </c>
      <c r="G2592" t="s">
        <v>337</v>
      </c>
      <c r="I2592">
        <v>1119206</v>
      </c>
      <c r="J2592">
        <f t="shared" si="65"/>
        <v>-1119206</v>
      </c>
      <c r="O2592" t="s">
        <v>309</v>
      </c>
    </row>
    <row r="2593" spans="2:15" x14ac:dyDescent="0.25">
      <c r="B2593" t="s">
        <v>36</v>
      </c>
      <c r="C2593" s="4">
        <v>44620</v>
      </c>
      <c r="D2593">
        <v>2</v>
      </c>
      <c r="E2593" t="s">
        <v>21</v>
      </c>
      <c r="F2593" t="s">
        <v>308</v>
      </c>
      <c r="G2593" t="s">
        <v>337</v>
      </c>
      <c r="H2593">
        <v>1117775</v>
      </c>
      <c r="J2593">
        <f t="shared" si="65"/>
        <v>1117775</v>
      </c>
      <c r="O2593" t="s">
        <v>316</v>
      </c>
    </row>
    <row r="2594" spans="2:15" x14ac:dyDescent="0.25">
      <c r="B2594" t="s">
        <v>36</v>
      </c>
      <c r="C2594" s="4">
        <v>44620</v>
      </c>
      <c r="D2594">
        <f>+D2593</f>
        <v>2</v>
      </c>
      <c r="E2594" t="s">
        <v>16</v>
      </c>
      <c r="F2594" t="s">
        <v>17</v>
      </c>
      <c r="G2594" t="s">
        <v>337</v>
      </c>
      <c r="I2594">
        <v>1117775</v>
      </c>
      <c r="J2594">
        <f t="shared" si="65"/>
        <v>-1117775</v>
      </c>
      <c r="O2594" t="str">
        <f>+O2593</f>
        <v>REMUNERACIONES POR PAGAR 202202</v>
      </c>
    </row>
    <row r="2595" spans="2:15" x14ac:dyDescent="0.25">
      <c r="B2595" t="s">
        <v>36</v>
      </c>
      <c r="C2595" s="4">
        <v>44651</v>
      </c>
      <c r="D2595">
        <v>3</v>
      </c>
      <c r="E2595" t="s">
        <v>21</v>
      </c>
      <c r="F2595" t="s">
        <v>308</v>
      </c>
      <c r="G2595" t="s">
        <v>337</v>
      </c>
      <c r="H2595">
        <v>1116947</v>
      </c>
      <c r="J2595">
        <f t="shared" si="65"/>
        <v>1116947</v>
      </c>
      <c r="O2595" t="s">
        <v>318</v>
      </c>
    </row>
    <row r="2596" spans="2:15" x14ac:dyDescent="0.25">
      <c r="B2596" t="s">
        <v>36</v>
      </c>
      <c r="C2596" s="4">
        <v>44651</v>
      </c>
      <c r="D2596">
        <f>+D2595</f>
        <v>3</v>
      </c>
      <c r="E2596" t="s">
        <v>16</v>
      </c>
      <c r="F2596" t="s">
        <v>17</v>
      </c>
      <c r="G2596" t="s">
        <v>337</v>
      </c>
      <c r="I2596">
        <v>1116947</v>
      </c>
      <c r="J2596">
        <f t="shared" si="65"/>
        <v>-1116947</v>
      </c>
      <c r="O2596" t="str">
        <f>+O2595</f>
        <v>REMUNERACIONES POR PAGAR 202203</v>
      </c>
    </row>
    <row r="2597" spans="2:15" x14ac:dyDescent="0.25">
      <c r="B2597" t="s">
        <v>36</v>
      </c>
      <c r="C2597" s="4">
        <v>44681</v>
      </c>
      <c r="D2597">
        <v>4</v>
      </c>
      <c r="E2597" t="s">
        <v>21</v>
      </c>
      <c r="F2597" t="s">
        <v>308</v>
      </c>
      <c r="G2597" t="s">
        <v>337</v>
      </c>
      <c r="H2597">
        <v>722905</v>
      </c>
      <c r="J2597">
        <f t="shared" si="65"/>
        <v>722905</v>
      </c>
      <c r="O2597" t="s">
        <v>320</v>
      </c>
    </row>
    <row r="2598" spans="2:15" x14ac:dyDescent="0.25">
      <c r="B2598" t="s">
        <v>36</v>
      </c>
      <c r="C2598" s="4">
        <v>44681</v>
      </c>
      <c r="D2598">
        <f>+D2597</f>
        <v>4</v>
      </c>
      <c r="E2598" t="s">
        <v>16</v>
      </c>
      <c r="F2598" t="s">
        <v>17</v>
      </c>
      <c r="G2598" t="s">
        <v>337</v>
      </c>
      <c r="I2598">
        <v>722905</v>
      </c>
      <c r="J2598">
        <f t="shared" si="65"/>
        <v>-722905</v>
      </c>
      <c r="O2598" t="str">
        <f>+O2597</f>
        <v>REMUNERACIONES POR PAGAR 202204</v>
      </c>
    </row>
    <row r="2599" spans="2:15" x14ac:dyDescent="0.25">
      <c r="B2599" t="s">
        <v>36</v>
      </c>
      <c r="C2599" s="4">
        <v>44712</v>
      </c>
      <c r="D2599">
        <v>5</v>
      </c>
      <c r="E2599" t="s">
        <v>21</v>
      </c>
      <c r="F2599" t="s">
        <v>308</v>
      </c>
      <c r="G2599" t="s">
        <v>337</v>
      </c>
      <c r="H2599">
        <v>783310</v>
      </c>
      <c r="J2599">
        <f t="shared" si="65"/>
        <v>783310</v>
      </c>
      <c r="O2599" t="s">
        <v>322</v>
      </c>
    </row>
    <row r="2600" spans="2:15" x14ac:dyDescent="0.25">
      <c r="B2600" t="s">
        <v>36</v>
      </c>
      <c r="C2600" s="4">
        <v>44712</v>
      </c>
      <c r="D2600">
        <f>+D2599</f>
        <v>5</v>
      </c>
      <c r="E2600" t="s">
        <v>16</v>
      </c>
      <c r="F2600" t="s">
        <v>17</v>
      </c>
      <c r="G2600" t="s">
        <v>337</v>
      </c>
      <c r="I2600">
        <v>783310</v>
      </c>
      <c r="J2600">
        <f t="shared" si="65"/>
        <v>-783310</v>
      </c>
      <c r="O2600" t="str">
        <f>+O2599</f>
        <v>REMUNERACIONES POR PAGAR 202205</v>
      </c>
    </row>
    <row r="2601" spans="2:15" x14ac:dyDescent="0.25">
      <c r="B2601" t="s">
        <v>36</v>
      </c>
      <c r="C2601" s="4">
        <v>44742</v>
      </c>
      <c r="D2601">
        <v>6</v>
      </c>
      <c r="E2601" t="s">
        <v>21</v>
      </c>
      <c r="F2601" t="s">
        <v>308</v>
      </c>
      <c r="G2601" t="s">
        <v>337</v>
      </c>
      <c r="H2601">
        <v>765590</v>
      </c>
      <c r="J2601">
        <f t="shared" si="65"/>
        <v>765590</v>
      </c>
      <c r="O2601" t="s">
        <v>324</v>
      </c>
    </row>
    <row r="2602" spans="2:15" x14ac:dyDescent="0.25">
      <c r="B2602" t="s">
        <v>36</v>
      </c>
      <c r="C2602" s="4">
        <v>44742</v>
      </c>
      <c r="D2602">
        <f>+D2601</f>
        <v>6</v>
      </c>
      <c r="E2602" t="s">
        <v>16</v>
      </c>
      <c r="F2602" t="s">
        <v>17</v>
      </c>
      <c r="G2602" t="s">
        <v>337</v>
      </c>
      <c r="I2602">
        <v>765590</v>
      </c>
      <c r="J2602">
        <f t="shared" si="65"/>
        <v>-765590</v>
      </c>
      <c r="O2602" t="str">
        <f>+O2601</f>
        <v>REMUNERACIONES POR PAGAR 202206</v>
      </c>
    </row>
    <row r="2603" spans="2:15" x14ac:dyDescent="0.25">
      <c r="B2603" t="s">
        <v>36</v>
      </c>
      <c r="C2603" s="4">
        <v>44773</v>
      </c>
      <c r="D2603">
        <v>7</v>
      </c>
      <c r="E2603" t="s">
        <v>21</v>
      </c>
      <c r="F2603" t="s">
        <v>308</v>
      </c>
      <c r="G2603" t="s">
        <v>337</v>
      </c>
      <c r="H2603">
        <v>764149</v>
      </c>
      <c r="J2603">
        <f t="shared" si="65"/>
        <v>764149</v>
      </c>
      <c r="O2603" t="s">
        <v>326</v>
      </c>
    </row>
    <row r="2604" spans="2:15" x14ac:dyDescent="0.25">
      <c r="B2604" t="s">
        <v>36</v>
      </c>
      <c r="C2604" s="4">
        <v>44773</v>
      </c>
      <c r="D2604">
        <f>+D2603</f>
        <v>7</v>
      </c>
      <c r="E2604" t="s">
        <v>16</v>
      </c>
      <c r="F2604" t="s">
        <v>17</v>
      </c>
      <c r="G2604" t="s">
        <v>337</v>
      </c>
      <c r="I2604">
        <v>764149</v>
      </c>
      <c r="J2604">
        <f t="shared" si="65"/>
        <v>-764149</v>
      </c>
      <c r="O2604" t="str">
        <f>+O2603</f>
        <v>REMUNERACIONES POR PAGAR 202207</v>
      </c>
    </row>
    <row r="2605" spans="2:15" x14ac:dyDescent="0.25">
      <c r="B2605" t="s">
        <v>36</v>
      </c>
      <c r="C2605" s="4">
        <v>44804</v>
      </c>
      <c r="D2605">
        <v>8</v>
      </c>
      <c r="E2605" t="s">
        <v>21</v>
      </c>
      <c r="F2605" t="s">
        <v>308</v>
      </c>
      <c r="G2605" t="s">
        <v>337</v>
      </c>
      <c r="H2605">
        <v>803891</v>
      </c>
      <c r="J2605">
        <f t="shared" si="65"/>
        <v>803891</v>
      </c>
      <c r="O2605" t="s">
        <v>328</v>
      </c>
    </row>
    <row r="2606" spans="2:15" x14ac:dyDescent="0.25">
      <c r="B2606" t="s">
        <v>36</v>
      </c>
      <c r="C2606" s="4">
        <v>44804</v>
      </c>
      <c r="D2606">
        <f>+D2605</f>
        <v>8</v>
      </c>
      <c r="E2606" t="s">
        <v>16</v>
      </c>
      <c r="F2606" t="s">
        <v>17</v>
      </c>
      <c r="G2606" t="s">
        <v>337</v>
      </c>
      <c r="I2606">
        <v>803891</v>
      </c>
      <c r="J2606">
        <f t="shared" si="65"/>
        <v>-803891</v>
      </c>
      <c r="O2606" t="str">
        <f>+O2605</f>
        <v>REMUNERACIONES POR PAGAR 202208</v>
      </c>
    </row>
    <row r="2607" spans="2:15" x14ac:dyDescent="0.25">
      <c r="B2607" t="s">
        <v>36</v>
      </c>
      <c r="C2607" s="4">
        <v>44834</v>
      </c>
      <c r="D2607">
        <v>9</v>
      </c>
      <c r="E2607" t="s">
        <v>21</v>
      </c>
      <c r="F2607" t="s">
        <v>308</v>
      </c>
      <c r="G2607" t="s">
        <v>337</v>
      </c>
      <c r="H2607">
        <v>802053</v>
      </c>
      <c r="J2607">
        <f t="shared" si="65"/>
        <v>802053</v>
      </c>
      <c r="O2607" t="s">
        <v>330</v>
      </c>
    </row>
    <row r="2608" spans="2:15" x14ac:dyDescent="0.25">
      <c r="B2608" t="s">
        <v>36</v>
      </c>
      <c r="C2608" s="4">
        <v>44834</v>
      </c>
      <c r="D2608">
        <f>+D2607</f>
        <v>9</v>
      </c>
      <c r="E2608" t="s">
        <v>16</v>
      </c>
      <c r="F2608" t="s">
        <v>17</v>
      </c>
      <c r="G2608" t="s">
        <v>337</v>
      </c>
      <c r="I2608">
        <v>802053</v>
      </c>
      <c r="J2608">
        <f t="shared" si="65"/>
        <v>-802053</v>
      </c>
      <c r="O2608" t="str">
        <f>+O2607</f>
        <v>REMUNERACIONES POR PAGAR 202209</v>
      </c>
    </row>
    <row r="2609" spans="2:15" x14ac:dyDescent="0.25">
      <c r="B2609" t="s">
        <v>36</v>
      </c>
      <c r="C2609" s="4">
        <v>44865</v>
      </c>
      <c r="D2609">
        <v>10</v>
      </c>
      <c r="E2609" t="s">
        <v>21</v>
      </c>
      <c r="F2609" t="s">
        <v>308</v>
      </c>
      <c r="G2609" t="s">
        <v>337</v>
      </c>
      <c r="H2609">
        <v>799588</v>
      </c>
      <c r="J2609">
        <f t="shared" si="65"/>
        <v>799588</v>
      </c>
      <c r="O2609" t="s">
        <v>332</v>
      </c>
    </row>
    <row r="2610" spans="2:15" x14ac:dyDescent="0.25">
      <c r="B2610" t="s">
        <v>36</v>
      </c>
      <c r="C2610" s="4">
        <v>44865</v>
      </c>
      <c r="D2610">
        <f>+D2609</f>
        <v>10</v>
      </c>
      <c r="E2610" t="s">
        <v>16</v>
      </c>
      <c r="F2610" t="s">
        <v>17</v>
      </c>
      <c r="G2610" t="s">
        <v>337</v>
      </c>
      <c r="I2610">
        <v>799588</v>
      </c>
      <c r="J2610">
        <f t="shared" si="65"/>
        <v>-799588</v>
      </c>
      <c r="O2610" t="str">
        <f>+O2609</f>
        <v>REMUNERACIONES POR PAGAR 202210</v>
      </c>
    </row>
    <row r="2611" spans="2:15" x14ac:dyDescent="0.25">
      <c r="B2611" t="s">
        <v>36</v>
      </c>
      <c r="C2611" s="4">
        <v>44895</v>
      </c>
      <c r="D2611">
        <v>11</v>
      </c>
      <c r="E2611" t="s">
        <v>21</v>
      </c>
      <c r="F2611" t="s">
        <v>308</v>
      </c>
      <c r="G2611" t="s">
        <v>337</v>
      </c>
      <c r="H2611">
        <v>667374</v>
      </c>
      <c r="J2611">
        <f t="shared" si="65"/>
        <v>667374</v>
      </c>
      <c r="O2611" t="s">
        <v>334</v>
      </c>
    </row>
    <row r="2612" spans="2:15" x14ac:dyDescent="0.25">
      <c r="B2612" t="s">
        <v>36</v>
      </c>
      <c r="C2612" s="4">
        <v>44895</v>
      </c>
      <c r="D2612">
        <f>+D2611</f>
        <v>11</v>
      </c>
      <c r="E2612" t="s">
        <v>16</v>
      </c>
      <c r="F2612" t="s">
        <v>17</v>
      </c>
      <c r="G2612" t="s">
        <v>337</v>
      </c>
      <c r="I2612">
        <v>667374</v>
      </c>
      <c r="J2612">
        <f t="shared" si="65"/>
        <v>-667374</v>
      </c>
      <c r="O2612" t="str">
        <f>+O2611</f>
        <v>REMUNERACIONES POR PAGAR 202211</v>
      </c>
    </row>
    <row r="2613" spans="2:15" x14ac:dyDescent="0.25">
      <c r="B2613" t="s">
        <v>36</v>
      </c>
      <c r="C2613" s="4">
        <v>44926</v>
      </c>
      <c r="D2613">
        <v>12</v>
      </c>
      <c r="E2613" t="s">
        <v>21</v>
      </c>
      <c r="F2613" t="s">
        <v>308</v>
      </c>
      <c r="G2613" t="s">
        <v>337</v>
      </c>
      <c r="H2613">
        <v>731924</v>
      </c>
      <c r="J2613">
        <f t="shared" si="65"/>
        <v>731924</v>
      </c>
      <c r="O2613" t="s">
        <v>336</v>
      </c>
    </row>
    <row r="2614" spans="2:15" x14ac:dyDescent="0.25">
      <c r="B2614" t="s">
        <v>36</v>
      </c>
      <c r="C2614" s="4">
        <v>44926</v>
      </c>
      <c r="D2614">
        <f>+D2613</f>
        <v>12</v>
      </c>
      <c r="E2614" t="s">
        <v>16</v>
      </c>
      <c r="F2614" t="s">
        <v>17</v>
      </c>
      <c r="G2614" t="s">
        <v>337</v>
      </c>
      <c r="I2614">
        <v>731924</v>
      </c>
      <c r="J2614">
        <f t="shared" si="65"/>
        <v>-731924</v>
      </c>
      <c r="O2614" t="str">
        <f>+O2613</f>
        <v>REMUNERACIONES POR PAGAR 202212</v>
      </c>
    </row>
    <row r="2615" spans="2:15" x14ac:dyDescent="0.25">
      <c r="B2615" t="s">
        <v>36</v>
      </c>
      <c r="C2615" s="4">
        <v>44604</v>
      </c>
      <c r="D2615">
        <v>2</v>
      </c>
      <c r="E2615" t="s">
        <v>21</v>
      </c>
      <c r="F2615" t="s">
        <v>300</v>
      </c>
      <c r="G2615" t="s">
        <v>338</v>
      </c>
      <c r="H2615">
        <v>104944</v>
      </c>
      <c r="I2615">
        <v>0</v>
      </c>
      <c r="J2615">
        <f t="shared" si="65"/>
        <v>104944</v>
      </c>
      <c r="O2615" t="s">
        <v>301</v>
      </c>
    </row>
    <row r="2616" spans="2:15" x14ac:dyDescent="0.25">
      <c r="B2616" t="s">
        <v>36</v>
      </c>
      <c r="C2616" s="4">
        <v>44604</v>
      </c>
      <c r="D2616">
        <v>2</v>
      </c>
      <c r="E2616" t="s">
        <v>21</v>
      </c>
      <c r="F2616" t="s">
        <v>300</v>
      </c>
      <c r="G2616" t="s">
        <v>338</v>
      </c>
      <c r="H2616">
        <v>50050</v>
      </c>
      <c r="I2616">
        <v>0</v>
      </c>
      <c r="J2616">
        <f t="shared" si="65"/>
        <v>50050</v>
      </c>
      <c r="O2616" t="s">
        <v>302</v>
      </c>
    </row>
    <row r="2617" spans="2:15" x14ac:dyDescent="0.25">
      <c r="B2617" t="s">
        <v>36</v>
      </c>
      <c r="C2617" s="4">
        <v>44604</v>
      </c>
      <c r="D2617">
        <v>2</v>
      </c>
      <c r="E2617" t="s">
        <v>21</v>
      </c>
      <c r="F2617" t="s">
        <v>303</v>
      </c>
      <c r="G2617" t="s">
        <v>338</v>
      </c>
      <c r="H2617">
        <v>30625</v>
      </c>
      <c r="I2617">
        <v>0</v>
      </c>
      <c r="J2617">
        <f t="shared" si="65"/>
        <v>30625</v>
      </c>
      <c r="K2617" t="s">
        <v>339</v>
      </c>
      <c r="O2617" t="s">
        <v>304</v>
      </c>
    </row>
    <row r="2618" spans="2:15" x14ac:dyDescent="0.25">
      <c r="B2618" t="s">
        <v>36</v>
      </c>
      <c r="C2618" s="4">
        <v>44604</v>
      </c>
      <c r="D2618">
        <v>2</v>
      </c>
      <c r="E2618" t="s">
        <v>21</v>
      </c>
      <c r="F2618" t="s">
        <v>303</v>
      </c>
      <c r="G2618" t="s">
        <v>338</v>
      </c>
      <c r="H2618">
        <v>141144</v>
      </c>
      <c r="I2618">
        <v>0</v>
      </c>
      <c r="J2618">
        <f t="shared" si="65"/>
        <v>141144</v>
      </c>
      <c r="O2618" t="s">
        <v>305</v>
      </c>
    </row>
    <row r="2619" spans="2:15" x14ac:dyDescent="0.25">
      <c r="B2619" t="s">
        <v>36</v>
      </c>
      <c r="C2619" s="4">
        <v>44604</v>
      </c>
      <c r="D2619">
        <v>2</v>
      </c>
      <c r="E2619" t="s">
        <v>21</v>
      </c>
      <c r="F2619" t="s">
        <v>300</v>
      </c>
      <c r="G2619" t="s">
        <v>338</v>
      </c>
      <c r="H2619">
        <v>8124</v>
      </c>
      <c r="I2619">
        <v>0</v>
      </c>
      <c r="J2619">
        <f t="shared" si="65"/>
        <v>8124</v>
      </c>
      <c r="O2619" t="s">
        <v>306</v>
      </c>
    </row>
    <row r="2620" spans="2:15" x14ac:dyDescent="0.25">
      <c r="B2620" t="s">
        <v>36</v>
      </c>
      <c r="C2620" s="4">
        <v>44604</v>
      </c>
      <c r="D2620">
        <v>2</v>
      </c>
      <c r="E2620" t="s">
        <v>21</v>
      </c>
      <c r="F2620" t="s">
        <v>300</v>
      </c>
      <c r="G2620" t="s">
        <v>338</v>
      </c>
      <c r="H2620">
        <v>32497</v>
      </c>
      <c r="I2620">
        <v>0</v>
      </c>
      <c r="J2620">
        <f t="shared" si="65"/>
        <v>32497</v>
      </c>
      <c r="O2620" t="s">
        <v>311</v>
      </c>
    </row>
    <row r="2621" spans="2:15" x14ac:dyDescent="0.25">
      <c r="B2621" t="s">
        <v>36</v>
      </c>
      <c r="C2621" s="4">
        <v>44604</v>
      </c>
      <c r="D2621">
        <v>2</v>
      </c>
      <c r="E2621" t="s">
        <v>21</v>
      </c>
      <c r="F2621" t="s">
        <v>313</v>
      </c>
      <c r="G2621" t="s">
        <v>338</v>
      </c>
      <c r="H2621">
        <v>12593</v>
      </c>
      <c r="I2621">
        <v>0</v>
      </c>
      <c r="J2621">
        <f t="shared" si="65"/>
        <v>12593</v>
      </c>
      <c r="K2621" t="s">
        <v>339</v>
      </c>
      <c r="O2621" t="s">
        <v>312</v>
      </c>
    </row>
    <row r="2622" spans="2:15" x14ac:dyDescent="0.25">
      <c r="B2622" t="s">
        <v>36</v>
      </c>
      <c r="C2622" s="4">
        <v>44604</v>
      </c>
      <c r="D2622">
        <v>2</v>
      </c>
      <c r="E2622" t="s">
        <v>21</v>
      </c>
      <c r="F2622" t="s">
        <v>314</v>
      </c>
      <c r="G2622" t="s">
        <v>338</v>
      </c>
      <c r="H2622">
        <v>20987</v>
      </c>
      <c r="I2622">
        <v>0</v>
      </c>
      <c r="J2622">
        <f t="shared" si="65"/>
        <v>20987</v>
      </c>
      <c r="K2622">
        <v>12543</v>
      </c>
      <c r="O2622" t="s">
        <v>314</v>
      </c>
    </row>
    <row r="2623" spans="2:15" x14ac:dyDescent="0.25">
      <c r="B2623" t="s">
        <v>36</v>
      </c>
      <c r="C2623" s="4">
        <v>44604</v>
      </c>
      <c r="D2623">
        <v>2</v>
      </c>
      <c r="E2623" t="s">
        <v>38</v>
      </c>
      <c r="F2623" t="s">
        <v>294</v>
      </c>
      <c r="G2623" t="s">
        <v>338</v>
      </c>
      <c r="I2623">
        <v>12543</v>
      </c>
      <c r="J2623">
        <f t="shared" si="65"/>
        <v>-12543</v>
      </c>
    </row>
    <row r="2624" spans="2:15" x14ac:dyDescent="0.25">
      <c r="B2624" t="s">
        <v>36</v>
      </c>
      <c r="C2624" s="4">
        <v>44604</v>
      </c>
      <c r="D2624">
        <v>2</v>
      </c>
      <c r="E2624" t="s">
        <v>16</v>
      </c>
      <c r="F2624" t="s">
        <v>17</v>
      </c>
      <c r="G2624" t="s">
        <v>338</v>
      </c>
      <c r="I2624">
        <v>388421</v>
      </c>
      <c r="J2624">
        <f t="shared" si="65"/>
        <v>-388421</v>
      </c>
    </row>
    <row r="2625" spans="2:15" x14ac:dyDescent="0.25">
      <c r="B2625" t="s">
        <v>36</v>
      </c>
      <c r="C2625" s="4">
        <v>44632</v>
      </c>
      <c r="D2625">
        <v>3</v>
      </c>
      <c r="E2625" t="s">
        <v>21</v>
      </c>
      <c r="F2625" t="s">
        <v>300</v>
      </c>
      <c r="G2625" t="s">
        <v>338</v>
      </c>
      <c r="H2625">
        <v>104944</v>
      </c>
      <c r="I2625">
        <v>0</v>
      </c>
      <c r="J2625">
        <f t="shared" si="65"/>
        <v>104944</v>
      </c>
      <c r="O2625" t="s">
        <v>301</v>
      </c>
    </row>
    <row r="2626" spans="2:15" x14ac:dyDescent="0.25">
      <c r="B2626" t="s">
        <v>36</v>
      </c>
      <c r="C2626" s="4">
        <v>44632</v>
      </c>
      <c r="D2626">
        <v>3</v>
      </c>
      <c r="E2626" t="s">
        <v>21</v>
      </c>
      <c r="F2626" t="s">
        <v>300</v>
      </c>
      <c r="G2626" t="s">
        <v>338</v>
      </c>
      <c r="H2626">
        <v>50050</v>
      </c>
      <c r="I2626">
        <v>0</v>
      </c>
      <c r="J2626">
        <f t="shared" si="65"/>
        <v>50050</v>
      </c>
      <c r="O2626" t="s">
        <v>302</v>
      </c>
    </row>
    <row r="2627" spans="2:15" x14ac:dyDescent="0.25">
      <c r="B2627" t="s">
        <v>36</v>
      </c>
      <c r="C2627" s="4">
        <v>44632</v>
      </c>
      <c r="D2627">
        <v>3</v>
      </c>
      <c r="E2627" t="s">
        <v>21</v>
      </c>
      <c r="F2627" t="s">
        <v>303</v>
      </c>
      <c r="G2627" t="s">
        <v>338</v>
      </c>
      <c r="H2627">
        <v>30625</v>
      </c>
      <c r="I2627">
        <v>0</v>
      </c>
      <c r="J2627">
        <f t="shared" si="65"/>
        <v>30625</v>
      </c>
      <c r="O2627" t="s">
        <v>304</v>
      </c>
    </row>
    <row r="2628" spans="2:15" x14ac:dyDescent="0.25">
      <c r="B2628" t="s">
        <v>36</v>
      </c>
      <c r="C2628" s="4">
        <v>44632</v>
      </c>
      <c r="D2628">
        <v>3</v>
      </c>
      <c r="E2628" t="s">
        <v>21</v>
      </c>
      <c r="F2628" t="s">
        <v>303</v>
      </c>
      <c r="G2628" t="s">
        <v>338</v>
      </c>
      <c r="H2628">
        <v>142620</v>
      </c>
      <c r="I2628">
        <v>0</v>
      </c>
      <c r="J2628">
        <f t="shared" si="65"/>
        <v>142620</v>
      </c>
      <c r="O2628" t="s">
        <v>305</v>
      </c>
    </row>
    <row r="2629" spans="2:15" x14ac:dyDescent="0.25">
      <c r="B2629" t="s">
        <v>36</v>
      </c>
      <c r="C2629" s="4">
        <v>44632</v>
      </c>
      <c r="D2629">
        <v>3</v>
      </c>
      <c r="E2629" t="s">
        <v>21</v>
      </c>
      <c r="F2629" t="s">
        <v>300</v>
      </c>
      <c r="G2629" t="s">
        <v>338</v>
      </c>
      <c r="H2629">
        <v>8124</v>
      </c>
      <c r="I2629">
        <v>0</v>
      </c>
      <c r="J2629">
        <f t="shared" si="65"/>
        <v>8124</v>
      </c>
      <c r="O2629" t="s">
        <v>306</v>
      </c>
    </row>
    <row r="2630" spans="2:15" x14ac:dyDescent="0.25">
      <c r="B2630" t="s">
        <v>36</v>
      </c>
      <c r="C2630" s="4">
        <v>44632</v>
      </c>
      <c r="D2630">
        <v>3</v>
      </c>
      <c r="E2630" t="s">
        <v>21</v>
      </c>
      <c r="F2630" t="s">
        <v>300</v>
      </c>
      <c r="G2630" t="s">
        <v>338</v>
      </c>
      <c r="H2630">
        <v>32497</v>
      </c>
      <c r="I2630">
        <v>0</v>
      </c>
      <c r="J2630">
        <f t="shared" si="65"/>
        <v>32497</v>
      </c>
      <c r="O2630" t="s">
        <v>311</v>
      </c>
    </row>
    <row r="2631" spans="2:15" x14ac:dyDescent="0.25">
      <c r="B2631" t="s">
        <v>36</v>
      </c>
      <c r="C2631" s="4">
        <v>44632</v>
      </c>
      <c r="D2631">
        <v>3</v>
      </c>
      <c r="E2631" t="s">
        <v>21</v>
      </c>
      <c r="F2631" t="s">
        <v>313</v>
      </c>
      <c r="G2631" t="s">
        <v>338</v>
      </c>
      <c r="H2631">
        <v>12593</v>
      </c>
      <c r="I2631">
        <v>0</v>
      </c>
      <c r="J2631">
        <f t="shared" si="65"/>
        <v>12593</v>
      </c>
      <c r="O2631" t="s">
        <v>312</v>
      </c>
    </row>
    <row r="2632" spans="2:15" x14ac:dyDescent="0.25">
      <c r="B2632" t="s">
        <v>36</v>
      </c>
      <c r="C2632" s="4">
        <v>44632</v>
      </c>
      <c r="D2632">
        <v>3</v>
      </c>
      <c r="E2632" t="s">
        <v>21</v>
      </c>
      <c r="F2632" t="s">
        <v>314</v>
      </c>
      <c r="G2632" t="s">
        <v>338</v>
      </c>
      <c r="H2632">
        <v>20987</v>
      </c>
      <c r="I2632">
        <v>0</v>
      </c>
      <c r="J2632">
        <f t="shared" si="65"/>
        <v>20987</v>
      </c>
      <c r="O2632" t="s">
        <v>314</v>
      </c>
    </row>
    <row r="2633" spans="2:15" x14ac:dyDescent="0.25">
      <c r="B2633" t="s">
        <v>36</v>
      </c>
      <c r="C2633" s="4">
        <v>44632</v>
      </c>
      <c r="D2633">
        <v>3</v>
      </c>
      <c r="E2633" t="s">
        <v>38</v>
      </c>
      <c r="F2633" t="s">
        <v>294</v>
      </c>
      <c r="G2633" t="s">
        <v>338</v>
      </c>
      <c r="I2633">
        <v>12716</v>
      </c>
      <c r="J2633">
        <f t="shared" si="65"/>
        <v>-12716</v>
      </c>
    </row>
    <row r="2634" spans="2:15" x14ac:dyDescent="0.25">
      <c r="B2634" t="s">
        <v>36</v>
      </c>
      <c r="C2634" s="4">
        <v>44632</v>
      </c>
      <c r="D2634">
        <v>3</v>
      </c>
      <c r="E2634" t="s">
        <v>16</v>
      </c>
      <c r="F2634" t="s">
        <v>17</v>
      </c>
      <c r="G2634" t="s">
        <v>338</v>
      </c>
      <c r="I2634">
        <v>389724</v>
      </c>
      <c r="J2634">
        <f t="shared" si="65"/>
        <v>-389724</v>
      </c>
    </row>
    <row r="2635" spans="2:15" x14ac:dyDescent="0.25">
      <c r="B2635" t="s">
        <v>36</v>
      </c>
      <c r="C2635" s="4">
        <v>44663</v>
      </c>
      <c r="D2635">
        <v>4</v>
      </c>
      <c r="E2635" t="s">
        <v>21</v>
      </c>
      <c r="F2635" t="s">
        <v>300</v>
      </c>
      <c r="G2635" t="s">
        <v>338</v>
      </c>
      <c r="H2635">
        <v>104944</v>
      </c>
      <c r="I2635">
        <v>0</v>
      </c>
      <c r="J2635">
        <f t="shared" si="65"/>
        <v>104944</v>
      </c>
      <c r="K2635">
        <v>220665</v>
      </c>
      <c r="O2635" t="s">
        <v>301</v>
      </c>
    </row>
    <row r="2636" spans="2:15" x14ac:dyDescent="0.25">
      <c r="B2636" t="s">
        <v>36</v>
      </c>
      <c r="C2636" s="4">
        <v>44663</v>
      </c>
      <c r="D2636">
        <v>4</v>
      </c>
      <c r="E2636" t="s">
        <v>21</v>
      </c>
      <c r="F2636" t="s">
        <v>300</v>
      </c>
      <c r="G2636" t="s">
        <v>338</v>
      </c>
      <c r="H2636">
        <v>50050</v>
      </c>
      <c r="I2636">
        <v>0</v>
      </c>
      <c r="J2636">
        <f t="shared" si="65"/>
        <v>50050</v>
      </c>
      <c r="O2636" t="s">
        <v>302</v>
      </c>
    </row>
    <row r="2637" spans="2:15" x14ac:dyDescent="0.25">
      <c r="B2637" t="s">
        <v>36</v>
      </c>
      <c r="C2637" s="4">
        <v>44663</v>
      </c>
      <c r="D2637">
        <v>4</v>
      </c>
      <c r="E2637" t="s">
        <v>21</v>
      </c>
      <c r="F2637" t="s">
        <v>303</v>
      </c>
      <c r="G2637" t="s">
        <v>338</v>
      </c>
      <c r="H2637">
        <v>30625</v>
      </c>
      <c r="I2637">
        <v>0</v>
      </c>
      <c r="J2637">
        <f t="shared" si="65"/>
        <v>30625</v>
      </c>
      <c r="O2637" t="s">
        <v>304</v>
      </c>
    </row>
    <row r="2638" spans="2:15" x14ac:dyDescent="0.25">
      <c r="B2638" t="s">
        <v>36</v>
      </c>
      <c r="C2638" s="4">
        <v>44663</v>
      </c>
      <c r="D2638">
        <v>4</v>
      </c>
      <c r="E2638" t="s">
        <v>21</v>
      </c>
      <c r="F2638" t="s">
        <v>303</v>
      </c>
      <c r="G2638" t="s">
        <v>338</v>
      </c>
      <c r="H2638">
        <v>143473</v>
      </c>
      <c r="I2638">
        <v>0</v>
      </c>
      <c r="J2638">
        <f t="shared" si="65"/>
        <v>143473</v>
      </c>
      <c r="L2638">
        <v>126594</v>
      </c>
      <c r="O2638" t="s">
        <v>305</v>
      </c>
    </row>
    <row r="2639" spans="2:15" x14ac:dyDescent="0.25">
      <c r="B2639" t="s">
        <v>36</v>
      </c>
      <c r="C2639" s="4">
        <v>44663</v>
      </c>
      <c r="D2639">
        <v>4</v>
      </c>
      <c r="E2639" t="s">
        <v>21</v>
      </c>
      <c r="F2639" t="s">
        <v>300</v>
      </c>
      <c r="G2639" t="s">
        <v>338</v>
      </c>
      <c r="H2639">
        <v>8124</v>
      </c>
      <c r="I2639">
        <v>0</v>
      </c>
      <c r="J2639">
        <f t="shared" si="65"/>
        <v>8124</v>
      </c>
      <c r="O2639" t="s">
        <v>306</v>
      </c>
    </row>
    <row r="2640" spans="2:15" x14ac:dyDescent="0.25">
      <c r="B2640" t="s">
        <v>36</v>
      </c>
      <c r="C2640" s="4">
        <v>44663</v>
      </c>
      <c r="D2640">
        <v>4</v>
      </c>
      <c r="E2640" t="s">
        <v>21</v>
      </c>
      <c r="F2640" t="s">
        <v>300</v>
      </c>
      <c r="G2640" t="s">
        <v>338</v>
      </c>
      <c r="H2640">
        <v>32497</v>
      </c>
      <c r="I2640">
        <v>0</v>
      </c>
      <c r="J2640">
        <f t="shared" si="65"/>
        <v>32497</v>
      </c>
      <c r="O2640" t="s">
        <v>311</v>
      </c>
    </row>
    <row r="2641" spans="2:15" x14ac:dyDescent="0.25">
      <c r="B2641" t="s">
        <v>36</v>
      </c>
      <c r="C2641" s="4">
        <v>44663</v>
      </c>
      <c r="D2641">
        <v>4</v>
      </c>
      <c r="E2641" t="s">
        <v>21</v>
      </c>
      <c r="F2641" t="s">
        <v>313</v>
      </c>
      <c r="G2641" t="s">
        <v>338</v>
      </c>
      <c r="H2641">
        <v>12593</v>
      </c>
      <c r="I2641">
        <v>0</v>
      </c>
      <c r="J2641">
        <f t="shared" si="65"/>
        <v>12593</v>
      </c>
      <c r="O2641" t="s">
        <v>312</v>
      </c>
    </row>
    <row r="2642" spans="2:15" x14ac:dyDescent="0.25">
      <c r="B2642" t="s">
        <v>36</v>
      </c>
      <c r="C2642" s="4">
        <v>44663</v>
      </c>
      <c r="D2642">
        <v>4</v>
      </c>
      <c r="E2642" t="s">
        <v>21</v>
      </c>
      <c r="F2642" t="s">
        <v>314</v>
      </c>
      <c r="G2642" t="s">
        <v>338</v>
      </c>
      <c r="H2642">
        <v>20987</v>
      </c>
      <c r="I2642">
        <v>0</v>
      </c>
      <c r="J2642">
        <f t="shared" si="65"/>
        <v>20987</v>
      </c>
      <c r="O2642" t="s">
        <v>314</v>
      </c>
    </row>
    <row r="2643" spans="2:15" x14ac:dyDescent="0.25">
      <c r="B2643" t="s">
        <v>36</v>
      </c>
      <c r="C2643" s="4">
        <v>44663</v>
      </c>
      <c r="D2643">
        <v>4</v>
      </c>
      <c r="E2643" t="s">
        <v>38</v>
      </c>
      <c r="F2643" t="s">
        <v>294</v>
      </c>
      <c r="G2643" t="s">
        <v>338</v>
      </c>
      <c r="H2643">
        <v>4063</v>
      </c>
      <c r="I2643">
        <v>16879</v>
      </c>
      <c r="J2643">
        <f t="shared" si="65"/>
        <v>-12816</v>
      </c>
    </row>
    <row r="2644" spans="2:15" x14ac:dyDescent="0.25">
      <c r="B2644" t="s">
        <v>36</v>
      </c>
      <c r="C2644" s="4">
        <v>44663</v>
      </c>
      <c r="D2644">
        <v>4</v>
      </c>
      <c r="E2644" t="s">
        <v>16</v>
      </c>
      <c r="F2644" t="s">
        <v>17</v>
      </c>
      <c r="G2644" t="s">
        <v>338</v>
      </c>
      <c r="I2644">
        <v>390477</v>
      </c>
      <c r="J2644">
        <f t="shared" si="65"/>
        <v>-390477</v>
      </c>
    </row>
    <row r="2645" spans="2:15" x14ac:dyDescent="0.25">
      <c r="B2645" t="s">
        <v>36</v>
      </c>
      <c r="C2645" s="4">
        <v>44693</v>
      </c>
      <c r="D2645">
        <v>5</v>
      </c>
      <c r="E2645" t="s">
        <v>21</v>
      </c>
      <c r="F2645" t="s">
        <v>300</v>
      </c>
      <c r="G2645" t="s">
        <v>338</v>
      </c>
      <c r="H2645">
        <v>50094</v>
      </c>
      <c r="I2645">
        <v>0</v>
      </c>
      <c r="J2645">
        <f t="shared" si="65"/>
        <v>50094</v>
      </c>
      <c r="O2645" t="s">
        <v>301</v>
      </c>
    </row>
    <row r="2646" spans="2:15" x14ac:dyDescent="0.25">
      <c r="B2646" t="s">
        <v>36</v>
      </c>
      <c r="C2646" s="4">
        <v>44693</v>
      </c>
      <c r="D2646">
        <v>5</v>
      </c>
      <c r="E2646" t="s">
        <v>21</v>
      </c>
      <c r="F2646" t="s">
        <v>300</v>
      </c>
      <c r="G2646" t="s">
        <v>338</v>
      </c>
      <c r="H2646">
        <v>50050</v>
      </c>
      <c r="I2646">
        <v>0</v>
      </c>
      <c r="J2646">
        <f t="shared" si="65"/>
        <v>50050</v>
      </c>
      <c r="O2646" t="s">
        <v>302</v>
      </c>
    </row>
    <row r="2647" spans="2:15" x14ac:dyDescent="0.25">
      <c r="B2647" t="s">
        <v>36</v>
      </c>
      <c r="C2647" s="4">
        <v>44693</v>
      </c>
      <c r="D2647">
        <v>5</v>
      </c>
      <c r="E2647" t="s">
        <v>21</v>
      </c>
      <c r="F2647" t="s">
        <v>303</v>
      </c>
      <c r="G2647" t="s">
        <v>338</v>
      </c>
      <c r="H2647">
        <v>30625</v>
      </c>
      <c r="I2647">
        <v>0</v>
      </c>
      <c r="J2647">
        <f t="shared" si="65"/>
        <v>30625</v>
      </c>
      <c r="O2647" t="s">
        <v>304</v>
      </c>
    </row>
    <row r="2648" spans="2:15" x14ac:dyDescent="0.25">
      <c r="B2648" t="s">
        <v>36</v>
      </c>
      <c r="C2648" s="4">
        <v>44693</v>
      </c>
      <c r="D2648">
        <v>5</v>
      </c>
      <c r="E2648" t="s">
        <v>21</v>
      </c>
      <c r="F2648" t="s">
        <v>303</v>
      </c>
      <c r="G2648" t="s">
        <v>338</v>
      </c>
      <c r="H2648">
        <v>128384</v>
      </c>
      <c r="I2648">
        <v>0</v>
      </c>
      <c r="J2648">
        <f t="shared" si="65"/>
        <v>128384</v>
      </c>
      <c r="O2648" t="s">
        <v>305</v>
      </c>
    </row>
    <row r="2649" spans="2:15" x14ac:dyDescent="0.25">
      <c r="B2649" t="s">
        <v>36</v>
      </c>
      <c r="C2649" s="4">
        <v>44693</v>
      </c>
      <c r="D2649">
        <v>5</v>
      </c>
      <c r="E2649" t="s">
        <v>21</v>
      </c>
      <c r="F2649" t="s">
        <v>300</v>
      </c>
      <c r="G2649" t="s">
        <v>338</v>
      </c>
      <c r="H2649">
        <v>5250</v>
      </c>
      <c r="I2649">
        <v>0</v>
      </c>
      <c r="J2649">
        <f t="shared" si="65"/>
        <v>5250</v>
      </c>
      <c r="O2649" t="s">
        <v>306</v>
      </c>
    </row>
    <row r="2650" spans="2:15" x14ac:dyDescent="0.25">
      <c r="B2650" t="s">
        <v>36</v>
      </c>
      <c r="C2650" s="4">
        <v>44693</v>
      </c>
      <c r="D2650">
        <v>5</v>
      </c>
      <c r="E2650" t="s">
        <v>21</v>
      </c>
      <c r="F2650" t="s">
        <v>300</v>
      </c>
      <c r="G2650" t="s">
        <v>338</v>
      </c>
      <c r="H2650">
        <v>21000</v>
      </c>
      <c r="I2650">
        <v>0</v>
      </c>
      <c r="J2650">
        <f t="shared" ref="J2650:J2717" si="66">+H2650-I2650</f>
        <v>21000</v>
      </c>
      <c r="O2650" t="s">
        <v>311</v>
      </c>
    </row>
    <row r="2651" spans="2:15" x14ac:dyDescent="0.25">
      <c r="B2651" t="s">
        <v>36</v>
      </c>
      <c r="C2651" s="4">
        <v>44693</v>
      </c>
      <c r="D2651">
        <v>5</v>
      </c>
      <c r="E2651" t="s">
        <v>21</v>
      </c>
      <c r="F2651" t="s">
        <v>313</v>
      </c>
      <c r="G2651" t="s">
        <v>338</v>
      </c>
      <c r="H2651">
        <v>8138</v>
      </c>
      <c r="I2651">
        <v>0</v>
      </c>
      <c r="J2651">
        <f t="shared" si="66"/>
        <v>8138</v>
      </c>
      <c r="O2651" t="s">
        <v>312</v>
      </c>
    </row>
    <row r="2652" spans="2:15" x14ac:dyDescent="0.25">
      <c r="B2652" t="s">
        <v>36</v>
      </c>
      <c r="C2652" s="4">
        <v>44693</v>
      </c>
      <c r="D2652">
        <v>5</v>
      </c>
      <c r="E2652" t="s">
        <v>21</v>
      </c>
      <c r="F2652" t="s">
        <v>314</v>
      </c>
      <c r="G2652" t="s">
        <v>338</v>
      </c>
      <c r="H2652">
        <v>16274</v>
      </c>
      <c r="I2652">
        <v>0</v>
      </c>
      <c r="J2652">
        <f t="shared" si="66"/>
        <v>16274</v>
      </c>
      <c r="O2652" t="s">
        <v>314</v>
      </c>
    </row>
    <row r="2653" spans="2:15" x14ac:dyDescent="0.25">
      <c r="B2653" t="s">
        <v>36</v>
      </c>
      <c r="C2653" s="4">
        <v>44693</v>
      </c>
      <c r="D2653">
        <v>5</v>
      </c>
      <c r="E2653" t="s">
        <v>16</v>
      </c>
      <c r="F2653" t="s">
        <v>17</v>
      </c>
      <c r="G2653" t="s">
        <v>338</v>
      </c>
      <c r="I2653">
        <v>309815</v>
      </c>
      <c r="J2653">
        <f t="shared" si="66"/>
        <v>-309815</v>
      </c>
    </row>
    <row r="2654" spans="2:15" x14ac:dyDescent="0.25">
      <c r="B2654" t="s">
        <v>36</v>
      </c>
      <c r="C2654" s="4">
        <v>44724</v>
      </c>
      <c r="D2654">
        <v>6</v>
      </c>
      <c r="E2654" t="s">
        <v>21</v>
      </c>
      <c r="F2654" t="s">
        <v>300</v>
      </c>
      <c r="G2654" t="s">
        <v>338</v>
      </c>
      <c r="H2654">
        <v>54388</v>
      </c>
      <c r="I2654">
        <v>0</v>
      </c>
      <c r="J2654">
        <f t="shared" si="66"/>
        <v>54388</v>
      </c>
      <c r="K2654" t="s">
        <v>340</v>
      </c>
      <c r="O2654" t="s">
        <v>301</v>
      </c>
    </row>
    <row r="2655" spans="2:15" x14ac:dyDescent="0.25">
      <c r="B2655" t="s">
        <v>36</v>
      </c>
      <c r="C2655" s="4">
        <v>44724</v>
      </c>
      <c r="D2655">
        <v>6</v>
      </c>
      <c r="E2655" t="s">
        <v>21</v>
      </c>
      <c r="F2655" t="s">
        <v>300</v>
      </c>
      <c r="G2655" t="s">
        <v>338</v>
      </c>
      <c r="H2655">
        <v>54340</v>
      </c>
      <c r="I2655">
        <v>0</v>
      </c>
      <c r="J2655">
        <f t="shared" si="66"/>
        <v>54340</v>
      </c>
      <c r="K2655" t="s">
        <v>340</v>
      </c>
      <c r="O2655" t="s">
        <v>302</v>
      </c>
    </row>
    <row r="2656" spans="2:15" x14ac:dyDescent="0.25">
      <c r="B2656" t="s">
        <v>36</v>
      </c>
      <c r="C2656" s="4">
        <v>44724</v>
      </c>
      <c r="D2656">
        <v>6</v>
      </c>
      <c r="E2656" t="s">
        <v>21</v>
      </c>
      <c r="F2656" t="s">
        <v>303</v>
      </c>
      <c r="G2656" t="s">
        <v>338</v>
      </c>
      <c r="H2656">
        <v>33250</v>
      </c>
      <c r="I2656">
        <v>0</v>
      </c>
      <c r="J2656">
        <f t="shared" si="66"/>
        <v>33250</v>
      </c>
      <c r="K2656" t="s">
        <v>340</v>
      </c>
      <c r="O2656" t="s">
        <v>304</v>
      </c>
    </row>
    <row r="2657" spans="2:15" x14ac:dyDescent="0.25">
      <c r="B2657" t="s">
        <v>36</v>
      </c>
      <c r="C2657" s="4">
        <v>44724</v>
      </c>
      <c r="D2657">
        <v>6</v>
      </c>
      <c r="E2657" t="s">
        <v>21</v>
      </c>
      <c r="F2657" t="s">
        <v>303</v>
      </c>
      <c r="G2657" t="s">
        <v>338</v>
      </c>
      <c r="H2657">
        <v>130391</v>
      </c>
      <c r="I2657">
        <v>0</v>
      </c>
      <c r="J2657">
        <f t="shared" si="66"/>
        <v>130391</v>
      </c>
      <c r="L2657">
        <v>148659</v>
      </c>
      <c r="O2657" t="s">
        <v>305</v>
      </c>
    </row>
    <row r="2658" spans="2:15" x14ac:dyDescent="0.25">
      <c r="B2658" t="s">
        <v>36</v>
      </c>
      <c r="C2658" s="4">
        <v>44724</v>
      </c>
      <c r="D2658">
        <v>6</v>
      </c>
      <c r="E2658" t="s">
        <v>21</v>
      </c>
      <c r="F2658" t="s">
        <v>300</v>
      </c>
      <c r="G2658" t="s">
        <v>338</v>
      </c>
      <c r="H2658">
        <v>5700</v>
      </c>
      <c r="I2658">
        <v>0</v>
      </c>
      <c r="J2658">
        <f t="shared" si="66"/>
        <v>5700</v>
      </c>
      <c r="K2658" t="s">
        <v>340</v>
      </c>
      <c r="O2658" t="s">
        <v>306</v>
      </c>
    </row>
    <row r="2659" spans="2:15" x14ac:dyDescent="0.25">
      <c r="B2659" t="s">
        <v>36</v>
      </c>
      <c r="C2659" s="4">
        <v>44724</v>
      </c>
      <c r="D2659">
        <v>6</v>
      </c>
      <c r="E2659" t="s">
        <v>21</v>
      </c>
      <c r="F2659" t="s">
        <v>300</v>
      </c>
      <c r="G2659" t="s">
        <v>338</v>
      </c>
      <c r="H2659">
        <v>22800</v>
      </c>
      <c r="I2659">
        <v>0</v>
      </c>
      <c r="J2659">
        <f t="shared" si="66"/>
        <v>22800</v>
      </c>
      <c r="K2659" t="s">
        <v>340</v>
      </c>
      <c r="O2659" t="s">
        <v>311</v>
      </c>
    </row>
    <row r="2660" spans="2:15" x14ac:dyDescent="0.25">
      <c r="B2660" t="s">
        <v>36</v>
      </c>
      <c r="C2660" s="4">
        <v>44724</v>
      </c>
      <c r="D2660">
        <v>6</v>
      </c>
      <c r="E2660" t="s">
        <v>21</v>
      </c>
      <c r="F2660" t="s">
        <v>313</v>
      </c>
      <c r="G2660" t="s">
        <v>338</v>
      </c>
      <c r="H2660">
        <v>8836</v>
      </c>
      <c r="I2660">
        <v>0</v>
      </c>
      <c r="J2660">
        <f t="shared" si="66"/>
        <v>8836</v>
      </c>
      <c r="K2660" t="s">
        <v>340</v>
      </c>
      <c r="O2660" t="s">
        <v>312</v>
      </c>
    </row>
    <row r="2661" spans="2:15" x14ac:dyDescent="0.25">
      <c r="B2661" t="s">
        <v>36</v>
      </c>
      <c r="C2661" s="4">
        <v>44724</v>
      </c>
      <c r="D2661">
        <v>6</v>
      </c>
      <c r="E2661" t="s">
        <v>21</v>
      </c>
      <c r="F2661" t="s">
        <v>314</v>
      </c>
      <c r="G2661" t="s">
        <v>338</v>
      </c>
      <c r="H2661">
        <v>17670</v>
      </c>
      <c r="I2661">
        <v>0</v>
      </c>
      <c r="J2661">
        <f t="shared" si="66"/>
        <v>17670</v>
      </c>
      <c r="K2661" t="s">
        <v>340</v>
      </c>
      <c r="O2661" t="s">
        <v>314</v>
      </c>
    </row>
    <row r="2662" spans="2:15" x14ac:dyDescent="0.25">
      <c r="B2662" t="s">
        <v>36</v>
      </c>
      <c r="C2662" s="4">
        <v>44724</v>
      </c>
      <c r="D2662">
        <v>6</v>
      </c>
      <c r="E2662" t="s">
        <v>38</v>
      </c>
      <c r="F2662" t="s">
        <v>294</v>
      </c>
      <c r="G2662" t="s">
        <v>338</v>
      </c>
      <c r="H2662">
        <v>18268</v>
      </c>
      <c r="J2662">
        <f t="shared" si="66"/>
        <v>18268</v>
      </c>
      <c r="L2662" t="s">
        <v>341</v>
      </c>
    </row>
    <row r="2663" spans="2:15" x14ac:dyDescent="0.25">
      <c r="B2663" t="s">
        <v>36</v>
      </c>
      <c r="C2663" s="4">
        <v>44724</v>
      </c>
      <c r="D2663">
        <v>6</v>
      </c>
      <c r="E2663" t="s">
        <v>16</v>
      </c>
      <c r="F2663" t="s">
        <v>17</v>
      </c>
      <c r="G2663" t="s">
        <v>338</v>
      </c>
      <c r="I2663">
        <v>345643</v>
      </c>
      <c r="J2663">
        <f t="shared" si="66"/>
        <v>-345643</v>
      </c>
    </row>
    <row r="2664" spans="2:15" x14ac:dyDescent="0.25">
      <c r="B2664" t="s">
        <v>36</v>
      </c>
      <c r="C2664" s="4">
        <v>44754</v>
      </c>
      <c r="D2664">
        <v>7</v>
      </c>
      <c r="E2664" t="s">
        <v>21</v>
      </c>
      <c r="F2664" t="s">
        <v>300</v>
      </c>
      <c r="G2664" t="s">
        <v>338</v>
      </c>
      <c r="H2664">
        <v>54388</v>
      </c>
      <c r="I2664">
        <v>0</v>
      </c>
      <c r="J2664">
        <f t="shared" si="66"/>
        <v>54388</v>
      </c>
      <c r="O2664" t="s">
        <v>301</v>
      </c>
    </row>
    <row r="2665" spans="2:15" x14ac:dyDescent="0.25">
      <c r="B2665" t="s">
        <v>36</v>
      </c>
      <c r="C2665" s="4">
        <v>44754</v>
      </c>
      <c r="D2665">
        <v>7</v>
      </c>
      <c r="E2665" t="s">
        <v>21</v>
      </c>
      <c r="F2665" t="s">
        <v>300</v>
      </c>
      <c r="G2665" t="s">
        <v>338</v>
      </c>
      <c r="H2665">
        <v>54340</v>
      </c>
      <c r="I2665">
        <v>0</v>
      </c>
      <c r="J2665">
        <f t="shared" si="66"/>
        <v>54340</v>
      </c>
      <c r="O2665" t="s">
        <v>302</v>
      </c>
    </row>
    <row r="2666" spans="2:15" x14ac:dyDescent="0.25">
      <c r="B2666" t="s">
        <v>36</v>
      </c>
      <c r="C2666" s="4">
        <v>44754</v>
      </c>
      <c r="D2666">
        <v>7</v>
      </c>
      <c r="E2666" t="s">
        <v>21</v>
      </c>
      <c r="F2666" t="s">
        <v>303</v>
      </c>
      <c r="G2666" t="s">
        <v>338</v>
      </c>
      <c r="H2666">
        <v>33250</v>
      </c>
      <c r="I2666">
        <v>0</v>
      </c>
      <c r="J2666">
        <f t="shared" si="66"/>
        <v>33250</v>
      </c>
      <c r="O2666" t="s">
        <v>304</v>
      </c>
    </row>
    <row r="2667" spans="2:15" x14ac:dyDescent="0.25">
      <c r="B2667" t="s">
        <v>36</v>
      </c>
      <c r="C2667" s="4">
        <v>44754</v>
      </c>
      <c r="D2667">
        <v>7</v>
      </c>
      <c r="E2667" t="s">
        <v>21</v>
      </c>
      <c r="F2667" t="s">
        <v>303</v>
      </c>
      <c r="G2667" t="s">
        <v>338</v>
      </c>
      <c r="H2667">
        <v>148659</v>
      </c>
      <c r="I2667">
        <v>0</v>
      </c>
      <c r="J2667">
        <f t="shared" si="66"/>
        <v>148659</v>
      </c>
      <c r="O2667" t="s">
        <v>305</v>
      </c>
    </row>
    <row r="2668" spans="2:15" x14ac:dyDescent="0.25">
      <c r="B2668" t="s">
        <v>36</v>
      </c>
      <c r="C2668" s="4">
        <v>44754</v>
      </c>
      <c r="D2668">
        <v>7</v>
      </c>
      <c r="E2668" t="s">
        <v>21</v>
      </c>
      <c r="F2668" t="s">
        <v>300</v>
      </c>
      <c r="G2668" t="s">
        <v>338</v>
      </c>
      <c r="H2668">
        <v>5700</v>
      </c>
      <c r="I2668">
        <v>0</v>
      </c>
      <c r="J2668">
        <f t="shared" si="66"/>
        <v>5700</v>
      </c>
      <c r="O2668" t="s">
        <v>306</v>
      </c>
    </row>
    <row r="2669" spans="2:15" x14ac:dyDescent="0.25">
      <c r="B2669" t="s">
        <v>36</v>
      </c>
      <c r="C2669" s="4">
        <v>44754</v>
      </c>
      <c r="D2669">
        <v>7</v>
      </c>
      <c r="E2669" t="s">
        <v>21</v>
      </c>
      <c r="F2669" t="s">
        <v>300</v>
      </c>
      <c r="G2669" t="s">
        <v>338</v>
      </c>
      <c r="H2669">
        <v>22800</v>
      </c>
      <c r="I2669">
        <v>0</v>
      </c>
      <c r="J2669">
        <f t="shared" si="66"/>
        <v>22800</v>
      </c>
      <c r="O2669" t="s">
        <v>311</v>
      </c>
    </row>
    <row r="2670" spans="2:15" x14ac:dyDescent="0.25">
      <c r="B2670" t="s">
        <v>36</v>
      </c>
      <c r="C2670" s="4">
        <v>44754</v>
      </c>
      <c r="D2670">
        <v>7</v>
      </c>
      <c r="E2670" t="s">
        <v>21</v>
      </c>
      <c r="F2670" t="s">
        <v>313</v>
      </c>
      <c r="G2670" t="s">
        <v>338</v>
      </c>
      <c r="H2670">
        <v>8836</v>
      </c>
      <c r="I2670">
        <v>0</v>
      </c>
      <c r="J2670">
        <f t="shared" si="66"/>
        <v>8836</v>
      </c>
      <c r="O2670" t="s">
        <v>312</v>
      </c>
    </row>
    <row r="2671" spans="2:15" x14ac:dyDescent="0.25">
      <c r="B2671" t="s">
        <v>36</v>
      </c>
      <c r="C2671" s="4">
        <v>44754</v>
      </c>
      <c r="D2671">
        <v>7</v>
      </c>
      <c r="E2671" t="s">
        <v>21</v>
      </c>
      <c r="F2671" t="s">
        <v>314</v>
      </c>
      <c r="G2671" t="s">
        <v>338</v>
      </c>
      <c r="H2671">
        <v>17670</v>
      </c>
      <c r="I2671">
        <v>0</v>
      </c>
      <c r="J2671">
        <f t="shared" si="66"/>
        <v>17670</v>
      </c>
      <c r="O2671" t="s">
        <v>314</v>
      </c>
    </row>
    <row r="2672" spans="2:15" x14ac:dyDescent="0.25">
      <c r="B2672" t="s">
        <v>36</v>
      </c>
      <c r="C2672" s="4">
        <v>44754</v>
      </c>
      <c r="D2672">
        <v>7</v>
      </c>
      <c r="E2672" t="s">
        <v>16</v>
      </c>
      <c r="F2672" t="s">
        <v>17</v>
      </c>
      <c r="G2672" t="s">
        <v>338</v>
      </c>
      <c r="I2672">
        <v>345643</v>
      </c>
      <c r="J2672">
        <f t="shared" si="66"/>
        <v>-345643</v>
      </c>
    </row>
    <row r="2673" spans="2:15" x14ac:dyDescent="0.25">
      <c r="B2673" t="s">
        <v>36</v>
      </c>
      <c r="C2673" s="4">
        <v>44785</v>
      </c>
      <c r="D2673">
        <v>8</v>
      </c>
      <c r="E2673" t="s">
        <v>21</v>
      </c>
      <c r="F2673" t="s">
        <v>300</v>
      </c>
      <c r="G2673" t="s">
        <v>338</v>
      </c>
      <c r="H2673">
        <v>54388</v>
      </c>
      <c r="I2673">
        <v>0</v>
      </c>
      <c r="J2673">
        <f t="shared" si="66"/>
        <v>54388</v>
      </c>
      <c r="O2673" t="s">
        <v>301</v>
      </c>
    </row>
    <row r="2674" spans="2:15" x14ac:dyDescent="0.25">
      <c r="B2674" t="s">
        <v>36</v>
      </c>
      <c r="C2674" s="4">
        <v>44785</v>
      </c>
      <c r="D2674">
        <v>8</v>
      </c>
      <c r="E2674" t="s">
        <v>21</v>
      </c>
      <c r="F2674" t="s">
        <v>300</v>
      </c>
      <c r="G2674" t="s">
        <v>338</v>
      </c>
      <c r="H2674">
        <v>54340</v>
      </c>
      <c r="I2674">
        <v>0</v>
      </c>
      <c r="J2674">
        <f t="shared" si="66"/>
        <v>54340</v>
      </c>
      <c r="O2674" t="s">
        <v>302</v>
      </c>
    </row>
    <row r="2675" spans="2:15" x14ac:dyDescent="0.25">
      <c r="B2675" t="s">
        <v>36</v>
      </c>
      <c r="C2675" s="4">
        <v>44785</v>
      </c>
      <c r="D2675">
        <v>8</v>
      </c>
      <c r="E2675" t="s">
        <v>21</v>
      </c>
      <c r="F2675" t="s">
        <v>303</v>
      </c>
      <c r="G2675" t="s">
        <v>338</v>
      </c>
      <c r="H2675">
        <v>33250</v>
      </c>
      <c r="I2675">
        <v>0</v>
      </c>
      <c r="J2675">
        <f t="shared" si="66"/>
        <v>33250</v>
      </c>
      <c r="O2675" t="s">
        <v>304</v>
      </c>
    </row>
    <row r="2676" spans="2:15" x14ac:dyDescent="0.25">
      <c r="B2676" t="s">
        <v>36</v>
      </c>
      <c r="C2676" s="4">
        <v>44785</v>
      </c>
      <c r="D2676">
        <v>8</v>
      </c>
      <c r="E2676" t="s">
        <v>21</v>
      </c>
      <c r="F2676" t="s">
        <v>303</v>
      </c>
      <c r="G2676" t="s">
        <v>338</v>
      </c>
      <c r="H2676">
        <v>150144</v>
      </c>
      <c r="I2676">
        <v>0</v>
      </c>
      <c r="J2676">
        <f t="shared" si="66"/>
        <v>150144</v>
      </c>
      <c r="O2676" t="s">
        <v>305</v>
      </c>
    </row>
    <row r="2677" spans="2:15" x14ac:dyDescent="0.25">
      <c r="B2677" t="s">
        <v>36</v>
      </c>
      <c r="C2677" s="4">
        <v>44785</v>
      </c>
      <c r="D2677">
        <v>8</v>
      </c>
      <c r="E2677" t="s">
        <v>21</v>
      </c>
      <c r="F2677" t="s">
        <v>300</v>
      </c>
      <c r="G2677" t="s">
        <v>338</v>
      </c>
      <c r="H2677">
        <v>5700</v>
      </c>
      <c r="I2677">
        <v>0</v>
      </c>
      <c r="J2677">
        <f t="shared" si="66"/>
        <v>5700</v>
      </c>
      <c r="O2677" t="s">
        <v>306</v>
      </c>
    </row>
    <row r="2678" spans="2:15" x14ac:dyDescent="0.25">
      <c r="B2678" t="s">
        <v>36</v>
      </c>
      <c r="C2678" s="4">
        <v>44785</v>
      </c>
      <c r="D2678">
        <v>8</v>
      </c>
      <c r="E2678" t="s">
        <v>21</v>
      </c>
      <c r="F2678" t="s">
        <v>300</v>
      </c>
      <c r="G2678" t="s">
        <v>338</v>
      </c>
      <c r="H2678">
        <v>22800</v>
      </c>
      <c r="I2678">
        <v>0</v>
      </c>
      <c r="J2678">
        <f t="shared" si="66"/>
        <v>22800</v>
      </c>
      <c r="O2678" t="s">
        <v>311</v>
      </c>
    </row>
    <row r="2679" spans="2:15" x14ac:dyDescent="0.25">
      <c r="B2679" t="s">
        <v>36</v>
      </c>
      <c r="C2679" s="4">
        <v>44785</v>
      </c>
      <c r="D2679">
        <v>8</v>
      </c>
      <c r="E2679" t="s">
        <v>21</v>
      </c>
      <c r="F2679" t="s">
        <v>313</v>
      </c>
      <c r="G2679" t="s">
        <v>338</v>
      </c>
      <c r="H2679">
        <v>8836</v>
      </c>
      <c r="I2679">
        <v>0</v>
      </c>
      <c r="J2679">
        <f t="shared" si="66"/>
        <v>8836</v>
      </c>
      <c r="O2679" t="s">
        <v>312</v>
      </c>
    </row>
    <row r="2680" spans="2:15" x14ac:dyDescent="0.25">
      <c r="B2680" t="s">
        <v>36</v>
      </c>
      <c r="C2680" s="4">
        <v>44785</v>
      </c>
      <c r="D2680">
        <v>8</v>
      </c>
      <c r="E2680" t="s">
        <v>21</v>
      </c>
      <c r="F2680" t="s">
        <v>314</v>
      </c>
      <c r="G2680" t="s">
        <v>338</v>
      </c>
      <c r="H2680">
        <v>17480</v>
      </c>
      <c r="I2680">
        <v>0</v>
      </c>
      <c r="J2680">
        <f t="shared" si="66"/>
        <v>17480</v>
      </c>
      <c r="O2680" t="s">
        <v>314</v>
      </c>
    </row>
    <row r="2681" spans="2:15" x14ac:dyDescent="0.25">
      <c r="B2681" t="s">
        <v>36</v>
      </c>
      <c r="C2681" s="4">
        <v>44785</v>
      </c>
      <c r="D2681">
        <v>8</v>
      </c>
      <c r="E2681" t="s">
        <v>16</v>
      </c>
      <c r="F2681" t="s">
        <v>17</v>
      </c>
      <c r="G2681" t="s">
        <v>338</v>
      </c>
      <c r="I2681">
        <v>346938</v>
      </c>
      <c r="J2681">
        <f t="shared" si="66"/>
        <v>-346938</v>
      </c>
    </row>
    <row r="2682" spans="2:15" x14ac:dyDescent="0.25">
      <c r="B2682" t="s">
        <v>36</v>
      </c>
      <c r="C2682" s="4">
        <v>44816</v>
      </c>
      <c r="D2682">
        <v>9</v>
      </c>
      <c r="E2682" t="s">
        <v>21</v>
      </c>
      <c r="F2682" t="s">
        <v>300</v>
      </c>
      <c r="G2682" t="s">
        <v>338</v>
      </c>
      <c r="H2682">
        <v>57250</v>
      </c>
      <c r="I2682">
        <v>0</v>
      </c>
      <c r="J2682">
        <f t="shared" si="66"/>
        <v>57250</v>
      </c>
      <c r="O2682" t="s">
        <v>301</v>
      </c>
    </row>
    <row r="2683" spans="2:15" x14ac:dyDescent="0.25">
      <c r="B2683" t="s">
        <v>36</v>
      </c>
      <c r="C2683" s="4">
        <v>44816</v>
      </c>
      <c r="D2683">
        <v>9</v>
      </c>
      <c r="E2683" t="s">
        <v>21</v>
      </c>
      <c r="F2683" t="s">
        <v>300</v>
      </c>
      <c r="G2683" t="s">
        <v>338</v>
      </c>
      <c r="H2683">
        <v>57200</v>
      </c>
      <c r="I2683">
        <v>0</v>
      </c>
      <c r="J2683">
        <f t="shared" si="66"/>
        <v>57200</v>
      </c>
      <c r="O2683" t="s">
        <v>302</v>
      </c>
    </row>
    <row r="2684" spans="2:15" x14ac:dyDescent="0.25">
      <c r="B2684" t="s">
        <v>36</v>
      </c>
      <c r="C2684" s="4">
        <v>44816</v>
      </c>
      <c r="D2684">
        <v>9</v>
      </c>
      <c r="E2684" t="s">
        <v>21</v>
      </c>
      <c r="F2684" t="s">
        <v>303</v>
      </c>
      <c r="G2684" t="s">
        <v>338</v>
      </c>
      <c r="H2684">
        <v>35000</v>
      </c>
      <c r="I2684">
        <v>0</v>
      </c>
      <c r="J2684">
        <f t="shared" si="66"/>
        <v>35000</v>
      </c>
      <c r="O2684" t="s">
        <v>304</v>
      </c>
    </row>
    <row r="2685" spans="2:15" x14ac:dyDescent="0.25">
      <c r="B2685" t="s">
        <v>36</v>
      </c>
      <c r="C2685" s="4">
        <v>44816</v>
      </c>
      <c r="D2685">
        <v>9</v>
      </c>
      <c r="E2685" t="s">
        <v>21</v>
      </c>
      <c r="F2685" t="s">
        <v>303</v>
      </c>
      <c r="G2685" t="s">
        <v>338</v>
      </c>
      <c r="H2685">
        <v>152027</v>
      </c>
      <c r="I2685">
        <v>0</v>
      </c>
      <c r="J2685">
        <f t="shared" si="66"/>
        <v>152027</v>
      </c>
      <c r="O2685" t="s">
        <v>305</v>
      </c>
    </row>
    <row r="2686" spans="2:15" x14ac:dyDescent="0.25">
      <c r="B2686" t="s">
        <v>36</v>
      </c>
      <c r="C2686" s="4">
        <v>44816</v>
      </c>
      <c r="D2686">
        <v>9</v>
      </c>
      <c r="E2686" t="s">
        <v>21</v>
      </c>
      <c r="F2686" t="s">
        <v>300</v>
      </c>
      <c r="G2686" t="s">
        <v>338</v>
      </c>
      <c r="H2686">
        <v>6000</v>
      </c>
      <c r="I2686">
        <v>0</v>
      </c>
      <c r="J2686">
        <f t="shared" si="66"/>
        <v>6000</v>
      </c>
      <c r="O2686" t="s">
        <v>306</v>
      </c>
    </row>
    <row r="2687" spans="2:15" x14ac:dyDescent="0.25">
      <c r="B2687" t="s">
        <v>36</v>
      </c>
      <c r="C2687" s="4">
        <v>44816</v>
      </c>
      <c r="D2687">
        <v>9</v>
      </c>
      <c r="E2687" t="s">
        <v>21</v>
      </c>
      <c r="F2687" t="s">
        <v>300</v>
      </c>
      <c r="G2687" t="s">
        <v>338</v>
      </c>
      <c r="H2687">
        <v>24000</v>
      </c>
      <c r="I2687">
        <v>0</v>
      </c>
      <c r="J2687">
        <f t="shared" si="66"/>
        <v>24000</v>
      </c>
      <c r="O2687" t="s">
        <v>311</v>
      </c>
    </row>
    <row r="2688" spans="2:15" x14ac:dyDescent="0.25">
      <c r="B2688" t="s">
        <v>36</v>
      </c>
      <c r="C2688" s="4">
        <v>44816</v>
      </c>
      <c r="D2688">
        <v>9</v>
      </c>
      <c r="E2688" t="s">
        <v>21</v>
      </c>
      <c r="F2688" t="s">
        <v>313</v>
      </c>
      <c r="G2688" t="s">
        <v>338</v>
      </c>
      <c r="H2688">
        <v>9300</v>
      </c>
      <c r="I2688">
        <v>0</v>
      </c>
      <c r="J2688">
        <f t="shared" si="66"/>
        <v>9300</v>
      </c>
      <c r="O2688" t="s">
        <v>312</v>
      </c>
    </row>
    <row r="2689" spans="2:15" x14ac:dyDescent="0.25">
      <c r="B2689" t="s">
        <v>36</v>
      </c>
      <c r="C2689" s="4">
        <v>44816</v>
      </c>
      <c r="D2689">
        <v>9</v>
      </c>
      <c r="E2689" t="s">
        <v>21</v>
      </c>
      <c r="F2689" t="s">
        <v>314</v>
      </c>
      <c r="G2689" t="s">
        <v>338</v>
      </c>
      <c r="H2689">
        <v>18400</v>
      </c>
      <c r="I2689">
        <v>0</v>
      </c>
      <c r="J2689">
        <f t="shared" si="66"/>
        <v>18400</v>
      </c>
      <c r="O2689" t="s">
        <v>314</v>
      </c>
    </row>
    <row r="2690" spans="2:15" x14ac:dyDescent="0.25">
      <c r="B2690" t="s">
        <v>36</v>
      </c>
      <c r="C2690" s="4">
        <v>44816</v>
      </c>
      <c r="D2690">
        <v>9</v>
      </c>
      <c r="E2690" t="s">
        <v>16</v>
      </c>
      <c r="F2690" t="s">
        <v>17</v>
      </c>
      <c r="G2690" t="s">
        <v>338</v>
      </c>
      <c r="I2690">
        <v>359177</v>
      </c>
      <c r="J2690">
        <f t="shared" si="66"/>
        <v>-359177</v>
      </c>
    </row>
    <row r="2691" spans="2:15" x14ac:dyDescent="0.25">
      <c r="B2691" t="s">
        <v>36</v>
      </c>
      <c r="C2691" s="4">
        <v>44846</v>
      </c>
      <c r="D2691">
        <v>10</v>
      </c>
      <c r="E2691" t="s">
        <v>21</v>
      </c>
      <c r="F2691" t="s">
        <v>300</v>
      </c>
      <c r="G2691" t="s">
        <v>338</v>
      </c>
      <c r="H2691">
        <v>57250</v>
      </c>
      <c r="I2691">
        <v>0</v>
      </c>
      <c r="J2691">
        <f t="shared" si="66"/>
        <v>57250</v>
      </c>
      <c r="O2691" t="s">
        <v>301</v>
      </c>
    </row>
    <row r="2692" spans="2:15" x14ac:dyDescent="0.25">
      <c r="B2692" t="s">
        <v>36</v>
      </c>
      <c r="C2692" s="4">
        <v>44846</v>
      </c>
      <c r="D2692">
        <v>10</v>
      </c>
      <c r="E2692" t="s">
        <v>21</v>
      </c>
      <c r="F2692" t="s">
        <v>300</v>
      </c>
      <c r="G2692" t="s">
        <v>338</v>
      </c>
      <c r="H2692">
        <v>57200</v>
      </c>
      <c r="I2692">
        <v>0</v>
      </c>
      <c r="J2692">
        <f t="shared" si="66"/>
        <v>57200</v>
      </c>
      <c r="O2692" t="s">
        <v>302</v>
      </c>
    </row>
    <row r="2693" spans="2:15" x14ac:dyDescent="0.25">
      <c r="B2693" t="s">
        <v>36</v>
      </c>
      <c r="C2693" s="4">
        <v>44846</v>
      </c>
      <c r="D2693">
        <v>10</v>
      </c>
      <c r="E2693" t="s">
        <v>21</v>
      </c>
      <c r="F2693" t="s">
        <v>303</v>
      </c>
      <c r="G2693" t="s">
        <v>338</v>
      </c>
      <c r="H2693">
        <v>35000</v>
      </c>
      <c r="I2693">
        <v>0</v>
      </c>
      <c r="J2693">
        <f t="shared" si="66"/>
        <v>35000</v>
      </c>
      <c r="O2693" t="s">
        <v>304</v>
      </c>
    </row>
    <row r="2694" spans="2:15" x14ac:dyDescent="0.25">
      <c r="B2694" t="s">
        <v>36</v>
      </c>
      <c r="C2694" s="4">
        <v>44846</v>
      </c>
      <c r="D2694">
        <v>10</v>
      </c>
      <c r="E2694" t="s">
        <v>21</v>
      </c>
      <c r="F2694" t="s">
        <v>303</v>
      </c>
      <c r="G2694" t="s">
        <v>338</v>
      </c>
      <c r="H2694">
        <v>153922</v>
      </c>
      <c r="I2694">
        <v>0</v>
      </c>
      <c r="J2694">
        <f t="shared" si="66"/>
        <v>153922</v>
      </c>
      <c r="O2694" t="s">
        <v>305</v>
      </c>
    </row>
    <row r="2695" spans="2:15" x14ac:dyDescent="0.25">
      <c r="B2695" t="s">
        <v>36</v>
      </c>
      <c r="C2695" s="4">
        <v>44846</v>
      </c>
      <c r="D2695">
        <v>10</v>
      </c>
      <c r="E2695" t="s">
        <v>21</v>
      </c>
      <c r="F2695" t="s">
        <v>300</v>
      </c>
      <c r="G2695" t="s">
        <v>338</v>
      </c>
      <c r="H2695">
        <v>6000</v>
      </c>
      <c r="I2695">
        <v>0</v>
      </c>
      <c r="J2695">
        <f t="shared" si="66"/>
        <v>6000</v>
      </c>
      <c r="O2695" t="s">
        <v>306</v>
      </c>
    </row>
    <row r="2696" spans="2:15" x14ac:dyDescent="0.25">
      <c r="B2696" t="s">
        <v>36</v>
      </c>
      <c r="C2696" s="4">
        <v>44846</v>
      </c>
      <c r="D2696">
        <v>10</v>
      </c>
      <c r="E2696" t="s">
        <v>21</v>
      </c>
      <c r="F2696" t="s">
        <v>300</v>
      </c>
      <c r="G2696" t="s">
        <v>338</v>
      </c>
      <c r="H2696">
        <v>24000</v>
      </c>
      <c r="I2696">
        <v>0</v>
      </c>
      <c r="J2696">
        <f t="shared" si="66"/>
        <v>24000</v>
      </c>
      <c r="O2696" t="s">
        <v>311</v>
      </c>
    </row>
    <row r="2697" spans="2:15" x14ac:dyDescent="0.25">
      <c r="B2697" t="s">
        <v>36</v>
      </c>
      <c r="C2697" s="4">
        <v>44846</v>
      </c>
      <c r="D2697">
        <v>10</v>
      </c>
      <c r="E2697" t="s">
        <v>21</v>
      </c>
      <c r="F2697" t="s">
        <v>313</v>
      </c>
      <c r="G2697" t="s">
        <v>338</v>
      </c>
      <c r="H2697">
        <v>9300</v>
      </c>
      <c r="I2697">
        <v>0</v>
      </c>
      <c r="J2697">
        <f t="shared" si="66"/>
        <v>9300</v>
      </c>
      <c r="O2697" t="s">
        <v>312</v>
      </c>
    </row>
    <row r="2698" spans="2:15" x14ac:dyDescent="0.25">
      <c r="B2698" t="s">
        <v>36</v>
      </c>
      <c r="C2698" s="4">
        <v>44846</v>
      </c>
      <c r="D2698">
        <v>10</v>
      </c>
      <c r="E2698" t="s">
        <v>21</v>
      </c>
      <c r="F2698" t="s">
        <v>314</v>
      </c>
      <c r="G2698" t="s">
        <v>338</v>
      </c>
      <c r="H2698">
        <v>18400</v>
      </c>
      <c r="I2698">
        <v>0</v>
      </c>
      <c r="J2698">
        <f t="shared" si="66"/>
        <v>18400</v>
      </c>
      <c r="O2698" t="s">
        <v>314</v>
      </c>
    </row>
    <row r="2699" spans="2:15" x14ac:dyDescent="0.25">
      <c r="B2699" t="s">
        <v>36</v>
      </c>
      <c r="C2699" s="4">
        <v>44846</v>
      </c>
      <c r="D2699">
        <v>10</v>
      </c>
      <c r="E2699" t="s">
        <v>16</v>
      </c>
      <c r="F2699" t="s">
        <v>17</v>
      </c>
      <c r="G2699" t="s">
        <v>338</v>
      </c>
      <c r="I2699">
        <v>361072</v>
      </c>
      <c r="J2699">
        <f t="shared" si="66"/>
        <v>-361072</v>
      </c>
    </row>
    <row r="2700" spans="2:15" x14ac:dyDescent="0.25">
      <c r="B2700" t="s">
        <v>36</v>
      </c>
      <c r="C2700" s="4">
        <v>44877</v>
      </c>
      <c r="D2700">
        <v>11</v>
      </c>
      <c r="E2700" t="s">
        <v>21</v>
      </c>
      <c r="F2700" t="s">
        <v>300</v>
      </c>
      <c r="G2700" t="s">
        <v>338</v>
      </c>
      <c r="H2700">
        <v>57250</v>
      </c>
      <c r="I2700">
        <v>0</v>
      </c>
      <c r="J2700">
        <f t="shared" si="66"/>
        <v>57250</v>
      </c>
      <c r="O2700" t="s">
        <v>301</v>
      </c>
    </row>
    <row r="2701" spans="2:15" x14ac:dyDescent="0.25">
      <c r="B2701" t="s">
        <v>36</v>
      </c>
      <c r="C2701" s="4">
        <v>44877</v>
      </c>
      <c r="D2701">
        <v>11</v>
      </c>
      <c r="E2701" t="s">
        <v>21</v>
      </c>
      <c r="F2701" t="s">
        <v>300</v>
      </c>
      <c r="G2701" t="s">
        <v>338</v>
      </c>
      <c r="H2701">
        <v>57200</v>
      </c>
      <c r="I2701">
        <v>0</v>
      </c>
      <c r="J2701">
        <f t="shared" si="66"/>
        <v>57200</v>
      </c>
      <c r="O2701" t="s">
        <v>302</v>
      </c>
    </row>
    <row r="2702" spans="2:15" x14ac:dyDescent="0.25">
      <c r="B2702" t="s">
        <v>36</v>
      </c>
      <c r="C2702" s="4">
        <v>44877</v>
      </c>
      <c r="D2702">
        <v>11</v>
      </c>
      <c r="E2702" t="s">
        <v>21</v>
      </c>
      <c r="F2702" t="s">
        <v>303</v>
      </c>
      <c r="G2702" t="s">
        <v>338</v>
      </c>
      <c r="H2702">
        <v>35000</v>
      </c>
      <c r="I2702">
        <v>0</v>
      </c>
      <c r="J2702">
        <f t="shared" si="66"/>
        <v>35000</v>
      </c>
      <c r="O2702" t="s">
        <v>304</v>
      </c>
    </row>
    <row r="2703" spans="2:15" x14ac:dyDescent="0.25">
      <c r="B2703" t="s">
        <v>36</v>
      </c>
      <c r="C2703" s="4">
        <v>44877</v>
      </c>
      <c r="D2703">
        <v>11</v>
      </c>
      <c r="E2703" t="s">
        <v>21</v>
      </c>
      <c r="F2703" t="s">
        <v>303</v>
      </c>
      <c r="G2703" t="s">
        <v>338</v>
      </c>
      <c r="H2703">
        <v>156463</v>
      </c>
      <c r="I2703">
        <v>0</v>
      </c>
      <c r="J2703">
        <f t="shared" si="66"/>
        <v>156463</v>
      </c>
      <c r="O2703" t="s">
        <v>305</v>
      </c>
    </row>
    <row r="2704" spans="2:15" x14ac:dyDescent="0.25">
      <c r="B2704" t="s">
        <v>36</v>
      </c>
      <c r="C2704" s="4">
        <v>44877</v>
      </c>
      <c r="D2704">
        <v>11</v>
      </c>
      <c r="E2704" t="s">
        <v>21</v>
      </c>
      <c r="F2704" t="s">
        <v>300</v>
      </c>
      <c r="G2704" t="s">
        <v>338</v>
      </c>
      <c r="H2704">
        <v>6000</v>
      </c>
      <c r="I2704">
        <v>0</v>
      </c>
      <c r="J2704">
        <f t="shared" si="66"/>
        <v>6000</v>
      </c>
      <c r="O2704" t="s">
        <v>306</v>
      </c>
    </row>
    <row r="2705" spans="2:15" x14ac:dyDescent="0.25">
      <c r="B2705" t="s">
        <v>36</v>
      </c>
      <c r="C2705" s="4">
        <v>44877</v>
      </c>
      <c r="D2705">
        <v>11</v>
      </c>
      <c r="E2705" t="s">
        <v>21</v>
      </c>
      <c r="F2705" t="s">
        <v>300</v>
      </c>
      <c r="G2705" t="s">
        <v>338</v>
      </c>
      <c r="H2705">
        <v>24000</v>
      </c>
      <c r="I2705">
        <v>0</v>
      </c>
      <c r="J2705">
        <f t="shared" si="66"/>
        <v>24000</v>
      </c>
      <c r="O2705" t="s">
        <v>311</v>
      </c>
    </row>
    <row r="2706" spans="2:15" x14ac:dyDescent="0.25">
      <c r="B2706" t="s">
        <v>36</v>
      </c>
      <c r="C2706" s="4">
        <v>44877</v>
      </c>
      <c r="D2706">
        <v>11</v>
      </c>
      <c r="E2706" t="s">
        <v>21</v>
      </c>
      <c r="F2706" t="s">
        <v>313</v>
      </c>
      <c r="G2706" t="s">
        <v>338</v>
      </c>
      <c r="H2706">
        <v>9300</v>
      </c>
      <c r="I2706">
        <v>0</v>
      </c>
      <c r="J2706">
        <f t="shared" si="66"/>
        <v>9300</v>
      </c>
      <c r="O2706" t="s">
        <v>312</v>
      </c>
    </row>
    <row r="2707" spans="2:15" x14ac:dyDescent="0.25">
      <c r="B2707" t="s">
        <v>36</v>
      </c>
      <c r="C2707" s="4">
        <v>44877</v>
      </c>
      <c r="D2707">
        <v>11</v>
      </c>
      <c r="E2707" t="s">
        <v>21</v>
      </c>
      <c r="F2707" t="s">
        <v>314</v>
      </c>
      <c r="G2707" t="s">
        <v>338</v>
      </c>
      <c r="H2707">
        <v>15400</v>
      </c>
      <c r="I2707">
        <v>0</v>
      </c>
      <c r="J2707">
        <f t="shared" si="66"/>
        <v>15400</v>
      </c>
      <c r="O2707" t="s">
        <v>314</v>
      </c>
    </row>
    <row r="2708" spans="2:15" x14ac:dyDescent="0.25">
      <c r="B2708" t="s">
        <v>36</v>
      </c>
      <c r="C2708" s="4">
        <v>44877</v>
      </c>
      <c r="D2708">
        <v>11</v>
      </c>
      <c r="E2708" t="s">
        <v>16</v>
      </c>
      <c r="F2708" t="s">
        <v>17</v>
      </c>
      <c r="G2708" t="s">
        <v>338</v>
      </c>
      <c r="I2708">
        <v>360613</v>
      </c>
      <c r="J2708">
        <f t="shared" si="66"/>
        <v>-360613</v>
      </c>
    </row>
    <row r="2709" spans="2:15" x14ac:dyDescent="0.25">
      <c r="B2709" t="s">
        <v>36</v>
      </c>
      <c r="C2709" s="4">
        <v>44907</v>
      </c>
      <c r="D2709">
        <v>12</v>
      </c>
      <c r="E2709" t="s">
        <v>21</v>
      </c>
      <c r="F2709" t="s">
        <v>300</v>
      </c>
      <c r="G2709" t="s">
        <v>338</v>
      </c>
      <c r="H2709">
        <v>38167</v>
      </c>
      <c r="I2709">
        <v>0</v>
      </c>
      <c r="J2709">
        <f t="shared" si="66"/>
        <v>38167</v>
      </c>
      <c r="O2709" t="s">
        <v>301</v>
      </c>
    </row>
    <row r="2710" spans="2:15" x14ac:dyDescent="0.25">
      <c r="B2710" t="s">
        <v>36</v>
      </c>
      <c r="C2710" s="4">
        <v>44907</v>
      </c>
      <c r="D2710">
        <v>12</v>
      </c>
      <c r="E2710" t="s">
        <v>21</v>
      </c>
      <c r="F2710" t="s">
        <v>300</v>
      </c>
      <c r="G2710" t="s">
        <v>338</v>
      </c>
      <c r="H2710">
        <v>57200</v>
      </c>
      <c r="I2710">
        <v>0</v>
      </c>
      <c r="J2710">
        <f t="shared" si="66"/>
        <v>57200</v>
      </c>
      <c r="O2710" t="s">
        <v>302</v>
      </c>
    </row>
    <row r="2711" spans="2:15" x14ac:dyDescent="0.25">
      <c r="B2711" t="s">
        <v>36</v>
      </c>
      <c r="C2711" s="4">
        <v>44907</v>
      </c>
      <c r="D2711">
        <v>12</v>
      </c>
      <c r="E2711" t="s">
        <v>21</v>
      </c>
      <c r="F2711" t="s">
        <v>303</v>
      </c>
      <c r="G2711" t="s">
        <v>338</v>
      </c>
      <c r="H2711">
        <v>35000</v>
      </c>
      <c r="I2711">
        <v>0</v>
      </c>
      <c r="J2711">
        <f t="shared" si="66"/>
        <v>35000</v>
      </c>
      <c r="O2711" t="s">
        <v>304</v>
      </c>
    </row>
    <row r="2712" spans="2:15" x14ac:dyDescent="0.25">
      <c r="B2712" t="s">
        <v>36</v>
      </c>
      <c r="C2712" s="4">
        <v>44907</v>
      </c>
      <c r="D2712">
        <v>12</v>
      </c>
      <c r="E2712" t="s">
        <v>21</v>
      </c>
      <c r="F2712" t="s">
        <v>303</v>
      </c>
      <c r="G2712" t="s">
        <v>338</v>
      </c>
      <c r="H2712">
        <v>104946</v>
      </c>
      <c r="I2712">
        <v>0</v>
      </c>
      <c r="J2712">
        <f t="shared" si="66"/>
        <v>104946</v>
      </c>
      <c r="O2712" t="s">
        <v>305</v>
      </c>
    </row>
    <row r="2713" spans="2:15" x14ac:dyDescent="0.25">
      <c r="B2713" t="s">
        <v>36</v>
      </c>
      <c r="C2713" s="4">
        <v>44907</v>
      </c>
      <c r="D2713">
        <v>12</v>
      </c>
      <c r="E2713" t="s">
        <v>21</v>
      </c>
      <c r="F2713" t="s">
        <v>300</v>
      </c>
      <c r="G2713" t="s">
        <v>338</v>
      </c>
      <c r="H2713">
        <v>5000</v>
      </c>
      <c r="I2713">
        <v>0</v>
      </c>
      <c r="J2713">
        <f t="shared" si="66"/>
        <v>5000</v>
      </c>
      <c r="O2713" t="s">
        <v>306</v>
      </c>
    </row>
    <row r="2714" spans="2:15" x14ac:dyDescent="0.25">
      <c r="B2714" t="s">
        <v>36</v>
      </c>
      <c r="C2714" s="4">
        <v>44907</v>
      </c>
      <c r="D2714">
        <v>12</v>
      </c>
      <c r="E2714" t="s">
        <v>21</v>
      </c>
      <c r="F2714" t="s">
        <v>300</v>
      </c>
      <c r="G2714" t="s">
        <v>338</v>
      </c>
      <c r="H2714">
        <v>24000</v>
      </c>
      <c r="I2714">
        <v>0</v>
      </c>
      <c r="J2714">
        <f t="shared" si="66"/>
        <v>24000</v>
      </c>
      <c r="O2714" t="s">
        <v>311</v>
      </c>
    </row>
    <row r="2715" spans="2:15" x14ac:dyDescent="0.25">
      <c r="B2715" t="s">
        <v>36</v>
      </c>
      <c r="C2715" s="4">
        <v>44907</v>
      </c>
      <c r="D2715">
        <v>12</v>
      </c>
      <c r="E2715" t="s">
        <v>21</v>
      </c>
      <c r="F2715" t="s">
        <v>313</v>
      </c>
      <c r="G2715" t="s">
        <v>338</v>
      </c>
      <c r="H2715">
        <v>7800</v>
      </c>
      <c r="I2715">
        <v>0</v>
      </c>
      <c r="J2715">
        <f t="shared" si="66"/>
        <v>7800</v>
      </c>
      <c r="O2715" t="s">
        <v>312</v>
      </c>
    </row>
    <row r="2716" spans="2:15" x14ac:dyDescent="0.25">
      <c r="B2716" t="s">
        <v>36</v>
      </c>
      <c r="C2716" s="4">
        <v>44907</v>
      </c>
      <c r="D2716">
        <v>12</v>
      </c>
      <c r="E2716" t="s">
        <v>21</v>
      </c>
      <c r="F2716" t="s">
        <v>314</v>
      </c>
      <c r="G2716" t="s">
        <v>338</v>
      </c>
      <c r="H2716">
        <v>15400</v>
      </c>
      <c r="I2716">
        <v>0</v>
      </c>
      <c r="J2716">
        <f t="shared" si="66"/>
        <v>15400</v>
      </c>
      <c r="O2716" t="s">
        <v>314</v>
      </c>
    </row>
    <row r="2717" spans="2:15" x14ac:dyDescent="0.25">
      <c r="B2717" t="s">
        <v>36</v>
      </c>
      <c r="C2717" s="4">
        <v>44907</v>
      </c>
      <c r="D2717">
        <v>12</v>
      </c>
      <c r="E2717" t="s">
        <v>16</v>
      </c>
      <c r="F2717" t="s">
        <v>17</v>
      </c>
      <c r="G2717" t="s">
        <v>338</v>
      </c>
      <c r="I2717">
        <v>287513</v>
      </c>
      <c r="J2717">
        <f t="shared" si="66"/>
        <v>-287513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B1B5-08AF-D44E-938D-7AC0500F90BF}">
  <dimension ref="A1:AB104"/>
  <sheetViews>
    <sheetView tabSelected="1" topLeftCell="P1" workbookViewId="0">
      <selection activeCell="A68" sqref="A68"/>
    </sheetView>
  </sheetViews>
  <sheetFormatPr baseColWidth="10" defaultRowHeight="15.75" x14ac:dyDescent="0.25"/>
  <cols>
    <col min="4" max="4" width="11.125" bestFit="1" customWidth="1"/>
    <col min="5" max="5" width="12.625" bestFit="1" customWidth="1"/>
    <col min="9" max="10" width="15" bestFit="1" customWidth="1"/>
    <col min="11" max="11" width="11.875" bestFit="1" customWidth="1"/>
    <col min="12" max="12" width="10.25" bestFit="1" customWidth="1"/>
    <col min="15" max="15" width="16.375" bestFit="1" customWidth="1"/>
    <col min="17" max="17" width="19.25" bestFit="1" customWidth="1"/>
    <col min="18" max="18" width="12.5" bestFit="1" customWidth="1"/>
    <col min="19" max="19" width="13.125" bestFit="1" customWidth="1"/>
  </cols>
  <sheetData>
    <row r="1" spans="1:28" x14ac:dyDescent="0.25">
      <c r="A1" t="s">
        <v>384</v>
      </c>
      <c r="B1" t="s">
        <v>345</v>
      </c>
      <c r="C1" t="s">
        <v>346</v>
      </c>
      <c r="D1" t="s">
        <v>347</v>
      </c>
      <c r="E1" t="s">
        <v>348</v>
      </c>
      <c r="F1" t="s">
        <v>349</v>
      </c>
      <c r="G1" t="s">
        <v>350</v>
      </c>
      <c r="H1" t="s">
        <v>351</v>
      </c>
      <c r="I1" t="s">
        <v>352</v>
      </c>
      <c r="J1" t="s">
        <v>353</v>
      </c>
      <c r="K1" t="s">
        <v>354</v>
      </c>
      <c r="L1" t="s">
        <v>355</v>
      </c>
      <c r="M1" t="s">
        <v>356</v>
      </c>
      <c r="N1" t="s">
        <v>357</v>
      </c>
      <c r="O1" t="s">
        <v>358</v>
      </c>
      <c r="P1" t="s">
        <v>359</v>
      </c>
      <c r="Q1" t="s">
        <v>360</v>
      </c>
      <c r="R1" t="s">
        <v>361</v>
      </c>
      <c r="S1" t="s">
        <v>362</v>
      </c>
      <c r="T1" t="s">
        <v>363</v>
      </c>
      <c r="U1" t="s">
        <v>364</v>
      </c>
      <c r="V1" t="s">
        <v>365</v>
      </c>
      <c r="W1" t="s">
        <v>366</v>
      </c>
      <c r="X1" t="s">
        <v>367</v>
      </c>
      <c r="Y1" t="s">
        <v>368</v>
      </c>
      <c r="Z1" t="s">
        <v>369</v>
      </c>
      <c r="AA1" t="s">
        <v>370</v>
      </c>
      <c r="AB1" t="s">
        <v>371</v>
      </c>
    </row>
    <row r="2" spans="1:28" x14ac:dyDescent="0.25">
      <c r="A2">
        <v>1</v>
      </c>
      <c r="B2">
        <v>1</v>
      </c>
      <c r="C2">
        <v>33</v>
      </c>
      <c r="D2" t="s">
        <v>372</v>
      </c>
      <c r="E2" t="s">
        <v>113</v>
      </c>
      <c r="F2" t="s">
        <v>373</v>
      </c>
      <c r="G2">
        <v>6481503</v>
      </c>
      <c r="H2" s="4">
        <v>45657</v>
      </c>
      <c r="I2" s="11">
        <v>45658.528194444443</v>
      </c>
      <c r="K2">
        <v>0</v>
      </c>
      <c r="L2">
        <v>1431963</v>
      </c>
      <c r="M2">
        <v>272073</v>
      </c>
      <c r="P2">
        <v>1704036</v>
      </c>
      <c r="U2">
        <v>0</v>
      </c>
      <c r="Y2">
        <v>0</v>
      </c>
    </row>
    <row r="3" spans="1:28" x14ac:dyDescent="0.25">
      <c r="A3">
        <v>1</v>
      </c>
      <c r="B3">
        <v>2</v>
      </c>
      <c r="C3">
        <v>33</v>
      </c>
      <c r="D3" t="s">
        <v>372</v>
      </c>
      <c r="E3" t="s">
        <v>374</v>
      </c>
      <c r="F3" t="s">
        <v>375</v>
      </c>
      <c r="G3">
        <v>1477313</v>
      </c>
      <c r="H3" s="4">
        <v>45657</v>
      </c>
      <c r="I3" s="11">
        <v>45658.775995370372</v>
      </c>
      <c r="K3">
        <v>0</v>
      </c>
      <c r="L3">
        <v>800</v>
      </c>
      <c r="M3">
        <v>152</v>
      </c>
      <c r="P3">
        <v>952</v>
      </c>
      <c r="U3">
        <v>0</v>
      </c>
      <c r="Y3">
        <v>0</v>
      </c>
    </row>
    <row r="4" spans="1:28" x14ac:dyDescent="0.25">
      <c r="A4">
        <v>1</v>
      </c>
      <c r="B4">
        <v>3</v>
      </c>
      <c r="C4">
        <v>33</v>
      </c>
      <c r="D4" t="s">
        <v>372</v>
      </c>
      <c r="E4" t="s">
        <v>376</v>
      </c>
      <c r="F4" t="s">
        <v>377</v>
      </c>
      <c r="G4">
        <v>3753</v>
      </c>
      <c r="H4" s="4">
        <v>45659</v>
      </c>
      <c r="I4" s="11">
        <v>45659.509062500001</v>
      </c>
      <c r="K4">
        <v>0</v>
      </c>
      <c r="L4">
        <v>4950</v>
      </c>
      <c r="M4">
        <v>940</v>
      </c>
      <c r="P4">
        <v>5890</v>
      </c>
      <c r="U4">
        <v>0</v>
      </c>
      <c r="Y4">
        <v>0</v>
      </c>
    </row>
    <row r="5" spans="1:28" x14ac:dyDescent="0.25">
      <c r="A5">
        <v>1</v>
      </c>
      <c r="B5">
        <v>4</v>
      </c>
      <c r="C5">
        <v>33</v>
      </c>
      <c r="D5" t="s">
        <v>372</v>
      </c>
      <c r="E5" t="s">
        <v>83</v>
      </c>
      <c r="F5" t="s">
        <v>84</v>
      </c>
      <c r="G5">
        <v>40060</v>
      </c>
      <c r="H5" s="4">
        <v>45659</v>
      </c>
      <c r="I5" s="11">
        <v>45659.570925925924</v>
      </c>
      <c r="K5">
        <v>0</v>
      </c>
      <c r="L5">
        <v>138908</v>
      </c>
      <c r="M5">
        <v>26392</v>
      </c>
      <c r="P5">
        <v>165300</v>
      </c>
      <c r="U5">
        <v>0</v>
      </c>
      <c r="Y5">
        <v>0</v>
      </c>
    </row>
    <row r="6" spans="1:28" x14ac:dyDescent="0.25">
      <c r="A6">
        <v>1</v>
      </c>
      <c r="B6">
        <v>5</v>
      </c>
      <c r="C6">
        <v>33</v>
      </c>
      <c r="D6" t="s">
        <v>372</v>
      </c>
      <c r="E6" t="s">
        <v>378</v>
      </c>
      <c r="F6" t="s">
        <v>379</v>
      </c>
      <c r="G6">
        <v>54069484</v>
      </c>
      <c r="H6" s="4">
        <v>45652</v>
      </c>
      <c r="I6" s="11">
        <v>45659.659259259257</v>
      </c>
      <c r="K6">
        <v>0</v>
      </c>
      <c r="L6">
        <v>631</v>
      </c>
      <c r="M6">
        <v>120</v>
      </c>
      <c r="P6">
        <v>751</v>
      </c>
      <c r="U6">
        <v>0</v>
      </c>
      <c r="Y6">
        <v>0</v>
      </c>
    </row>
    <row r="7" spans="1:28" x14ac:dyDescent="0.25">
      <c r="A7">
        <v>1</v>
      </c>
      <c r="B7">
        <v>6</v>
      </c>
      <c r="C7">
        <v>33</v>
      </c>
      <c r="D7" t="s">
        <v>372</v>
      </c>
      <c r="E7" t="s">
        <v>380</v>
      </c>
      <c r="F7" t="s">
        <v>381</v>
      </c>
      <c r="G7">
        <v>52502073</v>
      </c>
      <c r="H7" s="4">
        <v>45658</v>
      </c>
      <c r="I7" s="11">
        <v>45660.115324074075</v>
      </c>
      <c r="K7">
        <v>0</v>
      </c>
      <c r="L7">
        <v>25400</v>
      </c>
      <c r="M7">
        <v>4826</v>
      </c>
      <c r="P7">
        <v>30226</v>
      </c>
      <c r="U7">
        <v>0</v>
      </c>
      <c r="Y7">
        <v>0</v>
      </c>
    </row>
    <row r="8" spans="1:28" x14ac:dyDescent="0.25">
      <c r="A8">
        <v>1</v>
      </c>
      <c r="B8">
        <v>7</v>
      </c>
      <c r="C8">
        <v>33</v>
      </c>
      <c r="D8" t="s">
        <v>372</v>
      </c>
      <c r="E8" t="s">
        <v>382</v>
      </c>
      <c r="F8" t="s">
        <v>383</v>
      </c>
      <c r="G8">
        <v>71244069</v>
      </c>
      <c r="H8" s="4">
        <v>45658</v>
      </c>
      <c r="I8" s="11">
        <v>45660.135231481479</v>
      </c>
      <c r="K8">
        <v>0</v>
      </c>
      <c r="L8">
        <v>31499</v>
      </c>
      <c r="M8">
        <v>5985</v>
      </c>
      <c r="P8">
        <v>37484</v>
      </c>
      <c r="U8">
        <v>0</v>
      </c>
      <c r="Y8">
        <v>0</v>
      </c>
    </row>
    <row r="9" spans="1:28" x14ac:dyDescent="0.25">
      <c r="A9">
        <v>1</v>
      </c>
      <c r="B9">
        <v>8</v>
      </c>
      <c r="C9">
        <v>33</v>
      </c>
      <c r="D9" t="s">
        <v>372</v>
      </c>
      <c r="E9" t="s">
        <v>49</v>
      </c>
      <c r="F9" t="s">
        <v>50</v>
      </c>
      <c r="G9">
        <v>919860</v>
      </c>
      <c r="H9" s="4">
        <v>45665</v>
      </c>
      <c r="I9" s="11">
        <v>45665.440138888887</v>
      </c>
      <c r="K9">
        <v>0</v>
      </c>
      <c r="L9">
        <v>441092</v>
      </c>
      <c r="M9">
        <v>83807</v>
      </c>
      <c r="P9">
        <v>524899</v>
      </c>
      <c r="U9">
        <v>0</v>
      </c>
      <c r="Y9">
        <v>0</v>
      </c>
    </row>
    <row r="10" spans="1:28" x14ac:dyDescent="0.25">
      <c r="A10">
        <v>1</v>
      </c>
      <c r="B10">
        <v>9</v>
      </c>
      <c r="C10">
        <v>33</v>
      </c>
      <c r="D10" t="s">
        <v>372</v>
      </c>
      <c r="E10" t="s">
        <v>45</v>
      </c>
      <c r="F10" t="s">
        <v>46</v>
      </c>
      <c r="G10">
        <v>243986</v>
      </c>
      <c r="H10" s="4">
        <v>45665</v>
      </c>
      <c r="I10" s="11">
        <v>45665.483449074076</v>
      </c>
      <c r="K10">
        <v>0</v>
      </c>
      <c r="L10">
        <v>3361</v>
      </c>
      <c r="M10">
        <v>639</v>
      </c>
      <c r="P10">
        <v>4000</v>
      </c>
      <c r="U10">
        <v>0</v>
      </c>
      <c r="Y10">
        <v>0</v>
      </c>
    </row>
    <row r="11" spans="1:28" x14ac:dyDescent="0.25">
      <c r="A11">
        <v>1</v>
      </c>
      <c r="B11">
        <v>10</v>
      </c>
      <c r="C11">
        <v>33</v>
      </c>
      <c r="D11" t="s">
        <v>372</v>
      </c>
      <c r="E11" t="s">
        <v>83</v>
      </c>
      <c r="F11" t="s">
        <v>84</v>
      </c>
      <c r="G11">
        <v>40383</v>
      </c>
      <c r="H11" s="4">
        <v>45665</v>
      </c>
      <c r="I11" s="11">
        <v>45665.757743055554</v>
      </c>
      <c r="K11">
        <v>0</v>
      </c>
      <c r="L11">
        <v>74370</v>
      </c>
      <c r="M11">
        <v>14130</v>
      </c>
      <c r="P11">
        <v>88500</v>
      </c>
      <c r="U11">
        <v>0</v>
      </c>
      <c r="Y11">
        <v>0</v>
      </c>
    </row>
    <row r="12" spans="1:28" x14ac:dyDescent="0.25">
      <c r="A12">
        <v>1</v>
      </c>
      <c r="B12">
        <v>11</v>
      </c>
      <c r="C12">
        <v>33</v>
      </c>
      <c r="D12" t="s">
        <v>372</v>
      </c>
      <c r="E12" t="s">
        <v>83</v>
      </c>
      <c r="F12" t="s">
        <v>84</v>
      </c>
      <c r="G12">
        <v>40388</v>
      </c>
      <c r="H12" s="4">
        <v>45666</v>
      </c>
      <c r="I12" s="11">
        <v>45666.434212962966</v>
      </c>
      <c r="K12">
        <v>0</v>
      </c>
      <c r="L12">
        <v>52647</v>
      </c>
      <c r="M12">
        <v>10003</v>
      </c>
      <c r="P12">
        <v>62650</v>
      </c>
      <c r="U12">
        <v>0</v>
      </c>
      <c r="Y12">
        <v>0</v>
      </c>
    </row>
    <row r="13" spans="1:28" x14ac:dyDescent="0.25">
      <c r="A13">
        <v>1</v>
      </c>
      <c r="B13">
        <v>12</v>
      </c>
      <c r="C13">
        <v>33</v>
      </c>
      <c r="D13" t="s">
        <v>372</v>
      </c>
      <c r="E13" t="s">
        <v>51</v>
      </c>
      <c r="F13" t="s">
        <v>52</v>
      </c>
      <c r="G13">
        <v>539360</v>
      </c>
      <c r="H13" s="4">
        <v>45666</v>
      </c>
      <c r="I13" s="11">
        <v>45666.670601851853</v>
      </c>
      <c r="K13">
        <v>0</v>
      </c>
      <c r="L13">
        <v>90630</v>
      </c>
      <c r="M13">
        <v>17220</v>
      </c>
      <c r="P13">
        <v>107850</v>
      </c>
      <c r="U13">
        <v>0</v>
      </c>
      <c r="Y13">
        <v>0</v>
      </c>
    </row>
    <row r="14" spans="1:28" x14ac:dyDescent="0.25">
      <c r="A14">
        <v>1</v>
      </c>
      <c r="B14">
        <v>13</v>
      </c>
      <c r="C14">
        <v>33</v>
      </c>
      <c r="D14" t="s">
        <v>372</v>
      </c>
      <c r="E14" t="s">
        <v>109</v>
      </c>
      <c r="F14" t="s">
        <v>110</v>
      </c>
      <c r="G14">
        <v>16177</v>
      </c>
      <c r="H14" s="4">
        <v>45667</v>
      </c>
      <c r="I14" s="11">
        <v>45667.638912037037</v>
      </c>
      <c r="K14">
        <v>0</v>
      </c>
      <c r="L14">
        <v>10907</v>
      </c>
      <c r="M14">
        <v>2072</v>
      </c>
      <c r="P14">
        <v>12979</v>
      </c>
      <c r="U14">
        <v>0</v>
      </c>
      <c r="Y14">
        <v>0</v>
      </c>
    </row>
    <row r="15" spans="1:28" x14ac:dyDescent="0.25">
      <c r="A15">
        <v>1</v>
      </c>
      <c r="B15">
        <v>14</v>
      </c>
      <c r="C15">
        <v>33</v>
      </c>
      <c r="D15" t="s">
        <v>372</v>
      </c>
      <c r="E15" t="s">
        <v>51</v>
      </c>
      <c r="F15" t="s">
        <v>52</v>
      </c>
      <c r="G15">
        <v>539632</v>
      </c>
      <c r="H15" s="4">
        <v>45667</v>
      </c>
      <c r="I15" s="11">
        <v>45667.826898148145</v>
      </c>
      <c r="K15">
        <v>0</v>
      </c>
      <c r="L15">
        <v>134160</v>
      </c>
      <c r="M15">
        <v>25490</v>
      </c>
      <c r="P15">
        <v>159650</v>
      </c>
      <c r="U15">
        <v>0</v>
      </c>
      <c r="Y15">
        <v>0</v>
      </c>
    </row>
    <row r="16" spans="1:28" x14ac:dyDescent="0.25">
      <c r="A16">
        <v>1</v>
      </c>
      <c r="B16">
        <v>15</v>
      </c>
      <c r="C16">
        <v>33</v>
      </c>
      <c r="D16" t="s">
        <v>372</v>
      </c>
      <c r="E16" t="s">
        <v>83</v>
      </c>
      <c r="F16" t="s">
        <v>84</v>
      </c>
      <c r="G16">
        <v>40536</v>
      </c>
      <c r="H16" s="4">
        <v>45670</v>
      </c>
      <c r="I16" s="11">
        <v>45670.430613425924</v>
      </c>
      <c r="K16">
        <v>0</v>
      </c>
      <c r="L16">
        <v>24790</v>
      </c>
      <c r="M16">
        <v>4710</v>
      </c>
      <c r="P16">
        <v>29500</v>
      </c>
      <c r="U16">
        <v>0</v>
      </c>
      <c r="Y16">
        <v>0</v>
      </c>
    </row>
    <row r="17" spans="1:25" x14ac:dyDescent="0.25">
      <c r="A17">
        <v>1</v>
      </c>
      <c r="B17">
        <v>16</v>
      </c>
      <c r="C17">
        <v>33</v>
      </c>
      <c r="D17" t="s">
        <v>372</v>
      </c>
      <c r="E17" t="s">
        <v>51</v>
      </c>
      <c r="F17" t="s">
        <v>52</v>
      </c>
      <c r="G17">
        <v>540008</v>
      </c>
      <c r="H17" s="4">
        <v>45670</v>
      </c>
      <c r="I17" s="11">
        <v>45670.69363425926</v>
      </c>
      <c r="K17">
        <v>0</v>
      </c>
      <c r="L17">
        <v>119580</v>
      </c>
      <c r="M17">
        <v>22720</v>
      </c>
      <c r="P17">
        <v>142300</v>
      </c>
      <c r="U17">
        <v>0</v>
      </c>
      <c r="Y17">
        <v>0</v>
      </c>
    </row>
    <row r="18" spans="1:25" x14ac:dyDescent="0.25">
      <c r="A18">
        <v>1</v>
      </c>
      <c r="B18">
        <v>17</v>
      </c>
      <c r="C18">
        <v>33</v>
      </c>
      <c r="D18" t="s">
        <v>372</v>
      </c>
      <c r="E18" t="s">
        <v>51</v>
      </c>
      <c r="F18" t="s">
        <v>52</v>
      </c>
      <c r="G18">
        <v>540059</v>
      </c>
      <c r="H18" s="4">
        <v>45670</v>
      </c>
      <c r="I18" s="11">
        <v>45670.727013888885</v>
      </c>
      <c r="K18">
        <v>0</v>
      </c>
      <c r="L18">
        <v>30870</v>
      </c>
      <c r="M18">
        <v>5865</v>
      </c>
      <c r="P18">
        <v>36735</v>
      </c>
      <c r="U18">
        <v>0</v>
      </c>
      <c r="Y18">
        <v>0</v>
      </c>
    </row>
    <row r="19" spans="1:25" x14ac:dyDescent="0.25">
      <c r="A19">
        <v>1</v>
      </c>
      <c r="B19">
        <v>18</v>
      </c>
      <c r="C19">
        <v>33</v>
      </c>
      <c r="D19" t="s">
        <v>372</v>
      </c>
      <c r="E19" t="s">
        <v>63</v>
      </c>
      <c r="F19" t="s">
        <v>64</v>
      </c>
      <c r="G19">
        <v>420780</v>
      </c>
      <c r="H19" s="4">
        <v>45671</v>
      </c>
      <c r="I19" s="11">
        <v>45671.517175925925</v>
      </c>
      <c r="K19">
        <v>0</v>
      </c>
      <c r="L19">
        <v>45552</v>
      </c>
      <c r="M19">
        <v>8655</v>
      </c>
      <c r="P19">
        <v>54207</v>
      </c>
      <c r="U19">
        <v>0</v>
      </c>
      <c r="Y19">
        <v>0</v>
      </c>
    </row>
    <row r="20" spans="1:25" x14ac:dyDescent="0.25">
      <c r="A20">
        <v>1</v>
      </c>
      <c r="B20">
        <v>19</v>
      </c>
      <c r="C20">
        <v>33</v>
      </c>
      <c r="D20" t="s">
        <v>372</v>
      </c>
      <c r="E20" t="s">
        <v>122</v>
      </c>
      <c r="F20" t="s">
        <v>123</v>
      </c>
      <c r="G20">
        <v>49611</v>
      </c>
      <c r="H20" s="4">
        <v>45671</v>
      </c>
      <c r="I20" s="11">
        <v>45671.681631944448</v>
      </c>
      <c r="K20">
        <v>0</v>
      </c>
      <c r="L20">
        <v>172555</v>
      </c>
      <c r="M20">
        <v>32785</v>
      </c>
      <c r="P20">
        <v>205340</v>
      </c>
      <c r="U20">
        <v>0</v>
      </c>
      <c r="Y20">
        <v>0</v>
      </c>
    </row>
    <row r="21" spans="1:25" x14ac:dyDescent="0.25">
      <c r="A21">
        <v>1</v>
      </c>
      <c r="B21">
        <v>20</v>
      </c>
      <c r="C21">
        <v>33</v>
      </c>
      <c r="D21" t="s">
        <v>372</v>
      </c>
      <c r="E21" t="s">
        <v>49</v>
      </c>
      <c r="F21" t="s">
        <v>50</v>
      </c>
      <c r="G21">
        <v>922242</v>
      </c>
      <c r="H21" s="4">
        <v>45672</v>
      </c>
      <c r="I21" s="11">
        <v>45672.536076388889</v>
      </c>
      <c r="K21">
        <v>0</v>
      </c>
      <c r="L21">
        <v>15772</v>
      </c>
      <c r="M21">
        <v>2997</v>
      </c>
      <c r="P21">
        <v>18769</v>
      </c>
      <c r="U21">
        <v>0</v>
      </c>
      <c r="Y21">
        <v>0</v>
      </c>
    </row>
    <row r="22" spans="1:25" x14ac:dyDescent="0.25">
      <c r="A22">
        <v>1</v>
      </c>
      <c r="B22">
        <v>21</v>
      </c>
      <c r="C22">
        <v>33</v>
      </c>
      <c r="D22" t="s">
        <v>372</v>
      </c>
      <c r="E22" t="s">
        <v>83</v>
      </c>
      <c r="F22" t="s">
        <v>84</v>
      </c>
      <c r="G22">
        <v>40705</v>
      </c>
      <c r="H22" s="4">
        <v>45672</v>
      </c>
      <c r="I22" s="11">
        <v>45672.548946759256</v>
      </c>
      <c r="K22">
        <v>0</v>
      </c>
      <c r="L22">
        <v>45126</v>
      </c>
      <c r="M22">
        <v>8574</v>
      </c>
      <c r="P22">
        <v>53700</v>
      </c>
      <c r="U22">
        <v>0</v>
      </c>
      <c r="Y22">
        <v>0</v>
      </c>
    </row>
    <row r="23" spans="1:25" x14ac:dyDescent="0.25">
      <c r="A23">
        <v>1</v>
      </c>
      <c r="B23">
        <v>22</v>
      </c>
      <c r="C23">
        <v>33</v>
      </c>
      <c r="D23" t="s">
        <v>372</v>
      </c>
      <c r="E23" t="s">
        <v>49</v>
      </c>
      <c r="F23" t="s">
        <v>50</v>
      </c>
      <c r="G23">
        <v>922978</v>
      </c>
      <c r="H23" s="4">
        <v>45674</v>
      </c>
      <c r="I23" s="11">
        <v>45674.439884259256</v>
      </c>
      <c r="K23">
        <v>0</v>
      </c>
      <c r="L23">
        <v>4025</v>
      </c>
      <c r="M23">
        <v>765</v>
      </c>
      <c r="P23">
        <v>4790</v>
      </c>
      <c r="U23">
        <v>0</v>
      </c>
      <c r="Y23">
        <v>0</v>
      </c>
    </row>
    <row r="24" spans="1:25" x14ac:dyDescent="0.25">
      <c r="A24">
        <v>1</v>
      </c>
      <c r="B24">
        <v>23</v>
      </c>
      <c r="C24">
        <v>33</v>
      </c>
      <c r="D24" t="s">
        <v>372</v>
      </c>
      <c r="E24" t="s">
        <v>51</v>
      </c>
      <c r="F24" t="s">
        <v>52</v>
      </c>
      <c r="G24">
        <v>541412</v>
      </c>
      <c r="H24" s="4">
        <v>45674</v>
      </c>
      <c r="I24" s="11">
        <v>45674.63040509259</v>
      </c>
      <c r="K24">
        <v>0</v>
      </c>
      <c r="L24">
        <v>63720</v>
      </c>
      <c r="M24">
        <v>12107</v>
      </c>
      <c r="P24">
        <v>75827</v>
      </c>
      <c r="U24">
        <v>0</v>
      </c>
      <c r="Y24">
        <v>0</v>
      </c>
    </row>
    <row r="25" spans="1:25" x14ac:dyDescent="0.25">
      <c r="A25">
        <v>1</v>
      </c>
      <c r="B25">
        <v>24</v>
      </c>
      <c r="C25">
        <v>33</v>
      </c>
      <c r="D25" t="s">
        <v>372</v>
      </c>
      <c r="E25" t="s">
        <v>63</v>
      </c>
      <c r="F25" t="s">
        <v>64</v>
      </c>
      <c r="G25">
        <v>421389</v>
      </c>
      <c r="H25" s="4">
        <v>45677</v>
      </c>
      <c r="I25" s="11">
        <v>45677.622141203705</v>
      </c>
      <c r="K25">
        <v>0</v>
      </c>
      <c r="L25">
        <v>160152</v>
      </c>
      <c r="M25">
        <v>30429</v>
      </c>
      <c r="P25">
        <v>190581</v>
      </c>
      <c r="U25">
        <v>0</v>
      </c>
      <c r="Y25">
        <v>0</v>
      </c>
    </row>
    <row r="26" spans="1:25" x14ac:dyDescent="0.25">
      <c r="A26">
        <v>1</v>
      </c>
      <c r="B26">
        <v>25</v>
      </c>
      <c r="C26">
        <v>33</v>
      </c>
      <c r="D26" t="s">
        <v>372</v>
      </c>
      <c r="E26" t="s">
        <v>83</v>
      </c>
      <c r="F26" t="s">
        <v>84</v>
      </c>
      <c r="G26">
        <v>40911</v>
      </c>
      <c r="H26" s="4">
        <v>45677</v>
      </c>
      <c r="I26" s="11">
        <v>45677.625659722224</v>
      </c>
      <c r="K26">
        <v>0</v>
      </c>
      <c r="L26">
        <v>150420</v>
      </c>
      <c r="M26">
        <v>28580</v>
      </c>
      <c r="P26">
        <v>179000</v>
      </c>
      <c r="U26">
        <v>0</v>
      </c>
      <c r="Y26">
        <v>0</v>
      </c>
    </row>
    <row r="27" spans="1:25" x14ac:dyDescent="0.25">
      <c r="A27">
        <v>1</v>
      </c>
      <c r="B27">
        <v>26</v>
      </c>
      <c r="C27">
        <v>33</v>
      </c>
      <c r="D27" t="s">
        <v>372</v>
      </c>
      <c r="E27" t="s">
        <v>63</v>
      </c>
      <c r="F27" t="s">
        <v>64</v>
      </c>
      <c r="G27">
        <v>421398</v>
      </c>
      <c r="H27" s="4">
        <v>45677</v>
      </c>
      <c r="I27" s="11">
        <v>45677.64439814815</v>
      </c>
      <c r="K27">
        <v>0</v>
      </c>
      <c r="L27">
        <v>61696</v>
      </c>
      <c r="M27">
        <v>11722</v>
      </c>
      <c r="P27">
        <v>73418</v>
      </c>
      <c r="U27">
        <v>0</v>
      </c>
      <c r="Y27">
        <v>0</v>
      </c>
    </row>
    <row r="28" spans="1:25" x14ac:dyDescent="0.25">
      <c r="A28">
        <v>1</v>
      </c>
      <c r="B28">
        <v>27</v>
      </c>
      <c r="C28">
        <v>33</v>
      </c>
      <c r="D28" t="s">
        <v>372</v>
      </c>
      <c r="E28" t="s">
        <v>83</v>
      </c>
      <c r="F28" t="s">
        <v>84</v>
      </c>
      <c r="G28">
        <v>41038</v>
      </c>
      <c r="H28" s="4">
        <v>45679</v>
      </c>
      <c r="I28" s="11">
        <v>45679.60260416667</v>
      </c>
      <c r="K28">
        <v>0</v>
      </c>
      <c r="L28">
        <v>4958</v>
      </c>
      <c r="M28">
        <v>942</v>
      </c>
      <c r="P28">
        <v>5900</v>
      </c>
      <c r="U28">
        <v>0</v>
      </c>
      <c r="Y28">
        <v>0</v>
      </c>
    </row>
    <row r="29" spans="1:25" x14ac:dyDescent="0.25">
      <c r="A29">
        <v>1</v>
      </c>
      <c r="B29">
        <v>28</v>
      </c>
      <c r="C29">
        <v>33</v>
      </c>
      <c r="D29" t="s">
        <v>372</v>
      </c>
      <c r="E29" t="s">
        <v>51</v>
      </c>
      <c r="F29" t="s">
        <v>52</v>
      </c>
      <c r="G29">
        <v>542488</v>
      </c>
      <c r="H29" s="4">
        <v>45680</v>
      </c>
      <c r="I29" s="11">
        <v>45680.454826388886</v>
      </c>
      <c r="J29" s="11">
        <v>45688.986331018517</v>
      </c>
      <c r="K29">
        <v>0</v>
      </c>
      <c r="L29">
        <v>19060</v>
      </c>
      <c r="M29">
        <v>3621</v>
      </c>
      <c r="P29">
        <v>22681</v>
      </c>
      <c r="U29">
        <v>0</v>
      </c>
      <c r="Y29">
        <v>0</v>
      </c>
    </row>
    <row r="30" spans="1:25" x14ac:dyDescent="0.25">
      <c r="A30">
        <v>1</v>
      </c>
      <c r="B30">
        <v>29</v>
      </c>
      <c r="C30">
        <v>33</v>
      </c>
      <c r="D30" t="s">
        <v>372</v>
      </c>
      <c r="E30" t="s">
        <v>51</v>
      </c>
      <c r="F30" t="s">
        <v>52</v>
      </c>
      <c r="G30">
        <v>542761</v>
      </c>
      <c r="H30" s="4">
        <v>45681</v>
      </c>
      <c r="I30" s="11">
        <v>45681.472858796296</v>
      </c>
      <c r="J30" s="11">
        <v>45688.986319444448</v>
      </c>
      <c r="K30">
        <v>0</v>
      </c>
      <c r="L30">
        <v>52300</v>
      </c>
      <c r="M30">
        <v>9937</v>
      </c>
      <c r="P30">
        <v>62237</v>
      </c>
      <c r="U30">
        <v>0</v>
      </c>
      <c r="Y30">
        <v>0</v>
      </c>
    </row>
    <row r="31" spans="1:25" x14ac:dyDescent="0.25">
      <c r="A31">
        <v>1</v>
      </c>
      <c r="B31">
        <v>30</v>
      </c>
      <c r="C31">
        <v>33</v>
      </c>
      <c r="D31" t="s">
        <v>372</v>
      </c>
      <c r="E31" t="s">
        <v>51</v>
      </c>
      <c r="F31" t="s">
        <v>52</v>
      </c>
      <c r="G31">
        <v>543059</v>
      </c>
      <c r="H31" s="4">
        <v>45684</v>
      </c>
      <c r="I31" s="11">
        <v>45684.446608796294</v>
      </c>
      <c r="J31" s="11">
        <v>45688.986319444448</v>
      </c>
      <c r="K31">
        <v>0</v>
      </c>
      <c r="L31">
        <v>27950</v>
      </c>
      <c r="M31">
        <v>5311</v>
      </c>
      <c r="P31">
        <v>33261</v>
      </c>
      <c r="U31">
        <v>0</v>
      </c>
      <c r="Y31">
        <v>0</v>
      </c>
    </row>
    <row r="32" spans="1:25" x14ac:dyDescent="0.25">
      <c r="A32">
        <v>1</v>
      </c>
      <c r="B32">
        <v>31</v>
      </c>
      <c r="C32">
        <v>33</v>
      </c>
      <c r="D32" t="s">
        <v>372</v>
      </c>
      <c r="E32" t="s">
        <v>83</v>
      </c>
      <c r="F32" t="s">
        <v>84</v>
      </c>
      <c r="G32">
        <v>41258</v>
      </c>
      <c r="H32" s="4">
        <v>45684</v>
      </c>
      <c r="I32" s="11">
        <v>45684.571828703702</v>
      </c>
      <c r="J32" s="11">
        <v>45688.986319444448</v>
      </c>
      <c r="K32">
        <v>0</v>
      </c>
      <c r="L32">
        <v>58824</v>
      </c>
      <c r="M32">
        <v>11176</v>
      </c>
      <c r="P32">
        <v>70000</v>
      </c>
      <c r="U32">
        <v>0</v>
      </c>
      <c r="Y32">
        <v>0</v>
      </c>
    </row>
    <row r="33" spans="1:25" x14ac:dyDescent="0.25">
      <c r="A33">
        <v>1</v>
      </c>
      <c r="B33">
        <v>32</v>
      </c>
      <c r="C33">
        <v>33</v>
      </c>
      <c r="D33" t="s">
        <v>372</v>
      </c>
      <c r="E33" t="s">
        <v>83</v>
      </c>
      <c r="F33" t="s">
        <v>84</v>
      </c>
      <c r="G33">
        <v>41327</v>
      </c>
      <c r="H33" s="4">
        <v>45685</v>
      </c>
      <c r="I33" s="11">
        <v>45685.600416666668</v>
      </c>
      <c r="J33" s="11">
        <v>45688.986319444448</v>
      </c>
      <c r="K33">
        <v>0</v>
      </c>
      <c r="L33">
        <v>14370</v>
      </c>
      <c r="M33">
        <v>2730</v>
      </c>
      <c r="P33">
        <v>17100</v>
      </c>
      <c r="U33">
        <v>0</v>
      </c>
      <c r="Y33">
        <v>0</v>
      </c>
    </row>
    <row r="34" spans="1:25" x14ac:dyDescent="0.25">
      <c r="A34">
        <v>1</v>
      </c>
      <c r="B34">
        <v>33</v>
      </c>
      <c r="C34">
        <v>33</v>
      </c>
      <c r="D34" t="s">
        <v>372</v>
      </c>
      <c r="E34" t="s">
        <v>49</v>
      </c>
      <c r="F34" t="s">
        <v>50</v>
      </c>
      <c r="G34">
        <v>926039</v>
      </c>
      <c r="H34" s="4">
        <v>45685</v>
      </c>
      <c r="I34" s="11">
        <v>45685.604907407411</v>
      </c>
      <c r="K34">
        <v>0</v>
      </c>
      <c r="L34">
        <v>27520</v>
      </c>
      <c r="M34">
        <v>5229</v>
      </c>
      <c r="P34">
        <v>32749</v>
      </c>
      <c r="U34">
        <v>0</v>
      </c>
      <c r="Y34">
        <v>0</v>
      </c>
    </row>
    <row r="35" spans="1:25" x14ac:dyDescent="0.25">
      <c r="A35">
        <v>1</v>
      </c>
      <c r="B35">
        <v>34</v>
      </c>
      <c r="C35">
        <v>33</v>
      </c>
      <c r="D35" t="s">
        <v>372</v>
      </c>
      <c r="E35" t="s">
        <v>49</v>
      </c>
      <c r="F35" t="s">
        <v>50</v>
      </c>
      <c r="G35">
        <v>926040</v>
      </c>
      <c r="H35" s="4">
        <v>45685</v>
      </c>
      <c r="I35" s="11">
        <v>45685.604907407411</v>
      </c>
      <c r="K35">
        <v>0</v>
      </c>
      <c r="L35">
        <v>3080</v>
      </c>
      <c r="M35">
        <v>585</v>
      </c>
      <c r="P35">
        <v>3665</v>
      </c>
      <c r="U35">
        <v>0</v>
      </c>
      <c r="Y35">
        <v>0</v>
      </c>
    </row>
    <row r="36" spans="1:25" x14ac:dyDescent="0.25">
      <c r="A36">
        <v>1</v>
      </c>
      <c r="B36">
        <v>35</v>
      </c>
      <c r="C36">
        <v>33</v>
      </c>
      <c r="D36" t="s">
        <v>372</v>
      </c>
      <c r="E36" t="s">
        <v>49</v>
      </c>
      <c r="F36" t="s">
        <v>50</v>
      </c>
      <c r="G36">
        <v>926041</v>
      </c>
      <c r="H36" s="4">
        <v>45685</v>
      </c>
      <c r="I36" s="11">
        <v>45685.608506944445</v>
      </c>
      <c r="K36">
        <v>0</v>
      </c>
      <c r="L36">
        <v>15118</v>
      </c>
      <c r="M36">
        <v>2872</v>
      </c>
      <c r="P36">
        <v>17990</v>
      </c>
      <c r="U36">
        <v>0</v>
      </c>
      <c r="Y36">
        <v>0</v>
      </c>
    </row>
    <row r="37" spans="1:25" x14ac:dyDescent="0.25">
      <c r="A37">
        <v>1</v>
      </c>
      <c r="B37">
        <v>36</v>
      </c>
      <c r="C37">
        <v>33</v>
      </c>
      <c r="D37" t="s">
        <v>372</v>
      </c>
      <c r="E37" t="s">
        <v>65</v>
      </c>
      <c r="F37" t="s">
        <v>66</v>
      </c>
      <c r="G37">
        <v>69848</v>
      </c>
      <c r="H37" s="4">
        <v>45686</v>
      </c>
      <c r="I37" s="11">
        <v>45686.503622685188</v>
      </c>
      <c r="J37" s="11">
        <v>45688.986319444448</v>
      </c>
      <c r="K37">
        <v>0</v>
      </c>
      <c r="L37">
        <v>4538</v>
      </c>
      <c r="M37">
        <v>862</v>
      </c>
      <c r="P37">
        <v>5400</v>
      </c>
      <c r="U37">
        <v>0</v>
      </c>
      <c r="Y37">
        <v>0</v>
      </c>
    </row>
    <row r="38" spans="1:25" x14ac:dyDescent="0.25">
      <c r="A38">
        <v>1</v>
      </c>
      <c r="B38">
        <v>37</v>
      </c>
      <c r="C38">
        <v>33</v>
      </c>
      <c r="D38" t="s">
        <v>372</v>
      </c>
      <c r="E38" t="s">
        <v>51</v>
      </c>
      <c r="F38" t="s">
        <v>52</v>
      </c>
      <c r="G38">
        <v>543961</v>
      </c>
      <c r="H38" s="4">
        <v>45687</v>
      </c>
      <c r="I38" s="11">
        <v>45687.4453587963</v>
      </c>
      <c r="J38" s="11">
        <v>45688.986319444448</v>
      </c>
      <c r="K38">
        <v>0</v>
      </c>
      <c r="L38">
        <v>10460</v>
      </c>
      <c r="M38">
        <v>1987</v>
      </c>
      <c r="P38">
        <v>12447</v>
      </c>
      <c r="U38">
        <v>0</v>
      </c>
      <c r="Y38">
        <v>0</v>
      </c>
    </row>
    <row r="39" spans="1:25" x14ac:dyDescent="0.25">
      <c r="A39">
        <v>1</v>
      </c>
      <c r="B39">
        <v>38</v>
      </c>
      <c r="C39">
        <v>33</v>
      </c>
      <c r="D39" t="s">
        <v>372</v>
      </c>
      <c r="E39" t="s">
        <v>51</v>
      </c>
      <c r="F39" t="s">
        <v>52</v>
      </c>
      <c r="G39">
        <v>544228</v>
      </c>
      <c r="H39" s="4">
        <v>45688</v>
      </c>
      <c r="I39" s="11">
        <v>45688.425879629627</v>
      </c>
      <c r="J39" s="11">
        <v>45688.986319444448</v>
      </c>
      <c r="K39">
        <v>0</v>
      </c>
      <c r="L39">
        <v>109700</v>
      </c>
      <c r="M39">
        <v>20843</v>
      </c>
      <c r="P39">
        <v>130543</v>
      </c>
      <c r="U39">
        <v>0</v>
      </c>
      <c r="Y39">
        <v>0</v>
      </c>
    </row>
    <row r="40" spans="1:25" x14ac:dyDescent="0.25">
      <c r="A40">
        <v>1</v>
      </c>
      <c r="B40">
        <v>39</v>
      </c>
      <c r="C40">
        <v>33</v>
      </c>
      <c r="D40" t="s">
        <v>372</v>
      </c>
      <c r="E40" t="s">
        <v>83</v>
      </c>
      <c r="F40" t="s">
        <v>84</v>
      </c>
      <c r="G40">
        <v>41522</v>
      </c>
      <c r="H40" s="4">
        <v>45688</v>
      </c>
      <c r="I40" s="11">
        <v>45688.560706018521</v>
      </c>
      <c r="J40" s="11">
        <v>45688.986319444448</v>
      </c>
      <c r="K40">
        <v>0</v>
      </c>
      <c r="L40">
        <v>73194</v>
      </c>
      <c r="M40">
        <v>13907</v>
      </c>
      <c r="P40">
        <v>87101</v>
      </c>
      <c r="U40">
        <v>0</v>
      </c>
      <c r="Y40">
        <v>0</v>
      </c>
    </row>
    <row r="41" spans="1:25" x14ac:dyDescent="0.25">
      <c r="A41">
        <v>1</v>
      </c>
      <c r="B41">
        <v>40</v>
      </c>
      <c r="C41">
        <v>33</v>
      </c>
      <c r="D41" t="s">
        <v>372</v>
      </c>
      <c r="E41" t="s">
        <v>105</v>
      </c>
      <c r="F41" t="s">
        <v>106</v>
      </c>
      <c r="G41">
        <v>38622</v>
      </c>
      <c r="H41" s="4">
        <v>45688</v>
      </c>
      <c r="I41" s="11">
        <v>45688.738344907404</v>
      </c>
      <c r="K41">
        <v>0</v>
      </c>
      <c r="L41">
        <v>32700</v>
      </c>
      <c r="M41">
        <v>6213</v>
      </c>
      <c r="P41">
        <v>38913</v>
      </c>
      <c r="U41">
        <v>0</v>
      </c>
      <c r="Y41">
        <v>0</v>
      </c>
    </row>
    <row r="42" spans="1:25" x14ac:dyDescent="0.25">
      <c r="A42">
        <v>1</v>
      </c>
      <c r="B42">
        <v>41</v>
      </c>
      <c r="C42">
        <v>33</v>
      </c>
      <c r="D42" t="s">
        <v>372</v>
      </c>
      <c r="E42" t="s">
        <v>99</v>
      </c>
      <c r="F42" t="s">
        <v>100</v>
      </c>
      <c r="G42">
        <v>1003</v>
      </c>
      <c r="H42" s="4">
        <v>45688</v>
      </c>
      <c r="I42" s="11">
        <v>45688.880902777775</v>
      </c>
      <c r="K42">
        <v>0</v>
      </c>
      <c r="L42">
        <v>8235</v>
      </c>
      <c r="M42">
        <v>1565</v>
      </c>
      <c r="P42">
        <v>9800</v>
      </c>
      <c r="U42">
        <v>0</v>
      </c>
      <c r="Y42">
        <v>0</v>
      </c>
    </row>
    <row r="43" spans="1:25" x14ac:dyDescent="0.25">
      <c r="A43">
        <v>1</v>
      </c>
      <c r="B43">
        <v>42</v>
      </c>
      <c r="C43">
        <v>33</v>
      </c>
      <c r="D43" t="s">
        <v>372</v>
      </c>
      <c r="E43" t="s">
        <v>99</v>
      </c>
      <c r="F43" t="s">
        <v>100</v>
      </c>
      <c r="G43">
        <v>1011</v>
      </c>
      <c r="H43" s="4">
        <v>45688</v>
      </c>
      <c r="I43" s="11">
        <v>45688.889837962961</v>
      </c>
      <c r="K43">
        <v>0</v>
      </c>
      <c r="L43">
        <v>5798</v>
      </c>
      <c r="M43">
        <v>1102</v>
      </c>
      <c r="P43">
        <v>6900</v>
      </c>
      <c r="U43">
        <v>0</v>
      </c>
      <c r="Y43">
        <v>0</v>
      </c>
    </row>
    <row r="44" spans="1:25" x14ac:dyDescent="0.25">
      <c r="A44">
        <v>1</v>
      </c>
      <c r="B44">
        <v>43</v>
      </c>
      <c r="C44">
        <v>34</v>
      </c>
      <c r="D44" t="s">
        <v>372</v>
      </c>
      <c r="E44" t="s">
        <v>95</v>
      </c>
      <c r="F44" t="s">
        <v>96</v>
      </c>
      <c r="G44">
        <v>931222</v>
      </c>
      <c r="H44" s="4">
        <v>45672</v>
      </c>
      <c r="I44" s="11">
        <v>45673.400069444448</v>
      </c>
      <c r="K44">
        <v>9990</v>
      </c>
      <c r="L44">
        <v>0</v>
      </c>
      <c r="M44">
        <v>0</v>
      </c>
      <c r="P44">
        <v>9990</v>
      </c>
      <c r="U44">
        <v>0</v>
      </c>
      <c r="Y44">
        <v>0</v>
      </c>
    </row>
    <row r="45" spans="1:25" x14ac:dyDescent="0.25">
      <c r="A45">
        <v>1</v>
      </c>
      <c r="B45">
        <v>44</v>
      </c>
      <c r="C45">
        <v>61</v>
      </c>
      <c r="D45" t="s">
        <v>372</v>
      </c>
      <c r="E45" t="s">
        <v>113</v>
      </c>
      <c r="F45" t="s">
        <v>373</v>
      </c>
      <c r="G45">
        <v>4969589</v>
      </c>
      <c r="H45" s="4">
        <v>45657</v>
      </c>
      <c r="I45" s="11">
        <v>45658.589305555557</v>
      </c>
      <c r="K45">
        <v>0</v>
      </c>
      <c r="L45">
        <v>5125</v>
      </c>
      <c r="M45">
        <v>974</v>
      </c>
      <c r="P45">
        <v>6099</v>
      </c>
      <c r="U45">
        <v>0</v>
      </c>
      <c r="Y45">
        <v>0</v>
      </c>
    </row>
    <row r="46" spans="1:25" x14ac:dyDescent="0.25">
      <c r="A46">
        <v>1</v>
      </c>
      <c r="B46">
        <v>45</v>
      </c>
      <c r="C46">
        <v>61</v>
      </c>
      <c r="D46" t="s">
        <v>372</v>
      </c>
      <c r="E46" t="s">
        <v>51</v>
      </c>
      <c r="F46" t="s">
        <v>52</v>
      </c>
      <c r="G46">
        <v>57311</v>
      </c>
      <c r="H46" s="4">
        <v>45672</v>
      </c>
      <c r="I46" s="11">
        <v>45672.570706018516</v>
      </c>
      <c r="K46">
        <v>0</v>
      </c>
      <c r="L46">
        <v>77280</v>
      </c>
      <c r="M46">
        <v>14683</v>
      </c>
      <c r="P46">
        <v>91963</v>
      </c>
      <c r="U46">
        <v>0</v>
      </c>
      <c r="Y46">
        <v>0</v>
      </c>
    </row>
    <row r="47" spans="1:25" x14ac:dyDescent="0.25">
      <c r="A47">
        <v>1</v>
      </c>
      <c r="B47">
        <v>46</v>
      </c>
      <c r="C47">
        <v>61</v>
      </c>
      <c r="D47" t="s">
        <v>372</v>
      </c>
      <c r="E47" t="s">
        <v>51</v>
      </c>
      <c r="F47" t="s">
        <v>52</v>
      </c>
      <c r="G47">
        <v>57538</v>
      </c>
      <c r="H47" s="4">
        <v>45685</v>
      </c>
      <c r="I47" s="11">
        <v>45685.522928240738</v>
      </c>
      <c r="J47" s="11">
        <v>45688.986319444448</v>
      </c>
      <c r="K47">
        <v>0</v>
      </c>
      <c r="L47">
        <v>10460</v>
      </c>
      <c r="M47">
        <v>1987</v>
      </c>
      <c r="P47">
        <v>12447</v>
      </c>
      <c r="U47">
        <v>0</v>
      </c>
      <c r="Y47">
        <v>0</v>
      </c>
    </row>
    <row r="48" spans="1:25" x14ac:dyDescent="0.25">
      <c r="A48">
        <v>2</v>
      </c>
      <c r="B48">
        <v>1</v>
      </c>
      <c r="C48">
        <v>33</v>
      </c>
      <c r="D48" t="s">
        <v>372</v>
      </c>
      <c r="E48" t="s">
        <v>113</v>
      </c>
      <c r="F48" t="s">
        <v>373</v>
      </c>
      <c r="G48">
        <v>6506303</v>
      </c>
      <c r="H48" s="4">
        <v>45688</v>
      </c>
      <c r="I48" s="11">
        <v>45689.836319444446</v>
      </c>
      <c r="K48">
        <v>0</v>
      </c>
      <c r="L48">
        <v>241568</v>
      </c>
      <c r="M48">
        <v>45898</v>
      </c>
      <c r="P48">
        <v>287466</v>
      </c>
      <c r="U48">
        <v>0</v>
      </c>
      <c r="Y48">
        <v>0</v>
      </c>
    </row>
    <row r="49" spans="1:25" x14ac:dyDescent="0.25">
      <c r="A49">
        <v>2</v>
      </c>
      <c r="B49">
        <v>2</v>
      </c>
      <c r="C49">
        <v>33</v>
      </c>
      <c r="D49" t="s">
        <v>372</v>
      </c>
      <c r="E49" t="s">
        <v>51</v>
      </c>
      <c r="F49" t="s">
        <v>52</v>
      </c>
      <c r="G49">
        <v>544552</v>
      </c>
      <c r="H49" s="4">
        <v>45691</v>
      </c>
      <c r="I49" s="11">
        <v>45691.484907407408</v>
      </c>
      <c r="K49">
        <v>0</v>
      </c>
      <c r="L49">
        <v>49400</v>
      </c>
      <c r="M49">
        <v>9386</v>
      </c>
      <c r="P49">
        <v>58786</v>
      </c>
      <c r="U49">
        <v>0</v>
      </c>
      <c r="Y49">
        <v>0</v>
      </c>
    </row>
    <row r="50" spans="1:25" x14ac:dyDescent="0.25">
      <c r="A50">
        <v>2</v>
      </c>
      <c r="B50">
        <v>3</v>
      </c>
      <c r="C50">
        <v>33</v>
      </c>
      <c r="D50" t="s">
        <v>372</v>
      </c>
      <c r="E50" t="s">
        <v>378</v>
      </c>
      <c r="F50" t="s">
        <v>379</v>
      </c>
      <c r="G50">
        <v>54218987</v>
      </c>
      <c r="H50" s="4">
        <v>45687</v>
      </c>
      <c r="I50" s="11">
        <v>45691.554537037038</v>
      </c>
      <c r="K50">
        <v>0</v>
      </c>
      <c r="L50">
        <v>144</v>
      </c>
      <c r="M50">
        <v>27</v>
      </c>
      <c r="P50">
        <v>171</v>
      </c>
      <c r="U50">
        <v>0</v>
      </c>
      <c r="Y50">
        <v>0</v>
      </c>
    </row>
    <row r="51" spans="1:25" x14ac:dyDescent="0.25">
      <c r="A51">
        <v>2</v>
      </c>
      <c r="B51">
        <v>4</v>
      </c>
      <c r="C51">
        <v>33</v>
      </c>
      <c r="D51" t="s">
        <v>372</v>
      </c>
      <c r="E51" t="s">
        <v>382</v>
      </c>
      <c r="F51" t="s">
        <v>383</v>
      </c>
      <c r="G51">
        <v>71401410</v>
      </c>
      <c r="H51" s="4">
        <v>45689</v>
      </c>
      <c r="I51" s="11">
        <v>45691.958425925928</v>
      </c>
      <c r="K51">
        <v>0</v>
      </c>
      <c r="L51">
        <v>31596</v>
      </c>
      <c r="M51">
        <v>6003</v>
      </c>
      <c r="P51">
        <v>37599</v>
      </c>
      <c r="U51">
        <v>0</v>
      </c>
      <c r="Y51">
        <v>0</v>
      </c>
    </row>
    <row r="52" spans="1:25" x14ac:dyDescent="0.25">
      <c r="A52">
        <v>2</v>
      </c>
      <c r="B52">
        <v>5</v>
      </c>
      <c r="C52">
        <v>33</v>
      </c>
      <c r="D52" t="s">
        <v>372</v>
      </c>
      <c r="E52" t="s">
        <v>380</v>
      </c>
      <c r="F52" t="s">
        <v>381</v>
      </c>
      <c r="G52">
        <v>52657051</v>
      </c>
      <c r="H52" s="4">
        <v>45689</v>
      </c>
      <c r="I52" s="11">
        <v>45691.962210648147</v>
      </c>
      <c r="K52">
        <v>0</v>
      </c>
      <c r="L52">
        <v>26724</v>
      </c>
      <c r="M52">
        <v>5078</v>
      </c>
      <c r="P52">
        <v>31802</v>
      </c>
      <c r="U52">
        <v>0</v>
      </c>
      <c r="Y52">
        <v>0</v>
      </c>
    </row>
    <row r="53" spans="1:25" x14ac:dyDescent="0.25">
      <c r="A53">
        <v>2</v>
      </c>
      <c r="B53">
        <v>6</v>
      </c>
      <c r="C53">
        <v>33</v>
      </c>
      <c r="D53" t="s">
        <v>372</v>
      </c>
      <c r="E53" t="s">
        <v>71</v>
      </c>
      <c r="F53" t="s">
        <v>72</v>
      </c>
      <c r="G53">
        <v>123</v>
      </c>
      <c r="H53" s="4">
        <v>45688</v>
      </c>
      <c r="I53" s="11">
        <v>45692.460231481484</v>
      </c>
      <c r="K53">
        <v>0</v>
      </c>
      <c r="L53">
        <v>134467</v>
      </c>
      <c r="M53">
        <v>25549</v>
      </c>
      <c r="P53">
        <v>160016</v>
      </c>
      <c r="U53">
        <v>0</v>
      </c>
      <c r="Y53">
        <v>0</v>
      </c>
    </row>
    <row r="54" spans="1:25" x14ac:dyDescent="0.25">
      <c r="A54">
        <v>2</v>
      </c>
      <c r="B54">
        <v>7</v>
      </c>
      <c r="C54">
        <v>33</v>
      </c>
      <c r="D54" t="s">
        <v>372</v>
      </c>
      <c r="E54" t="s">
        <v>83</v>
      </c>
      <c r="F54" t="s">
        <v>84</v>
      </c>
      <c r="G54">
        <v>41660</v>
      </c>
      <c r="H54" s="4">
        <v>45692</v>
      </c>
      <c r="I54" s="11">
        <v>45692.612280092595</v>
      </c>
      <c r="K54">
        <v>0</v>
      </c>
      <c r="L54">
        <v>14370</v>
      </c>
      <c r="M54">
        <v>2730</v>
      </c>
      <c r="P54">
        <v>17100</v>
      </c>
      <c r="U54">
        <v>0</v>
      </c>
      <c r="Y54">
        <v>0</v>
      </c>
    </row>
    <row r="55" spans="1:25" x14ac:dyDescent="0.25">
      <c r="A55">
        <v>2</v>
      </c>
      <c r="B55">
        <v>8</v>
      </c>
      <c r="C55">
        <v>33</v>
      </c>
      <c r="D55" t="s">
        <v>372</v>
      </c>
      <c r="E55" t="s">
        <v>83</v>
      </c>
      <c r="F55" t="s">
        <v>84</v>
      </c>
      <c r="G55">
        <v>41718</v>
      </c>
      <c r="H55" s="4">
        <v>45693</v>
      </c>
      <c r="I55" s="11">
        <v>45693.676296296297</v>
      </c>
      <c r="K55">
        <v>0</v>
      </c>
      <c r="L55">
        <v>46513</v>
      </c>
      <c r="M55">
        <v>8837</v>
      </c>
      <c r="P55">
        <v>55350</v>
      </c>
      <c r="U55">
        <v>0</v>
      </c>
      <c r="Y55">
        <v>0</v>
      </c>
    </row>
    <row r="56" spans="1:25" x14ac:dyDescent="0.25">
      <c r="A56">
        <v>2</v>
      </c>
      <c r="B56">
        <v>9</v>
      </c>
      <c r="C56">
        <v>33</v>
      </c>
      <c r="D56" t="s">
        <v>372</v>
      </c>
      <c r="E56" t="s">
        <v>49</v>
      </c>
      <c r="F56" t="s">
        <v>50</v>
      </c>
      <c r="G56">
        <v>929209</v>
      </c>
      <c r="H56" s="4">
        <v>45695</v>
      </c>
      <c r="I56" s="11">
        <v>45695.616226851853</v>
      </c>
      <c r="K56">
        <v>0</v>
      </c>
      <c r="L56">
        <v>7873</v>
      </c>
      <c r="M56">
        <v>1496</v>
      </c>
      <c r="P56">
        <v>9369</v>
      </c>
      <c r="U56">
        <v>0</v>
      </c>
      <c r="Y56">
        <v>0</v>
      </c>
    </row>
    <row r="57" spans="1:25" x14ac:dyDescent="0.25">
      <c r="A57">
        <v>2</v>
      </c>
      <c r="B57">
        <v>10</v>
      </c>
      <c r="C57">
        <v>33</v>
      </c>
      <c r="D57" t="s">
        <v>372</v>
      </c>
      <c r="E57" t="s">
        <v>83</v>
      </c>
      <c r="F57" t="s">
        <v>84</v>
      </c>
      <c r="G57">
        <v>41843</v>
      </c>
      <c r="H57" s="4">
        <v>45695</v>
      </c>
      <c r="I57" s="11">
        <v>45695.626388888886</v>
      </c>
      <c r="K57">
        <v>0</v>
      </c>
      <c r="L57">
        <v>14370</v>
      </c>
      <c r="M57">
        <v>2730</v>
      </c>
      <c r="P57">
        <v>17100</v>
      </c>
      <c r="U57">
        <v>0</v>
      </c>
      <c r="Y57">
        <v>0</v>
      </c>
    </row>
    <row r="58" spans="1:25" x14ac:dyDescent="0.25">
      <c r="A58">
        <v>2</v>
      </c>
      <c r="B58">
        <v>11</v>
      </c>
      <c r="C58">
        <v>33</v>
      </c>
      <c r="D58" t="s">
        <v>372</v>
      </c>
      <c r="E58" t="s">
        <v>385</v>
      </c>
      <c r="F58" t="s">
        <v>386</v>
      </c>
      <c r="G58">
        <v>1156318</v>
      </c>
      <c r="H58" s="4">
        <v>45697</v>
      </c>
      <c r="I58" s="11">
        <v>45697.777499999997</v>
      </c>
      <c r="K58">
        <v>0</v>
      </c>
      <c r="L58">
        <v>487387</v>
      </c>
      <c r="M58">
        <v>92604</v>
      </c>
      <c r="P58">
        <v>579991</v>
      </c>
      <c r="U58">
        <v>0</v>
      </c>
      <c r="Y58">
        <v>0</v>
      </c>
    </row>
    <row r="59" spans="1:25" x14ac:dyDescent="0.25">
      <c r="A59">
        <v>2</v>
      </c>
      <c r="B59">
        <v>12</v>
      </c>
      <c r="C59">
        <v>33</v>
      </c>
      <c r="D59" t="s">
        <v>372</v>
      </c>
      <c r="E59" t="s">
        <v>51</v>
      </c>
      <c r="F59" t="s">
        <v>52</v>
      </c>
      <c r="G59">
        <v>546010</v>
      </c>
      <c r="H59" s="4">
        <v>45699</v>
      </c>
      <c r="I59" s="11">
        <v>45699.701331018521</v>
      </c>
      <c r="K59">
        <v>0</v>
      </c>
      <c r="L59">
        <v>112510</v>
      </c>
      <c r="M59">
        <v>21377</v>
      </c>
      <c r="P59">
        <v>133887</v>
      </c>
      <c r="U59">
        <v>0</v>
      </c>
      <c r="Y59">
        <v>0</v>
      </c>
    </row>
    <row r="60" spans="1:25" x14ac:dyDescent="0.25">
      <c r="A60">
        <v>2</v>
      </c>
      <c r="B60">
        <v>13</v>
      </c>
      <c r="C60">
        <v>33</v>
      </c>
      <c r="D60" t="s">
        <v>372</v>
      </c>
      <c r="E60" t="s">
        <v>51</v>
      </c>
      <c r="F60" t="s">
        <v>52</v>
      </c>
      <c r="G60">
        <v>546105</v>
      </c>
      <c r="H60" s="4">
        <v>45700</v>
      </c>
      <c r="I60" s="11">
        <v>45700.421724537038</v>
      </c>
      <c r="K60">
        <v>0</v>
      </c>
      <c r="L60">
        <v>18500</v>
      </c>
      <c r="M60">
        <v>3515</v>
      </c>
      <c r="P60">
        <v>22015</v>
      </c>
      <c r="U60">
        <v>0</v>
      </c>
      <c r="Y60">
        <v>0</v>
      </c>
    </row>
    <row r="61" spans="1:25" x14ac:dyDescent="0.25">
      <c r="A61">
        <v>2</v>
      </c>
      <c r="B61">
        <v>14</v>
      </c>
      <c r="C61">
        <v>33</v>
      </c>
      <c r="D61" t="s">
        <v>372</v>
      </c>
      <c r="E61" t="s">
        <v>51</v>
      </c>
      <c r="F61" t="s">
        <v>52</v>
      </c>
      <c r="G61">
        <v>546295</v>
      </c>
      <c r="H61" s="4">
        <v>45700</v>
      </c>
      <c r="I61" s="11">
        <v>45700.689884259256</v>
      </c>
      <c r="K61">
        <v>0</v>
      </c>
      <c r="L61">
        <v>267580</v>
      </c>
      <c r="M61">
        <v>50840</v>
      </c>
      <c r="P61">
        <v>318420</v>
      </c>
      <c r="U61">
        <v>0</v>
      </c>
      <c r="Y61">
        <v>0</v>
      </c>
    </row>
    <row r="62" spans="1:25" x14ac:dyDescent="0.25">
      <c r="A62">
        <v>2</v>
      </c>
      <c r="B62">
        <v>15</v>
      </c>
      <c r="C62">
        <v>33</v>
      </c>
      <c r="D62" t="s">
        <v>372</v>
      </c>
      <c r="E62" t="s">
        <v>83</v>
      </c>
      <c r="F62" t="s">
        <v>84</v>
      </c>
      <c r="G62">
        <v>42246</v>
      </c>
      <c r="H62" s="4">
        <v>45705</v>
      </c>
      <c r="I62" s="11">
        <v>45705.47079861111</v>
      </c>
      <c r="K62">
        <v>0</v>
      </c>
      <c r="L62">
        <v>154412</v>
      </c>
      <c r="M62">
        <v>29338</v>
      </c>
      <c r="P62">
        <v>183750</v>
      </c>
      <c r="U62">
        <v>0</v>
      </c>
      <c r="Y62">
        <v>0</v>
      </c>
    </row>
    <row r="63" spans="1:25" x14ac:dyDescent="0.25">
      <c r="A63">
        <v>2</v>
      </c>
      <c r="B63">
        <v>16</v>
      </c>
      <c r="C63">
        <v>33</v>
      </c>
      <c r="D63" t="s">
        <v>372</v>
      </c>
      <c r="E63" t="s">
        <v>387</v>
      </c>
      <c r="F63" t="s">
        <v>388</v>
      </c>
      <c r="G63">
        <v>5680476</v>
      </c>
      <c r="H63" s="4">
        <v>45708</v>
      </c>
      <c r="I63" s="11">
        <v>45708.971284722225</v>
      </c>
      <c r="J63" s="11">
        <v>45716.711273148147</v>
      </c>
      <c r="K63">
        <v>0</v>
      </c>
      <c r="L63">
        <v>15332</v>
      </c>
      <c r="M63">
        <v>2913</v>
      </c>
      <c r="P63">
        <v>18245</v>
      </c>
      <c r="U63">
        <v>0</v>
      </c>
      <c r="Y63">
        <v>0</v>
      </c>
    </row>
    <row r="64" spans="1:25" x14ac:dyDescent="0.25">
      <c r="A64">
        <v>2</v>
      </c>
      <c r="B64">
        <v>17</v>
      </c>
      <c r="C64">
        <v>33</v>
      </c>
      <c r="D64" t="s">
        <v>372</v>
      </c>
      <c r="E64" t="s">
        <v>51</v>
      </c>
      <c r="F64" t="s">
        <v>52</v>
      </c>
      <c r="G64">
        <v>547841</v>
      </c>
      <c r="H64" s="4">
        <v>45709</v>
      </c>
      <c r="I64" s="11">
        <v>45709.582905092589</v>
      </c>
      <c r="J64" s="11">
        <v>45716.711273148147</v>
      </c>
      <c r="K64">
        <v>0</v>
      </c>
      <c r="L64">
        <v>473860</v>
      </c>
      <c r="M64">
        <v>90033</v>
      </c>
      <c r="P64">
        <v>563893</v>
      </c>
      <c r="U64">
        <v>0</v>
      </c>
      <c r="Y64">
        <v>0</v>
      </c>
    </row>
    <row r="65" spans="1:25" x14ac:dyDescent="0.25">
      <c r="A65">
        <v>2</v>
      </c>
      <c r="B65">
        <v>18</v>
      </c>
      <c r="C65">
        <v>61</v>
      </c>
      <c r="D65" t="s">
        <v>372</v>
      </c>
      <c r="E65" t="s">
        <v>113</v>
      </c>
      <c r="F65" t="s">
        <v>373</v>
      </c>
      <c r="G65">
        <v>4991326</v>
      </c>
      <c r="H65" s="4">
        <v>45688</v>
      </c>
      <c r="I65" s="11">
        <v>45690.665902777779</v>
      </c>
      <c r="K65">
        <v>0</v>
      </c>
      <c r="L65">
        <v>5125</v>
      </c>
      <c r="M65">
        <v>974</v>
      </c>
      <c r="P65">
        <v>6099</v>
      </c>
      <c r="U65">
        <v>0</v>
      </c>
      <c r="Y65">
        <v>0</v>
      </c>
    </row>
    <row r="66" spans="1:25" x14ac:dyDescent="0.25">
      <c r="A66">
        <v>3</v>
      </c>
      <c r="B66">
        <v>1</v>
      </c>
      <c r="C66">
        <v>33</v>
      </c>
      <c r="D66" t="s">
        <v>372</v>
      </c>
      <c r="E66" t="s">
        <v>83</v>
      </c>
      <c r="F66" t="s">
        <v>84</v>
      </c>
      <c r="G66">
        <v>42931</v>
      </c>
      <c r="H66" s="4">
        <v>45716</v>
      </c>
      <c r="I66" s="11">
        <v>45716.712488425925</v>
      </c>
      <c r="K66">
        <v>0</v>
      </c>
      <c r="L66">
        <v>23698</v>
      </c>
      <c r="M66">
        <v>4503</v>
      </c>
      <c r="P66">
        <v>28201</v>
      </c>
      <c r="U66">
        <v>0</v>
      </c>
      <c r="Y66">
        <v>0</v>
      </c>
    </row>
    <row r="67" spans="1:25" x14ac:dyDescent="0.25">
      <c r="A67">
        <v>3</v>
      </c>
      <c r="B67">
        <v>2</v>
      </c>
      <c r="C67">
        <v>33</v>
      </c>
      <c r="D67" t="s">
        <v>372</v>
      </c>
      <c r="E67" t="s">
        <v>120</v>
      </c>
      <c r="F67" t="s">
        <v>121</v>
      </c>
      <c r="G67">
        <v>44308</v>
      </c>
      <c r="H67" s="4">
        <v>45716</v>
      </c>
      <c r="I67" s="11">
        <v>45716.714849537035</v>
      </c>
      <c r="K67">
        <v>0</v>
      </c>
      <c r="L67">
        <v>3361</v>
      </c>
      <c r="M67">
        <v>639</v>
      </c>
      <c r="P67">
        <v>4000</v>
      </c>
      <c r="U67">
        <v>0</v>
      </c>
      <c r="Y67">
        <v>0</v>
      </c>
    </row>
    <row r="68" spans="1:25" x14ac:dyDescent="0.25">
      <c r="A68">
        <v>3</v>
      </c>
      <c r="B68">
        <v>3</v>
      </c>
      <c r="C68">
        <v>33</v>
      </c>
      <c r="D68" t="s">
        <v>372</v>
      </c>
      <c r="E68" t="s">
        <v>71</v>
      </c>
      <c r="F68" t="s">
        <v>72</v>
      </c>
      <c r="G68">
        <v>131</v>
      </c>
      <c r="H68" s="4">
        <v>45716</v>
      </c>
      <c r="I68" s="11">
        <v>45716.790555555555</v>
      </c>
      <c r="K68">
        <v>0</v>
      </c>
      <c r="L68">
        <v>134345</v>
      </c>
      <c r="M68">
        <v>25526</v>
      </c>
      <c r="P68">
        <v>159871</v>
      </c>
      <c r="U68">
        <v>0</v>
      </c>
      <c r="Y68">
        <v>0</v>
      </c>
    </row>
    <row r="69" spans="1:25" x14ac:dyDescent="0.25">
      <c r="A69">
        <v>3</v>
      </c>
      <c r="B69">
        <v>4</v>
      </c>
      <c r="C69">
        <v>33</v>
      </c>
      <c r="D69" t="s">
        <v>372</v>
      </c>
      <c r="E69" t="s">
        <v>113</v>
      </c>
      <c r="F69" t="s">
        <v>373</v>
      </c>
      <c r="G69">
        <v>8426194</v>
      </c>
      <c r="H69" s="4">
        <v>45716</v>
      </c>
      <c r="I69" s="11">
        <v>45718.358344907407</v>
      </c>
      <c r="K69">
        <v>0</v>
      </c>
      <c r="L69">
        <v>178180</v>
      </c>
      <c r="M69">
        <v>33854</v>
      </c>
      <c r="P69">
        <v>212034</v>
      </c>
      <c r="U69">
        <v>0</v>
      </c>
      <c r="Y69">
        <v>0</v>
      </c>
    </row>
    <row r="70" spans="1:25" x14ac:dyDescent="0.25">
      <c r="A70">
        <v>3</v>
      </c>
      <c r="B70">
        <v>5</v>
      </c>
      <c r="C70">
        <v>33</v>
      </c>
      <c r="D70" t="s">
        <v>372</v>
      </c>
      <c r="E70" t="s">
        <v>380</v>
      </c>
      <c r="F70" t="s">
        <v>381</v>
      </c>
      <c r="G70">
        <v>52779516</v>
      </c>
      <c r="H70" s="4">
        <v>45717</v>
      </c>
      <c r="I70" s="11">
        <v>45719.004918981482</v>
      </c>
      <c r="K70">
        <v>0</v>
      </c>
      <c r="L70">
        <v>39080</v>
      </c>
      <c r="M70">
        <v>7425</v>
      </c>
      <c r="P70">
        <v>46505</v>
      </c>
      <c r="U70">
        <v>0</v>
      </c>
      <c r="Y70">
        <v>0</v>
      </c>
    </row>
    <row r="71" spans="1:25" x14ac:dyDescent="0.25">
      <c r="A71">
        <v>3</v>
      </c>
      <c r="B71">
        <v>6</v>
      </c>
      <c r="C71">
        <v>33</v>
      </c>
      <c r="D71" t="s">
        <v>372</v>
      </c>
      <c r="E71" t="s">
        <v>382</v>
      </c>
      <c r="F71" t="s">
        <v>383</v>
      </c>
      <c r="G71">
        <v>71526385</v>
      </c>
      <c r="H71" s="4">
        <v>45717</v>
      </c>
      <c r="I71" s="11">
        <v>45719.005613425928</v>
      </c>
      <c r="K71">
        <v>0</v>
      </c>
      <c r="L71">
        <v>31499</v>
      </c>
      <c r="M71">
        <v>5985</v>
      </c>
      <c r="P71">
        <v>37484</v>
      </c>
      <c r="U71">
        <v>0</v>
      </c>
      <c r="Y71">
        <v>0</v>
      </c>
    </row>
    <row r="72" spans="1:25" x14ac:dyDescent="0.25">
      <c r="A72">
        <v>3</v>
      </c>
      <c r="B72">
        <v>7</v>
      </c>
      <c r="C72">
        <v>33</v>
      </c>
      <c r="D72" t="s">
        <v>372</v>
      </c>
      <c r="E72" t="s">
        <v>49</v>
      </c>
      <c r="F72" t="s">
        <v>50</v>
      </c>
      <c r="G72">
        <v>935735</v>
      </c>
      <c r="H72" s="4">
        <v>45720</v>
      </c>
      <c r="I72" s="11">
        <v>45720.530891203707</v>
      </c>
      <c r="K72">
        <v>0</v>
      </c>
      <c r="L72">
        <v>5773</v>
      </c>
      <c r="M72">
        <v>1097</v>
      </c>
      <c r="P72">
        <v>6870</v>
      </c>
      <c r="U72">
        <v>0</v>
      </c>
      <c r="Y72">
        <v>0</v>
      </c>
    </row>
    <row r="73" spans="1:25" x14ac:dyDescent="0.25">
      <c r="A73">
        <v>3</v>
      </c>
      <c r="B73">
        <v>8</v>
      </c>
      <c r="C73">
        <v>33</v>
      </c>
      <c r="D73" t="s">
        <v>372</v>
      </c>
      <c r="E73" t="s">
        <v>85</v>
      </c>
      <c r="F73" t="s">
        <v>86</v>
      </c>
      <c r="G73">
        <v>485075</v>
      </c>
      <c r="H73" s="4">
        <v>45720</v>
      </c>
      <c r="I73" s="11">
        <v>45720.621018518519</v>
      </c>
      <c r="K73">
        <v>0</v>
      </c>
      <c r="L73">
        <v>7192</v>
      </c>
      <c r="M73">
        <v>1366</v>
      </c>
      <c r="P73">
        <v>8558</v>
      </c>
      <c r="U73">
        <v>0</v>
      </c>
      <c r="Y73">
        <v>0</v>
      </c>
    </row>
    <row r="74" spans="1:25" x14ac:dyDescent="0.25">
      <c r="A74">
        <v>3</v>
      </c>
      <c r="B74">
        <v>9</v>
      </c>
      <c r="C74">
        <v>33</v>
      </c>
      <c r="D74" t="s">
        <v>372</v>
      </c>
      <c r="E74" t="s">
        <v>49</v>
      </c>
      <c r="F74" t="s">
        <v>50</v>
      </c>
      <c r="G74">
        <v>936178</v>
      </c>
      <c r="H74" s="4">
        <v>45721</v>
      </c>
      <c r="I74" s="11">
        <v>45721.509780092594</v>
      </c>
      <c r="K74">
        <v>0</v>
      </c>
      <c r="L74">
        <v>55378</v>
      </c>
      <c r="M74">
        <v>10522</v>
      </c>
      <c r="P74">
        <v>65900</v>
      </c>
      <c r="U74">
        <v>0</v>
      </c>
      <c r="Y74">
        <v>0</v>
      </c>
    </row>
    <row r="75" spans="1:25" x14ac:dyDescent="0.25">
      <c r="A75">
        <v>3</v>
      </c>
      <c r="B75">
        <v>10</v>
      </c>
      <c r="C75">
        <v>33</v>
      </c>
      <c r="D75" t="s">
        <v>372</v>
      </c>
      <c r="E75" t="s">
        <v>83</v>
      </c>
      <c r="F75" t="s">
        <v>84</v>
      </c>
      <c r="G75">
        <v>43150</v>
      </c>
      <c r="H75" s="4">
        <v>45721</v>
      </c>
      <c r="I75" s="11">
        <v>45721.524814814817</v>
      </c>
      <c r="K75">
        <v>0</v>
      </c>
      <c r="L75">
        <v>170168</v>
      </c>
      <c r="M75">
        <v>32332</v>
      </c>
      <c r="P75">
        <v>202500</v>
      </c>
      <c r="U75">
        <v>0</v>
      </c>
      <c r="Y75">
        <v>0</v>
      </c>
    </row>
    <row r="76" spans="1:25" x14ac:dyDescent="0.25">
      <c r="A76">
        <v>3</v>
      </c>
      <c r="B76">
        <v>11</v>
      </c>
      <c r="C76">
        <v>33</v>
      </c>
      <c r="D76" t="s">
        <v>372</v>
      </c>
      <c r="E76" t="s">
        <v>83</v>
      </c>
      <c r="F76" t="s">
        <v>84</v>
      </c>
      <c r="G76">
        <v>43262</v>
      </c>
      <c r="H76" s="4">
        <v>45722</v>
      </c>
      <c r="I76" s="11">
        <v>45722.688043981485</v>
      </c>
      <c r="K76">
        <v>0</v>
      </c>
      <c r="L76">
        <v>78151</v>
      </c>
      <c r="M76">
        <v>14849</v>
      </c>
      <c r="P76">
        <v>93000</v>
      </c>
      <c r="U76">
        <v>0</v>
      </c>
      <c r="Y76">
        <v>0</v>
      </c>
    </row>
    <row r="77" spans="1:25" x14ac:dyDescent="0.25">
      <c r="A77">
        <v>3</v>
      </c>
      <c r="B77">
        <v>12</v>
      </c>
      <c r="C77">
        <v>33</v>
      </c>
      <c r="D77" t="s">
        <v>372</v>
      </c>
      <c r="E77" t="s">
        <v>49</v>
      </c>
      <c r="F77" t="s">
        <v>50</v>
      </c>
      <c r="G77">
        <v>936878</v>
      </c>
      <c r="H77" s="4">
        <v>45722</v>
      </c>
      <c r="I77" s="11">
        <v>45722.695729166669</v>
      </c>
      <c r="K77">
        <v>0</v>
      </c>
      <c r="L77">
        <v>5462</v>
      </c>
      <c r="M77">
        <v>1038</v>
      </c>
      <c r="P77">
        <v>6500</v>
      </c>
      <c r="U77">
        <v>0</v>
      </c>
      <c r="Y77">
        <v>0</v>
      </c>
    </row>
    <row r="78" spans="1:25" x14ac:dyDescent="0.25">
      <c r="A78">
        <v>3</v>
      </c>
      <c r="B78">
        <v>13</v>
      </c>
      <c r="C78">
        <v>33</v>
      </c>
      <c r="D78" t="s">
        <v>372</v>
      </c>
      <c r="E78" t="s">
        <v>83</v>
      </c>
      <c r="F78" t="s">
        <v>84</v>
      </c>
      <c r="G78">
        <v>43393</v>
      </c>
      <c r="H78" s="4">
        <v>45726</v>
      </c>
      <c r="I78" s="11">
        <v>45726.49622685185</v>
      </c>
      <c r="K78">
        <v>0</v>
      </c>
      <c r="L78">
        <v>120421</v>
      </c>
      <c r="M78">
        <v>22880</v>
      </c>
      <c r="P78">
        <v>143301</v>
      </c>
      <c r="U78">
        <v>0</v>
      </c>
      <c r="Y78">
        <v>0</v>
      </c>
    </row>
    <row r="79" spans="1:25" x14ac:dyDescent="0.25">
      <c r="A79">
        <v>3</v>
      </c>
      <c r="B79">
        <v>14</v>
      </c>
      <c r="C79">
        <v>33</v>
      </c>
      <c r="D79" t="s">
        <v>372</v>
      </c>
      <c r="E79" t="s">
        <v>51</v>
      </c>
      <c r="F79" t="s">
        <v>52</v>
      </c>
      <c r="G79">
        <v>550739</v>
      </c>
      <c r="H79" s="4">
        <v>45726</v>
      </c>
      <c r="I79" s="11">
        <v>45726.496840277781</v>
      </c>
      <c r="K79">
        <v>0</v>
      </c>
      <c r="L79">
        <v>61880</v>
      </c>
      <c r="M79">
        <v>11757</v>
      </c>
      <c r="P79">
        <v>73637</v>
      </c>
      <c r="U79">
        <v>0</v>
      </c>
      <c r="Y79">
        <v>0</v>
      </c>
    </row>
    <row r="80" spans="1:25" x14ac:dyDescent="0.25">
      <c r="A80">
        <v>3</v>
      </c>
      <c r="B80">
        <v>15</v>
      </c>
      <c r="C80">
        <v>33</v>
      </c>
      <c r="D80" t="s">
        <v>372</v>
      </c>
      <c r="E80" t="s">
        <v>49</v>
      </c>
      <c r="F80" t="s">
        <v>50</v>
      </c>
      <c r="G80">
        <v>937565</v>
      </c>
      <c r="H80" s="4">
        <v>45726</v>
      </c>
      <c r="I80" s="11">
        <v>45726.506192129629</v>
      </c>
      <c r="K80">
        <v>0</v>
      </c>
      <c r="L80">
        <v>3849</v>
      </c>
      <c r="M80">
        <v>731</v>
      </c>
      <c r="P80">
        <v>4580</v>
      </c>
      <c r="U80">
        <v>0</v>
      </c>
      <c r="Y80">
        <v>0</v>
      </c>
    </row>
    <row r="81" spans="1:25" x14ac:dyDescent="0.25">
      <c r="A81">
        <v>3</v>
      </c>
      <c r="B81">
        <v>16</v>
      </c>
      <c r="C81">
        <v>33</v>
      </c>
      <c r="D81" t="s">
        <v>372</v>
      </c>
      <c r="E81" t="s">
        <v>45</v>
      </c>
      <c r="F81" t="s">
        <v>46</v>
      </c>
      <c r="G81">
        <v>250711</v>
      </c>
      <c r="H81" s="4">
        <v>45726</v>
      </c>
      <c r="I81" s="11">
        <v>45726.514432870368</v>
      </c>
      <c r="K81">
        <v>0</v>
      </c>
      <c r="L81">
        <v>82773</v>
      </c>
      <c r="M81">
        <v>15727</v>
      </c>
      <c r="P81">
        <v>98500</v>
      </c>
      <c r="U81">
        <v>0</v>
      </c>
      <c r="Y81">
        <v>0</v>
      </c>
    </row>
    <row r="82" spans="1:25" x14ac:dyDescent="0.25">
      <c r="A82">
        <v>3</v>
      </c>
      <c r="B82">
        <v>17</v>
      </c>
      <c r="C82">
        <v>33</v>
      </c>
      <c r="D82" t="s">
        <v>372</v>
      </c>
      <c r="E82" t="s">
        <v>49</v>
      </c>
      <c r="F82" t="s">
        <v>50</v>
      </c>
      <c r="G82">
        <v>938029</v>
      </c>
      <c r="H82" s="4">
        <v>45727</v>
      </c>
      <c r="I82" s="11">
        <v>45727.492719907408</v>
      </c>
      <c r="K82">
        <v>0</v>
      </c>
      <c r="L82">
        <v>17076</v>
      </c>
      <c r="M82">
        <v>3244</v>
      </c>
      <c r="P82">
        <v>20320</v>
      </c>
      <c r="U82">
        <v>0</v>
      </c>
      <c r="Y82">
        <v>0</v>
      </c>
    </row>
    <row r="83" spans="1:25" x14ac:dyDescent="0.25">
      <c r="A83">
        <v>3</v>
      </c>
      <c r="B83">
        <v>18</v>
      </c>
      <c r="C83">
        <v>33</v>
      </c>
      <c r="D83" t="s">
        <v>372</v>
      </c>
      <c r="E83" t="s">
        <v>83</v>
      </c>
      <c r="F83" t="s">
        <v>84</v>
      </c>
      <c r="G83">
        <v>43459</v>
      </c>
      <c r="H83" s="4">
        <v>45727</v>
      </c>
      <c r="I83" s="11">
        <v>45727.497824074075</v>
      </c>
      <c r="K83">
        <v>0</v>
      </c>
      <c r="L83">
        <v>14370</v>
      </c>
      <c r="M83">
        <v>2730</v>
      </c>
      <c r="P83">
        <v>17100</v>
      </c>
      <c r="U83">
        <v>0</v>
      </c>
      <c r="Y83">
        <v>0</v>
      </c>
    </row>
    <row r="84" spans="1:25" x14ac:dyDescent="0.25">
      <c r="A84">
        <v>3</v>
      </c>
      <c r="B84">
        <v>19</v>
      </c>
      <c r="C84">
        <v>33</v>
      </c>
      <c r="D84" t="s">
        <v>372</v>
      </c>
      <c r="E84" t="s">
        <v>83</v>
      </c>
      <c r="F84" t="s">
        <v>84</v>
      </c>
      <c r="G84">
        <v>43626</v>
      </c>
      <c r="H84" s="4">
        <v>45729</v>
      </c>
      <c r="I84" s="11">
        <v>45729.497037037036</v>
      </c>
      <c r="K84">
        <v>0</v>
      </c>
      <c r="L84">
        <v>482875</v>
      </c>
      <c r="M84">
        <v>91746</v>
      </c>
      <c r="P84">
        <v>574621</v>
      </c>
      <c r="U84">
        <v>0</v>
      </c>
      <c r="Y84">
        <v>0</v>
      </c>
    </row>
    <row r="85" spans="1:25" x14ac:dyDescent="0.25">
      <c r="A85">
        <v>3</v>
      </c>
      <c r="B85">
        <v>20</v>
      </c>
      <c r="C85">
        <v>33</v>
      </c>
      <c r="D85" t="s">
        <v>372</v>
      </c>
      <c r="E85" t="s">
        <v>49</v>
      </c>
      <c r="F85" t="s">
        <v>50</v>
      </c>
      <c r="G85">
        <v>940027</v>
      </c>
      <c r="H85" s="4">
        <v>45733</v>
      </c>
      <c r="I85" s="11">
        <v>45733.721944444442</v>
      </c>
      <c r="K85">
        <v>0</v>
      </c>
      <c r="L85">
        <v>1924</v>
      </c>
      <c r="M85">
        <v>366</v>
      </c>
      <c r="P85">
        <v>2290</v>
      </c>
      <c r="U85">
        <v>0</v>
      </c>
      <c r="Y85">
        <v>0</v>
      </c>
    </row>
    <row r="86" spans="1:25" x14ac:dyDescent="0.25">
      <c r="A86">
        <v>3</v>
      </c>
      <c r="B86">
        <v>21</v>
      </c>
      <c r="C86">
        <v>33</v>
      </c>
      <c r="D86" t="s">
        <v>372</v>
      </c>
      <c r="E86" t="s">
        <v>83</v>
      </c>
      <c r="F86" t="s">
        <v>84</v>
      </c>
      <c r="G86">
        <v>43849</v>
      </c>
      <c r="H86" s="4">
        <v>45733</v>
      </c>
      <c r="I86" s="11">
        <v>45733.724664351852</v>
      </c>
      <c r="K86">
        <v>0</v>
      </c>
      <c r="L86">
        <v>2941</v>
      </c>
      <c r="M86">
        <v>559</v>
      </c>
      <c r="P86">
        <v>3500</v>
      </c>
      <c r="U86">
        <v>0</v>
      </c>
      <c r="Y86">
        <v>0</v>
      </c>
    </row>
    <row r="87" spans="1:25" x14ac:dyDescent="0.25">
      <c r="A87">
        <v>3</v>
      </c>
      <c r="B87">
        <v>22</v>
      </c>
      <c r="C87">
        <v>33</v>
      </c>
      <c r="D87" t="s">
        <v>372</v>
      </c>
      <c r="E87" t="s">
        <v>51</v>
      </c>
      <c r="F87" t="s">
        <v>52</v>
      </c>
      <c r="G87">
        <v>553494</v>
      </c>
      <c r="H87" s="4">
        <v>45735</v>
      </c>
      <c r="I87" s="11">
        <v>45735.070138888892</v>
      </c>
      <c r="K87">
        <v>0</v>
      </c>
      <c r="L87">
        <v>36810</v>
      </c>
      <c r="M87">
        <v>6994</v>
      </c>
      <c r="P87">
        <v>43804</v>
      </c>
      <c r="U87">
        <v>0</v>
      </c>
      <c r="Y87">
        <v>0</v>
      </c>
    </row>
    <row r="88" spans="1:25" x14ac:dyDescent="0.25">
      <c r="A88">
        <v>3</v>
      </c>
      <c r="B88">
        <v>23</v>
      </c>
      <c r="C88">
        <v>33</v>
      </c>
      <c r="D88" t="s">
        <v>372</v>
      </c>
      <c r="E88" t="s">
        <v>49</v>
      </c>
      <c r="F88" t="s">
        <v>50</v>
      </c>
      <c r="G88">
        <v>940679</v>
      </c>
      <c r="H88" s="4">
        <v>45735</v>
      </c>
      <c r="I88" s="11">
        <v>45735.513935185183</v>
      </c>
      <c r="K88">
        <v>0</v>
      </c>
      <c r="L88">
        <v>131953</v>
      </c>
      <c r="M88">
        <v>25071</v>
      </c>
      <c r="P88">
        <v>157024</v>
      </c>
      <c r="U88">
        <v>0</v>
      </c>
      <c r="Y88">
        <v>0</v>
      </c>
    </row>
    <row r="89" spans="1:25" x14ac:dyDescent="0.25">
      <c r="A89">
        <v>3</v>
      </c>
      <c r="B89">
        <v>24</v>
      </c>
      <c r="C89">
        <v>33</v>
      </c>
      <c r="D89" t="s">
        <v>372</v>
      </c>
      <c r="E89" t="s">
        <v>83</v>
      </c>
      <c r="F89" t="s">
        <v>84</v>
      </c>
      <c r="G89">
        <v>44137</v>
      </c>
      <c r="H89" s="4">
        <v>45737</v>
      </c>
      <c r="I89" s="11">
        <v>45737.570127314815</v>
      </c>
      <c r="K89">
        <v>0</v>
      </c>
      <c r="L89">
        <v>68992</v>
      </c>
      <c r="M89">
        <v>13108</v>
      </c>
      <c r="P89">
        <v>82100</v>
      </c>
      <c r="U89">
        <v>0</v>
      </c>
      <c r="Y89">
        <v>0</v>
      </c>
    </row>
    <row r="90" spans="1:25" x14ac:dyDescent="0.25">
      <c r="A90">
        <v>3</v>
      </c>
      <c r="B90">
        <v>25</v>
      </c>
      <c r="C90">
        <v>33</v>
      </c>
      <c r="D90" t="s">
        <v>372</v>
      </c>
      <c r="E90" t="s">
        <v>63</v>
      </c>
      <c r="F90" t="s">
        <v>64</v>
      </c>
      <c r="G90">
        <v>428530</v>
      </c>
      <c r="H90" s="4">
        <v>45737</v>
      </c>
      <c r="I90" s="11">
        <v>45737.571377314816</v>
      </c>
      <c r="K90">
        <v>0</v>
      </c>
      <c r="L90">
        <v>12544</v>
      </c>
      <c r="M90">
        <v>2383</v>
      </c>
      <c r="P90">
        <v>14927</v>
      </c>
      <c r="U90">
        <v>0</v>
      </c>
      <c r="Y90">
        <v>0</v>
      </c>
    </row>
    <row r="91" spans="1:25" x14ac:dyDescent="0.25">
      <c r="A91">
        <v>3</v>
      </c>
      <c r="B91">
        <v>26</v>
      </c>
      <c r="C91">
        <v>33</v>
      </c>
      <c r="D91" t="s">
        <v>372</v>
      </c>
      <c r="E91" t="s">
        <v>49</v>
      </c>
      <c r="F91" t="s">
        <v>50</v>
      </c>
      <c r="G91">
        <v>941642</v>
      </c>
      <c r="H91" s="4">
        <v>45737</v>
      </c>
      <c r="I91" s="11">
        <v>45737.584004629629</v>
      </c>
      <c r="K91">
        <v>0</v>
      </c>
      <c r="L91">
        <v>48739</v>
      </c>
      <c r="M91">
        <v>9260</v>
      </c>
      <c r="P91">
        <v>57999</v>
      </c>
      <c r="U91">
        <v>0</v>
      </c>
      <c r="Y91">
        <v>0</v>
      </c>
    </row>
    <row r="92" spans="1:25" x14ac:dyDescent="0.25">
      <c r="A92">
        <v>3</v>
      </c>
      <c r="B92">
        <v>27</v>
      </c>
      <c r="C92">
        <v>33</v>
      </c>
      <c r="D92" t="s">
        <v>372</v>
      </c>
      <c r="E92" t="s">
        <v>49</v>
      </c>
      <c r="F92" t="s">
        <v>50</v>
      </c>
      <c r="G92">
        <v>941643</v>
      </c>
      <c r="H92" s="4">
        <v>45737</v>
      </c>
      <c r="I92" s="11">
        <v>45737.585613425923</v>
      </c>
      <c r="K92">
        <v>0</v>
      </c>
      <c r="L92">
        <v>4534</v>
      </c>
      <c r="M92">
        <v>861</v>
      </c>
      <c r="P92">
        <v>5395</v>
      </c>
      <c r="U92">
        <v>0</v>
      </c>
      <c r="Y92">
        <v>0</v>
      </c>
    </row>
    <row r="93" spans="1:25" x14ac:dyDescent="0.25">
      <c r="A93">
        <v>3</v>
      </c>
      <c r="B93">
        <v>28</v>
      </c>
      <c r="C93">
        <v>33</v>
      </c>
      <c r="D93" t="s">
        <v>372</v>
      </c>
      <c r="E93" t="s">
        <v>51</v>
      </c>
      <c r="F93" t="s">
        <v>52</v>
      </c>
      <c r="G93">
        <v>555003</v>
      </c>
      <c r="H93" s="4">
        <v>45740</v>
      </c>
      <c r="I93" s="11">
        <v>45740.608101851853</v>
      </c>
      <c r="K93">
        <v>0</v>
      </c>
      <c r="L93">
        <v>141280</v>
      </c>
      <c r="M93">
        <v>26843</v>
      </c>
      <c r="P93">
        <v>168123</v>
      </c>
      <c r="U93">
        <v>0</v>
      </c>
      <c r="Y93">
        <v>0</v>
      </c>
    </row>
    <row r="94" spans="1:25" x14ac:dyDescent="0.25">
      <c r="A94">
        <v>3</v>
      </c>
      <c r="B94">
        <v>29</v>
      </c>
      <c r="C94">
        <v>33</v>
      </c>
      <c r="D94" t="s">
        <v>372</v>
      </c>
      <c r="E94" t="s">
        <v>83</v>
      </c>
      <c r="F94" t="s">
        <v>84</v>
      </c>
      <c r="G94">
        <v>44301</v>
      </c>
      <c r="H94" s="4">
        <v>45741</v>
      </c>
      <c r="I94" s="11">
        <v>45741.480671296296</v>
      </c>
      <c r="J94" s="11">
        <v>45747.856562499997</v>
      </c>
      <c r="K94">
        <v>0</v>
      </c>
      <c r="L94">
        <v>88235</v>
      </c>
      <c r="M94">
        <v>16765</v>
      </c>
      <c r="P94">
        <v>105000</v>
      </c>
      <c r="U94">
        <v>0</v>
      </c>
      <c r="Y94">
        <v>0</v>
      </c>
    </row>
    <row r="95" spans="1:25" x14ac:dyDescent="0.25">
      <c r="A95">
        <v>3</v>
      </c>
      <c r="B95">
        <v>30</v>
      </c>
      <c r="C95">
        <v>33</v>
      </c>
      <c r="D95" t="s">
        <v>372</v>
      </c>
      <c r="E95" t="s">
        <v>109</v>
      </c>
      <c r="F95" t="s">
        <v>110</v>
      </c>
      <c r="G95">
        <v>16677</v>
      </c>
      <c r="H95" s="4">
        <v>45742</v>
      </c>
      <c r="I95" s="11">
        <v>45742.478645833333</v>
      </c>
      <c r="K95">
        <v>0</v>
      </c>
      <c r="L95">
        <v>50316</v>
      </c>
      <c r="M95">
        <v>9560</v>
      </c>
      <c r="P95">
        <v>59876</v>
      </c>
      <c r="U95">
        <v>0</v>
      </c>
      <c r="Y95">
        <v>0</v>
      </c>
    </row>
    <row r="96" spans="1:25" x14ac:dyDescent="0.25">
      <c r="A96">
        <v>3</v>
      </c>
      <c r="B96">
        <v>31</v>
      </c>
      <c r="C96">
        <v>33</v>
      </c>
      <c r="D96" t="s">
        <v>372</v>
      </c>
      <c r="E96" t="s">
        <v>51</v>
      </c>
      <c r="F96" t="s">
        <v>52</v>
      </c>
      <c r="G96">
        <v>556263</v>
      </c>
      <c r="H96" s="4">
        <v>45743</v>
      </c>
      <c r="I96" s="11">
        <v>45743.472141203703</v>
      </c>
      <c r="K96">
        <v>0</v>
      </c>
      <c r="L96">
        <v>74000</v>
      </c>
      <c r="M96">
        <v>14060</v>
      </c>
      <c r="P96">
        <v>88060</v>
      </c>
      <c r="U96">
        <v>0</v>
      </c>
      <c r="Y96">
        <v>0</v>
      </c>
    </row>
    <row r="97" spans="1:25" x14ac:dyDescent="0.25">
      <c r="A97">
        <v>3</v>
      </c>
      <c r="B97">
        <v>32</v>
      </c>
      <c r="C97">
        <v>33</v>
      </c>
      <c r="D97" t="s">
        <v>372</v>
      </c>
      <c r="E97" t="s">
        <v>83</v>
      </c>
      <c r="F97" t="s">
        <v>84</v>
      </c>
      <c r="G97">
        <v>44571</v>
      </c>
      <c r="H97" s="4">
        <v>45744</v>
      </c>
      <c r="I97" s="11">
        <v>45744.489328703705</v>
      </c>
      <c r="J97" s="11">
        <v>45747.856562499997</v>
      </c>
      <c r="K97">
        <v>0</v>
      </c>
      <c r="L97">
        <v>89664</v>
      </c>
      <c r="M97">
        <v>17036</v>
      </c>
      <c r="P97">
        <v>106700</v>
      </c>
      <c r="U97">
        <v>0</v>
      </c>
      <c r="Y97">
        <v>0</v>
      </c>
    </row>
    <row r="98" spans="1:25" x14ac:dyDescent="0.25">
      <c r="A98">
        <v>3</v>
      </c>
      <c r="B98">
        <v>33</v>
      </c>
      <c r="C98">
        <v>33</v>
      </c>
      <c r="D98" t="s">
        <v>372</v>
      </c>
      <c r="E98" t="s">
        <v>51</v>
      </c>
      <c r="F98" t="s">
        <v>52</v>
      </c>
      <c r="G98">
        <v>556826</v>
      </c>
      <c r="H98" s="4">
        <v>45744</v>
      </c>
      <c r="I98" s="11">
        <v>45744.686805555553</v>
      </c>
      <c r="K98">
        <v>0</v>
      </c>
      <c r="L98">
        <v>144850</v>
      </c>
      <c r="M98">
        <v>27522</v>
      </c>
      <c r="P98">
        <v>172372</v>
      </c>
      <c r="U98">
        <v>0</v>
      </c>
      <c r="Y98">
        <v>0</v>
      </c>
    </row>
    <row r="99" spans="1:25" x14ac:dyDescent="0.25">
      <c r="A99">
        <v>3</v>
      </c>
      <c r="B99">
        <v>34</v>
      </c>
      <c r="C99">
        <v>33</v>
      </c>
      <c r="D99" t="s">
        <v>372</v>
      </c>
      <c r="E99" t="s">
        <v>105</v>
      </c>
      <c r="F99" t="s">
        <v>106</v>
      </c>
      <c r="G99">
        <v>40469</v>
      </c>
      <c r="H99" s="4">
        <v>45744</v>
      </c>
      <c r="I99" s="11">
        <v>45744.696319444447</v>
      </c>
      <c r="K99">
        <v>0</v>
      </c>
      <c r="L99">
        <v>9300</v>
      </c>
      <c r="M99">
        <v>1767</v>
      </c>
      <c r="P99">
        <v>11067</v>
      </c>
      <c r="U99">
        <v>0</v>
      </c>
      <c r="Y99">
        <v>0</v>
      </c>
    </row>
    <row r="100" spans="1:25" x14ac:dyDescent="0.25">
      <c r="A100">
        <v>3</v>
      </c>
      <c r="B100">
        <v>35</v>
      </c>
      <c r="C100">
        <v>33</v>
      </c>
      <c r="D100" t="s">
        <v>372</v>
      </c>
      <c r="E100" t="s">
        <v>83</v>
      </c>
      <c r="F100" t="s">
        <v>84</v>
      </c>
      <c r="G100">
        <v>44756</v>
      </c>
      <c r="H100" s="4">
        <v>45747</v>
      </c>
      <c r="I100" s="11">
        <v>45747.690266203703</v>
      </c>
      <c r="J100" s="11">
        <v>45747.856562499997</v>
      </c>
      <c r="K100">
        <v>0</v>
      </c>
      <c r="L100">
        <v>411467</v>
      </c>
      <c r="M100">
        <v>78179</v>
      </c>
      <c r="P100">
        <v>489646</v>
      </c>
      <c r="U100">
        <v>0</v>
      </c>
      <c r="Y100">
        <v>0</v>
      </c>
    </row>
    <row r="101" spans="1:25" x14ac:dyDescent="0.25">
      <c r="A101">
        <v>3</v>
      </c>
      <c r="B101">
        <v>36</v>
      </c>
      <c r="C101">
        <v>33</v>
      </c>
      <c r="D101" t="s">
        <v>372</v>
      </c>
      <c r="E101" t="s">
        <v>83</v>
      </c>
      <c r="F101" t="s">
        <v>84</v>
      </c>
      <c r="G101">
        <v>44762</v>
      </c>
      <c r="H101" s="4">
        <v>45747</v>
      </c>
      <c r="I101" s="11">
        <v>45747.703738425924</v>
      </c>
      <c r="J101" s="11">
        <v>45747.856550925928</v>
      </c>
      <c r="K101">
        <v>0</v>
      </c>
      <c r="L101">
        <v>8193</v>
      </c>
      <c r="M101">
        <v>1557</v>
      </c>
      <c r="P101">
        <v>9750</v>
      </c>
      <c r="U101">
        <v>0</v>
      </c>
      <c r="Y101">
        <v>0</v>
      </c>
    </row>
    <row r="102" spans="1:25" x14ac:dyDescent="0.25">
      <c r="A102">
        <v>3</v>
      </c>
      <c r="B102">
        <v>37</v>
      </c>
      <c r="C102">
        <v>33</v>
      </c>
      <c r="D102" t="s">
        <v>372</v>
      </c>
      <c r="E102" t="s">
        <v>71</v>
      </c>
      <c r="F102" t="s">
        <v>72</v>
      </c>
      <c r="G102">
        <v>135</v>
      </c>
      <c r="H102" s="4">
        <v>45747</v>
      </c>
      <c r="I102" s="11">
        <v>45747.801689814813</v>
      </c>
      <c r="J102" s="11">
        <v>45747.856550925928</v>
      </c>
      <c r="K102">
        <v>0</v>
      </c>
      <c r="L102">
        <v>135268</v>
      </c>
      <c r="M102">
        <v>25701</v>
      </c>
      <c r="P102">
        <v>160969</v>
      </c>
      <c r="U102">
        <v>0</v>
      </c>
      <c r="Y102">
        <v>0</v>
      </c>
    </row>
    <row r="103" spans="1:25" x14ac:dyDescent="0.25">
      <c r="A103">
        <v>3</v>
      </c>
      <c r="B103">
        <v>38</v>
      </c>
      <c r="C103">
        <v>61</v>
      </c>
      <c r="D103" t="s">
        <v>372</v>
      </c>
      <c r="E103" t="s">
        <v>49</v>
      </c>
      <c r="F103" t="s">
        <v>50</v>
      </c>
      <c r="G103">
        <v>64633</v>
      </c>
      <c r="H103" s="4">
        <v>45737</v>
      </c>
      <c r="I103" s="11">
        <v>45737.584004629629</v>
      </c>
      <c r="K103">
        <v>0</v>
      </c>
      <c r="L103">
        <v>8796</v>
      </c>
      <c r="M103">
        <v>1671</v>
      </c>
      <c r="P103">
        <v>10467</v>
      </c>
      <c r="U103">
        <v>0</v>
      </c>
      <c r="Y103">
        <v>0</v>
      </c>
    </row>
    <row r="104" spans="1:25" x14ac:dyDescent="0.25">
      <c r="A104">
        <v>3</v>
      </c>
      <c r="B104">
        <v>39</v>
      </c>
      <c r="C104">
        <v>61</v>
      </c>
      <c r="D104" t="s">
        <v>372</v>
      </c>
      <c r="E104" t="s">
        <v>382</v>
      </c>
      <c r="F104" t="s">
        <v>383</v>
      </c>
      <c r="G104">
        <v>59906596</v>
      </c>
      <c r="H104" s="4">
        <v>45745</v>
      </c>
      <c r="I104" s="11">
        <v>45745.949641203704</v>
      </c>
      <c r="K104">
        <v>0</v>
      </c>
      <c r="L104">
        <v>1124</v>
      </c>
      <c r="M104">
        <v>216</v>
      </c>
      <c r="P104">
        <v>1340</v>
      </c>
      <c r="U104">
        <v>0</v>
      </c>
      <c r="Y10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3B4B-2515-EB43-BC9D-DB5AF59D519B}">
  <dimension ref="A1:AR21"/>
  <sheetViews>
    <sheetView workbookViewId="0">
      <selection activeCell="G30" sqref="G30"/>
    </sheetView>
  </sheetViews>
  <sheetFormatPr baseColWidth="10" defaultRowHeight="15.75" x14ac:dyDescent="0.25"/>
  <cols>
    <col min="6" max="6" width="64.375" bestFit="1" customWidth="1"/>
    <col min="7" max="7" width="5.125" bestFit="1" customWidth="1"/>
    <col min="8" max="8" width="11.5" bestFit="1" customWidth="1"/>
    <col min="9" max="9" width="15.125" bestFit="1" customWidth="1"/>
    <col min="10" max="10" width="17.375" bestFit="1" customWidth="1"/>
    <col min="13" max="15" width="10.875" style="6"/>
  </cols>
  <sheetData>
    <row r="1" spans="1:44" x14ac:dyDescent="0.25">
      <c r="A1" t="s">
        <v>384</v>
      </c>
      <c r="B1" t="s">
        <v>345</v>
      </c>
      <c r="C1" t="s">
        <v>346</v>
      </c>
      <c r="D1" t="s">
        <v>389</v>
      </c>
      <c r="E1" t="s">
        <v>390</v>
      </c>
      <c r="F1" t="s">
        <v>349</v>
      </c>
      <c r="G1" t="s">
        <v>350</v>
      </c>
      <c r="H1" t="s">
        <v>351</v>
      </c>
      <c r="I1" t="s">
        <v>352</v>
      </c>
      <c r="J1" t="s">
        <v>391</v>
      </c>
      <c r="K1" t="s">
        <v>392</v>
      </c>
      <c r="L1" t="s">
        <v>354</v>
      </c>
      <c r="M1" s="6" t="s">
        <v>355</v>
      </c>
      <c r="N1" s="6" t="s">
        <v>393</v>
      </c>
      <c r="O1" s="6" t="s">
        <v>394</v>
      </c>
      <c r="P1" t="s">
        <v>395</v>
      </c>
      <c r="Q1" t="s">
        <v>396</v>
      </c>
      <c r="R1" t="s">
        <v>397</v>
      </c>
      <c r="S1" t="s">
        <v>398</v>
      </c>
      <c r="T1" t="s">
        <v>399</v>
      </c>
      <c r="U1" t="s">
        <v>400</v>
      </c>
      <c r="V1" t="s">
        <v>401</v>
      </c>
      <c r="W1" t="s">
        <v>402</v>
      </c>
      <c r="X1" t="s">
        <v>403</v>
      </c>
      <c r="Y1" t="s">
        <v>404</v>
      </c>
      <c r="Z1" t="s">
        <v>405</v>
      </c>
      <c r="AA1" t="s">
        <v>406</v>
      </c>
      <c r="AB1" t="s">
        <v>407</v>
      </c>
      <c r="AC1" t="s">
        <v>408</v>
      </c>
      <c r="AD1" t="s">
        <v>409</v>
      </c>
      <c r="AE1" t="s">
        <v>410</v>
      </c>
      <c r="AF1" t="s">
        <v>411</v>
      </c>
      <c r="AG1" t="s">
        <v>412</v>
      </c>
      <c r="AH1" t="s">
        <v>413</v>
      </c>
      <c r="AI1" t="s">
        <v>414</v>
      </c>
      <c r="AJ1" t="s">
        <v>415</v>
      </c>
      <c r="AK1" t="s">
        <v>416</v>
      </c>
      <c r="AL1" t="s">
        <v>417</v>
      </c>
      <c r="AM1" t="s">
        <v>418</v>
      </c>
      <c r="AN1" t="s">
        <v>419</v>
      </c>
      <c r="AO1" t="s">
        <v>368</v>
      </c>
      <c r="AP1" t="s">
        <v>420</v>
      </c>
      <c r="AQ1" t="s">
        <v>421</v>
      </c>
      <c r="AR1" t="s">
        <v>422</v>
      </c>
    </row>
    <row r="2" spans="1:44" x14ac:dyDescent="0.25">
      <c r="A2">
        <v>1</v>
      </c>
      <c r="B2">
        <v>1</v>
      </c>
      <c r="C2">
        <v>33</v>
      </c>
      <c r="D2" t="s">
        <v>372</v>
      </c>
      <c r="E2" t="s">
        <v>423</v>
      </c>
      <c r="F2" t="s">
        <v>424</v>
      </c>
      <c r="G2">
        <v>925</v>
      </c>
      <c r="H2" s="4">
        <v>45660</v>
      </c>
      <c r="I2" s="11">
        <v>45660.55736111111</v>
      </c>
      <c r="J2" s="11">
        <v>45663.838541666664</v>
      </c>
      <c r="L2">
        <v>0</v>
      </c>
      <c r="M2" s="6">
        <v>65940</v>
      </c>
      <c r="N2" s="6">
        <v>12529</v>
      </c>
      <c r="O2" s="6">
        <v>78469</v>
      </c>
      <c r="P2">
        <v>0</v>
      </c>
      <c r="Q2">
        <v>0</v>
      </c>
      <c r="R2">
        <v>0</v>
      </c>
      <c r="S2">
        <v>0</v>
      </c>
      <c r="T2">
        <v>0</v>
      </c>
      <c r="U2" t="s">
        <v>425</v>
      </c>
      <c r="V2">
        <v>0</v>
      </c>
      <c r="W2">
        <v>0</v>
      </c>
      <c r="X2">
        <v>0</v>
      </c>
      <c r="Y2">
        <v>0</v>
      </c>
      <c r="AD2">
        <v>0</v>
      </c>
      <c r="AF2">
        <v>0</v>
      </c>
      <c r="AG2">
        <v>2</v>
      </c>
      <c r="AH2">
        <v>0</v>
      </c>
      <c r="AI2">
        <v>0</v>
      </c>
      <c r="AJ2">
        <v>0</v>
      </c>
      <c r="AN2">
        <v>79664692</v>
      </c>
    </row>
    <row r="3" spans="1:44" x14ac:dyDescent="0.25">
      <c r="A3">
        <v>1</v>
      </c>
      <c r="B3">
        <v>2</v>
      </c>
      <c r="C3">
        <v>33</v>
      </c>
      <c r="D3" t="s">
        <v>372</v>
      </c>
      <c r="E3" t="s">
        <v>426</v>
      </c>
      <c r="F3" t="s">
        <v>427</v>
      </c>
      <c r="G3">
        <v>926</v>
      </c>
      <c r="H3" s="4">
        <v>45665</v>
      </c>
      <c r="I3" s="11">
        <v>45665.582754629628</v>
      </c>
      <c r="L3">
        <v>0</v>
      </c>
      <c r="M3" s="6">
        <v>284700</v>
      </c>
      <c r="N3" s="6">
        <v>54093</v>
      </c>
      <c r="O3" s="6">
        <v>338793</v>
      </c>
      <c r="P3">
        <v>0</v>
      </c>
      <c r="Q3">
        <v>0</v>
      </c>
      <c r="R3">
        <v>0</v>
      </c>
      <c r="S3">
        <v>0</v>
      </c>
      <c r="T3">
        <v>0</v>
      </c>
      <c r="U3" t="s">
        <v>425</v>
      </c>
      <c r="V3">
        <v>0</v>
      </c>
      <c r="W3">
        <v>0</v>
      </c>
      <c r="X3">
        <v>0</v>
      </c>
      <c r="Y3">
        <v>0</v>
      </c>
      <c r="Z3">
        <v>0</v>
      </c>
      <c r="AD3">
        <v>0</v>
      </c>
      <c r="AF3">
        <v>0</v>
      </c>
      <c r="AG3">
        <v>1</v>
      </c>
      <c r="AH3">
        <v>0</v>
      </c>
      <c r="AI3">
        <v>0</v>
      </c>
      <c r="AJ3">
        <v>0</v>
      </c>
      <c r="AN3">
        <v>79664692</v>
      </c>
    </row>
    <row r="4" spans="1:44" x14ac:dyDescent="0.25">
      <c r="A4">
        <v>1</v>
      </c>
      <c r="B4">
        <v>3</v>
      </c>
      <c r="C4">
        <v>33</v>
      </c>
      <c r="D4" t="s">
        <v>372</v>
      </c>
      <c r="E4" t="s">
        <v>428</v>
      </c>
      <c r="F4" t="s">
        <v>429</v>
      </c>
      <c r="G4">
        <v>927</v>
      </c>
      <c r="H4" s="4">
        <v>45670</v>
      </c>
      <c r="I4" s="11">
        <v>45670.625243055554</v>
      </c>
      <c r="L4">
        <v>0</v>
      </c>
      <c r="M4" s="6">
        <v>531700</v>
      </c>
      <c r="N4" s="6">
        <v>101023</v>
      </c>
      <c r="O4" s="6">
        <v>632723</v>
      </c>
      <c r="P4">
        <v>0</v>
      </c>
      <c r="Q4">
        <v>0</v>
      </c>
      <c r="R4">
        <v>0</v>
      </c>
      <c r="S4">
        <v>0</v>
      </c>
      <c r="T4">
        <v>0</v>
      </c>
      <c r="U4" t="s">
        <v>425</v>
      </c>
      <c r="V4">
        <v>0</v>
      </c>
      <c r="W4">
        <v>0</v>
      </c>
      <c r="X4">
        <v>0</v>
      </c>
      <c r="Y4">
        <v>0</v>
      </c>
      <c r="Z4">
        <v>0</v>
      </c>
      <c r="AD4">
        <v>0</v>
      </c>
      <c r="AF4">
        <v>0</v>
      </c>
      <c r="AG4">
        <v>1</v>
      </c>
      <c r="AH4">
        <v>0</v>
      </c>
      <c r="AI4">
        <v>0</v>
      </c>
      <c r="AJ4">
        <v>0</v>
      </c>
      <c r="AN4">
        <v>79664692</v>
      </c>
    </row>
    <row r="5" spans="1:44" x14ac:dyDescent="0.25">
      <c r="A5">
        <v>1</v>
      </c>
      <c r="B5">
        <v>4</v>
      </c>
      <c r="C5">
        <v>33</v>
      </c>
      <c r="D5" t="s">
        <v>372</v>
      </c>
      <c r="E5" t="s">
        <v>430</v>
      </c>
      <c r="F5" t="s">
        <v>431</v>
      </c>
      <c r="G5">
        <v>928</v>
      </c>
      <c r="H5" s="4">
        <v>45672</v>
      </c>
      <c r="I5" s="11">
        <v>45672.683935185189</v>
      </c>
      <c r="L5">
        <v>0</v>
      </c>
      <c r="M5" s="6">
        <v>572400</v>
      </c>
      <c r="N5" s="6">
        <v>108756</v>
      </c>
      <c r="O5" s="6">
        <v>681156</v>
      </c>
      <c r="P5">
        <v>0</v>
      </c>
      <c r="Q5">
        <v>0</v>
      </c>
      <c r="R5">
        <v>0</v>
      </c>
      <c r="S5">
        <v>0</v>
      </c>
      <c r="T5">
        <v>0</v>
      </c>
      <c r="U5" t="s">
        <v>425</v>
      </c>
      <c r="V5">
        <v>0</v>
      </c>
      <c r="W5">
        <v>0</v>
      </c>
      <c r="X5">
        <v>0</v>
      </c>
      <c r="Y5">
        <v>0</v>
      </c>
      <c r="Z5">
        <v>0</v>
      </c>
      <c r="AD5">
        <v>0</v>
      </c>
      <c r="AF5">
        <v>0</v>
      </c>
      <c r="AG5">
        <v>1</v>
      </c>
      <c r="AH5">
        <v>0</v>
      </c>
      <c r="AI5">
        <v>0</v>
      </c>
      <c r="AJ5">
        <v>0</v>
      </c>
      <c r="AN5">
        <v>79664692</v>
      </c>
    </row>
    <row r="6" spans="1:44" x14ac:dyDescent="0.25">
      <c r="A6">
        <v>1</v>
      </c>
      <c r="B6">
        <v>5</v>
      </c>
      <c r="C6">
        <v>33</v>
      </c>
      <c r="D6" t="s">
        <v>372</v>
      </c>
      <c r="E6" t="s">
        <v>264</v>
      </c>
      <c r="F6" t="s">
        <v>265</v>
      </c>
      <c r="G6">
        <v>929</v>
      </c>
      <c r="H6" s="4">
        <v>45678</v>
      </c>
      <c r="I6" s="11">
        <v>45678.622384259259</v>
      </c>
      <c r="L6">
        <v>0</v>
      </c>
      <c r="M6" s="6">
        <v>36600</v>
      </c>
      <c r="N6" s="6">
        <v>6954</v>
      </c>
      <c r="O6" s="6">
        <v>43554</v>
      </c>
      <c r="P6">
        <v>0</v>
      </c>
      <c r="Q6">
        <v>0</v>
      </c>
      <c r="R6">
        <v>0</v>
      </c>
      <c r="S6">
        <v>0</v>
      </c>
      <c r="T6">
        <v>0</v>
      </c>
      <c r="U6" t="s">
        <v>425</v>
      </c>
      <c r="V6">
        <v>0</v>
      </c>
      <c r="W6">
        <v>0</v>
      </c>
      <c r="X6">
        <v>0</v>
      </c>
      <c r="Y6">
        <v>0</v>
      </c>
      <c r="Z6">
        <v>0</v>
      </c>
      <c r="AD6">
        <v>0</v>
      </c>
      <c r="AF6">
        <v>0</v>
      </c>
      <c r="AG6">
        <v>1</v>
      </c>
      <c r="AH6">
        <v>0</v>
      </c>
      <c r="AI6">
        <v>0</v>
      </c>
      <c r="AJ6">
        <v>0</v>
      </c>
      <c r="AN6">
        <v>79664692</v>
      </c>
    </row>
    <row r="7" spans="1:44" x14ac:dyDescent="0.25">
      <c r="A7">
        <v>1</v>
      </c>
      <c r="B7">
        <v>6</v>
      </c>
      <c r="C7">
        <v>33</v>
      </c>
      <c r="D7" t="s">
        <v>372</v>
      </c>
      <c r="E7" t="s">
        <v>432</v>
      </c>
      <c r="F7" t="s">
        <v>433</v>
      </c>
      <c r="G7">
        <v>930</v>
      </c>
      <c r="H7" s="4">
        <v>45679</v>
      </c>
      <c r="I7" s="11">
        <v>45679.546550925923</v>
      </c>
      <c r="J7" s="11">
        <v>45681.251527777778</v>
      </c>
      <c r="L7">
        <v>0</v>
      </c>
      <c r="M7" s="6">
        <v>68400</v>
      </c>
      <c r="N7" s="6">
        <v>12996</v>
      </c>
      <c r="O7" s="6">
        <v>81396</v>
      </c>
      <c r="P7">
        <v>0</v>
      </c>
      <c r="Q7">
        <v>0</v>
      </c>
      <c r="R7">
        <v>0</v>
      </c>
      <c r="S7">
        <v>0</v>
      </c>
      <c r="T7">
        <v>0</v>
      </c>
      <c r="U7" t="s">
        <v>425</v>
      </c>
      <c r="V7">
        <v>0</v>
      </c>
      <c r="W7">
        <v>0</v>
      </c>
      <c r="X7">
        <v>0</v>
      </c>
      <c r="Y7">
        <v>0</v>
      </c>
      <c r="AD7">
        <v>0</v>
      </c>
      <c r="AF7">
        <v>0</v>
      </c>
      <c r="AG7">
        <v>2</v>
      </c>
      <c r="AH7">
        <v>0</v>
      </c>
      <c r="AI7">
        <v>0</v>
      </c>
      <c r="AJ7">
        <v>0</v>
      </c>
      <c r="AN7">
        <v>79664692</v>
      </c>
    </row>
    <row r="8" spans="1:44" x14ac:dyDescent="0.25">
      <c r="A8">
        <v>1</v>
      </c>
      <c r="B8">
        <v>7</v>
      </c>
      <c r="C8">
        <v>33</v>
      </c>
      <c r="D8" t="s">
        <v>372</v>
      </c>
      <c r="E8" t="s">
        <v>434</v>
      </c>
      <c r="F8" t="s">
        <v>435</v>
      </c>
      <c r="G8">
        <v>931</v>
      </c>
      <c r="H8" s="4">
        <v>45679</v>
      </c>
      <c r="I8" s="11">
        <v>45679.685798611114</v>
      </c>
      <c r="L8">
        <v>0</v>
      </c>
      <c r="M8" s="6">
        <v>24900</v>
      </c>
      <c r="N8" s="6">
        <v>4731</v>
      </c>
      <c r="O8" s="6">
        <v>29631</v>
      </c>
      <c r="P8">
        <v>0</v>
      </c>
      <c r="Q8">
        <v>0</v>
      </c>
      <c r="R8">
        <v>0</v>
      </c>
      <c r="S8">
        <v>0</v>
      </c>
      <c r="T8">
        <v>0</v>
      </c>
      <c r="U8" t="s">
        <v>425</v>
      </c>
      <c r="V8">
        <v>0</v>
      </c>
      <c r="W8">
        <v>0</v>
      </c>
      <c r="X8">
        <v>0</v>
      </c>
      <c r="Y8">
        <v>0</v>
      </c>
      <c r="Z8">
        <v>0</v>
      </c>
      <c r="AD8">
        <v>0</v>
      </c>
      <c r="AF8">
        <v>0</v>
      </c>
      <c r="AG8">
        <v>1</v>
      </c>
      <c r="AH8">
        <v>0</v>
      </c>
      <c r="AI8">
        <v>0</v>
      </c>
      <c r="AJ8">
        <v>0</v>
      </c>
      <c r="AN8">
        <v>79664692</v>
      </c>
    </row>
    <row r="9" spans="1:44" x14ac:dyDescent="0.25">
      <c r="A9">
        <v>1</v>
      </c>
      <c r="B9">
        <v>8</v>
      </c>
      <c r="C9">
        <v>33</v>
      </c>
      <c r="D9" t="s">
        <v>372</v>
      </c>
      <c r="E9" t="s">
        <v>246</v>
      </c>
      <c r="F9" t="s">
        <v>247</v>
      </c>
      <c r="G9">
        <v>932</v>
      </c>
      <c r="H9" s="4">
        <v>45687</v>
      </c>
      <c r="I9" s="11">
        <v>45687.58929398148</v>
      </c>
      <c r="L9">
        <v>0</v>
      </c>
      <c r="M9" s="6">
        <v>598790</v>
      </c>
      <c r="N9" s="6">
        <v>113770</v>
      </c>
      <c r="O9" s="6">
        <v>712560</v>
      </c>
      <c r="P9">
        <v>0</v>
      </c>
      <c r="Q9">
        <v>0</v>
      </c>
      <c r="R9">
        <v>0</v>
      </c>
      <c r="S9">
        <v>0</v>
      </c>
      <c r="T9">
        <v>0</v>
      </c>
      <c r="U9" t="s">
        <v>425</v>
      </c>
      <c r="V9">
        <v>0</v>
      </c>
      <c r="W9">
        <v>0</v>
      </c>
      <c r="X9">
        <v>0</v>
      </c>
      <c r="Y9">
        <v>0</v>
      </c>
      <c r="Z9">
        <v>0</v>
      </c>
      <c r="AD9">
        <v>0</v>
      </c>
      <c r="AF9">
        <v>0</v>
      </c>
      <c r="AG9">
        <v>1</v>
      </c>
      <c r="AH9">
        <v>0</v>
      </c>
      <c r="AI9">
        <v>0</v>
      </c>
      <c r="AJ9">
        <v>0</v>
      </c>
      <c r="AN9">
        <v>79664692</v>
      </c>
    </row>
    <row r="10" spans="1:44" x14ac:dyDescent="0.25">
      <c r="A10">
        <v>2</v>
      </c>
      <c r="B10">
        <v>1</v>
      </c>
      <c r="C10">
        <v>33</v>
      </c>
      <c r="D10" t="s">
        <v>372</v>
      </c>
      <c r="E10" t="s">
        <v>428</v>
      </c>
      <c r="F10" t="s">
        <v>429</v>
      </c>
      <c r="G10">
        <v>933</v>
      </c>
      <c r="H10" s="4">
        <v>45695</v>
      </c>
      <c r="I10" s="11">
        <v>45695.814525462964</v>
      </c>
      <c r="L10">
        <v>0</v>
      </c>
      <c r="M10" s="6">
        <v>77000</v>
      </c>
      <c r="N10" s="6">
        <v>14630</v>
      </c>
      <c r="O10" s="6">
        <v>91630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425</v>
      </c>
      <c r="V10">
        <v>0</v>
      </c>
      <c r="W10">
        <v>0</v>
      </c>
      <c r="X10">
        <v>0</v>
      </c>
      <c r="Y10">
        <v>0</v>
      </c>
      <c r="Z10">
        <v>0</v>
      </c>
      <c r="AD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N10">
        <v>79664692</v>
      </c>
    </row>
    <row r="11" spans="1:44" x14ac:dyDescent="0.25">
      <c r="A11">
        <v>2</v>
      </c>
      <c r="B11">
        <v>2</v>
      </c>
      <c r="C11">
        <v>33</v>
      </c>
      <c r="D11" t="s">
        <v>372</v>
      </c>
      <c r="E11" t="s">
        <v>154</v>
      </c>
      <c r="F11" t="s">
        <v>155</v>
      </c>
      <c r="G11">
        <v>934</v>
      </c>
      <c r="H11" s="4">
        <v>45699</v>
      </c>
      <c r="I11" s="11">
        <v>45699.587280092594</v>
      </c>
      <c r="L11">
        <v>0</v>
      </c>
      <c r="M11" s="6">
        <v>439400</v>
      </c>
      <c r="N11" s="6">
        <v>83486</v>
      </c>
      <c r="O11" s="6">
        <v>522886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425</v>
      </c>
      <c r="V11">
        <v>0</v>
      </c>
      <c r="W11">
        <v>0</v>
      </c>
      <c r="X11">
        <v>0</v>
      </c>
      <c r="Y11">
        <v>0</v>
      </c>
      <c r="AD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N11">
        <v>79664692</v>
      </c>
    </row>
    <row r="12" spans="1:44" x14ac:dyDescent="0.25">
      <c r="A12">
        <v>2</v>
      </c>
      <c r="B12">
        <v>3</v>
      </c>
      <c r="C12">
        <v>33</v>
      </c>
      <c r="D12" t="s">
        <v>372</v>
      </c>
      <c r="E12" t="s">
        <v>240</v>
      </c>
      <c r="F12" t="s">
        <v>241</v>
      </c>
      <c r="G12">
        <v>935</v>
      </c>
      <c r="H12" s="4">
        <v>45700</v>
      </c>
      <c r="I12" s="11">
        <v>45700.52380787037</v>
      </c>
      <c r="L12">
        <v>0</v>
      </c>
      <c r="M12" s="6">
        <v>234800</v>
      </c>
      <c r="N12" s="6">
        <v>44612</v>
      </c>
      <c r="O12" s="6">
        <v>279412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425</v>
      </c>
      <c r="V12">
        <v>0</v>
      </c>
      <c r="W12">
        <v>0</v>
      </c>
      <c r="X12">
        <v>0</v>
      </c>
      <c r="Y12">
        <v>0</v>
      </c>
      <c r="Z12">
        <v>0</v>
      </c>
      <c r="AD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N12">
        <v>79664692</v>
      </c>
    </row>
    <row r="13" spans="1:44" x14ac:dyDescent="0.25">
      <c r="A13">
        <v>2</v>
      </c>
      <c r="B13">
        <v>4</v>
      </c>
      <c r="C13">
        <v>33</v>
      </c>
      <c r="D13" t="s">
        <v>372</v>
      </c>
      <c r="E13" t="s">
        <v>158</v>
      </c>
      <c r="F13" t="s">
        <v>159</v>
      </c>
      <c r="G13">
        <v>936</v>
      </c>
      <c r="H13" s="4">
        <v>45700</v>
      </c>
      <c r="I13" s="11">
        <v>45700.535104166665</v>
      </c>
      <c r="L13">
        <v>0</v>
      </c>
      <c r="M13" s="6">
        <v>64500</v>
      </c>
      <c r="N13" s="6">
        <v>12255</v>
      </c>
      <c r="O13" s="6">
        <v>76755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425</v>
      </c>
      <c r="V13">
        <v>0</v>
      </c>
      <c r="W13">
        <v>0</v>
      </c>
      <c r="X13">
        <v>0</v>
      </c>
      <c r="Y13">
        <v>0</v>
      </c>
      <c r="Z13">
        <v>0</v>
      </c>
      <c r="AD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N13">
        <v>79664692</v>
      </c>
    </row>
    <row r="14" spans="1:44" x14ac:dyDescent="0.25">
      <c r="A14">
        <v>2</v>
      </c>
      <c r="B14">
        <v>5</v>
      </c>
      <c r="C14">
        <v>33</v>
      </c>
      <c r="D14" t="s">
        <v>372</v>
      </c>
      <c r="E14" t="s">
        <v>156</v>
      </c>
      <c r="F14" t="s">
        <v>157</v>
      </c>
      <c r="G14">
        <v>937</v>
      </c>
      <c r="H14" s="4">
        <v>45708</v>
      </c>
      <c r="I14" s="11">
        <v>45708.562280092592</v>
      </c>
      <c r="L14">
        <v>0</v>
      </c>
      <c r="M14" s="6">
        <v>54500</v>
      </c>
      <c r="N14" s="6">
        <v>10355</v>
      </c>
      <c r="O14" s="6">
        <v>64855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425</v>
      </c>
      <c r="V14">
        <v>0</v>
      </c>
      <c r="W14">
        <v>0</v>
      </c>
      <c r="X14">
        <v>0</v>
      </c>
      <c r="Y14">
        <v>0</v>
      </c>
      <c r="Z14">
        <v>0</v>
      </c>
      <c r="AD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N14">
        <v>79664692</v>
      </c>
    </row>
    <row r="15" spans="1:44" x14ac:dyDescent="0.25">
      <c r="A15">
        <v>2</v>
      </c>
      <c r="B15">
        <v>6</v>
      </c>
      <c r="C15">
        <v>33</v>
      </c>
      <c r="D15" t="s">
        <v>372</v>
      </c>
      <c r="E15" t="s">
        <v>423</v>
      </c>
      <c r="F15" t="s">
        <v>424</v>
      </c>
      <c r="G15">
        <v>938</v>
      </c>
      <c r="H15" s="4">
        <v>45708</v>
      </c>
      <c r="I15" s="11">
        <v>45708.571666666663</v>
      </c>
      <c r="J15" s="11">
        <v>45711.829074074078</v>
      </c>
      <c r="L15">
        <v>0</v>
      </c>
      <c r="M15" s="6">
        <v>700000</v>
      </c>
      <c r="N15" s="6">
        <v>133000</v>
      </c>
      <c r="O15" s="6">
        <v>833000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425</v>
      </c>
      <c r="V15">
        <v>0</v>
      </c>
      <c r="W15">
        <v>0</v>
      </c>
      <c r="X15">
        <v>0</v>
      </c>
      <c r="Y15">
        <v>0</v>
      </c>
      <c r="AD15">
        <v>0</v>
      </c>
      <c r="AF15">
        <v>0</v>
      </c>
      <c r="AG15">
        <v>2</v>
      </c>
      <c r="AH15">
        <v>0</v>
      </c>
      <c r="AI15">
        <v>0</v>
      </c>
      <c r="AJ15">
        <v>0</v>
      </c>
      <c r="AN15">
        <v>79664692</v>
      </c>
    </row>
    <row r="16" spans="1:44" x14ac:dyDescent="0.25">
      <c r="A16">
        <v>2</v>
      </c>
      <c r="B16">
        <v>7</v>
      </c>
      <c r="C16">
        <v>33</v>
      </c>
      <c r="D16" t="s">
        <v>372</v>
      </c>
      <c r="E16" t="s">
        <v>436</v>
      </c>
      <c r="F16" t="s">
        <v>437</v>
      </c>
      <c r="G16">
        <v>939</v>
      </c>
      <c r="H16" s="4">
        <v>45709</v>
      </c>
      <c r="I16" s="11">
        <v>45709.48741898148</v>
      </c>
      <c r="L16">
        <v>0</v>
      </c>
      <c r="M16" s="6">
        <v>54500</v>
      </c>
      <c r="N16" s="6">
        <v>10355</v>
      </c>
      <c r="O16" s="6">
        <v>64855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425</v>
      </c>
      <c r="V16">
        <v>0</v>
      </c>
      <c r="W16">
        <v>0</v>
      </c>
      <c r="X16">
        <v>0</v>
      </c>
      <c r="Y16">
        <v>0</v>
      </c>
      <c r="Z16">
        <v>0</v>
      </c>
      <c r="AD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N16">
        <v>79664692</v>
      </c>
    </row>
    <row r="17" spans="1:40" x14ac:dyDescent="0.25">
      <c r="A17">
        <v>2</v>
      </c>
      <c r="B17">
        <v>8</v>
      </c>
      <c r="C17">
        <v>61</v>
      </c>
      <c r="D17" t="s">
        <v>372</v>
      </c>
      <c r="E17" t="s">
        <v>156</v>
      </c>
      <c r="F17" t="s">
        <v>157</v>
      </c>
      <c r="G17">
        <v>43</v>
      </c>
      <c r="H17" s="4">
        <v>45709</v>
      </c>
      <c r="I17" s="11">
        <v>45709.483796296299</v>
      </c>
      <c r="L17">
        <v>0</v>
      </c>
      <c r="M17" s="6">
        <v>54500</v>
      </c>
      <c r="N17" s="6">
        <v>10355</v>
      </c>
      <c r="O17" s="6">
        <v>64855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425</v>
      </c>
      <c r="V17">
        <v>0</v>
      </c>
      <c r="W17">
        <v>0</v>
      </c>
      <c r="X17">
        <v>0</v>
      </c>
      <c r="Y17">
        <v>0</v>
      </c>
      <c r="Z17">
        <v>33</v>
      </c>
      <c r="AA17">
        <v>937</v>
      </c>
      <c r="AD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N17">
        <v>79664692</v>
      </c>
    </row>
    <row r="18" spans="1:40" x14ac:dyDescent="0.25">
      <c r="A18">
        <v>3</v>
      </c>
      <c r="B18">
        <v>1</v>
      </c>
      <c r="C18">
        <v>33</v>
      </c>
      <c r="D18" t="s">
        <v>372</v>
      </c>
      <c r="E18" t="s">
        <v>428</v>
      </c>
      <c r="F18" t="s">
        <v>429</v>
      </c>
      <c r="G18">
        <v>940</v>
      </c>
      <c r="H18" s="4">
        <v>45729</v>
      </c>
      <c r="I18" s="11">
        <v>45729.478113425925</v>
      </c>
      <c r="L18">
        <v>0</v>
      </c>
      <c r="M18" s="6">
        <v>378400</v>
      </c>
      <c r="N18" s="6">
        <v>71896</v>
      </c>
      <c r="O18" s="6">
        <v>450296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425</v>
      </c>
      <c r="V18">
        <v>0</v>
      </c>
      <c r="W18">
        <v>0</v>
      </c>
      <c r="X18">
        <v>0</v>
      </c>
      <c r="Y18">
        <v>0</v>
      </c>
      <c r="Z18">
        <v>0</v>
      </c>
      <c r="AD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N18">
        <v>79664692</v>
      </c>
    </row>
    <row r="19" spans="1:40" x14ac:dyDescent="0.25">
      <c r="A19">
        <v>3</v>
      </c>
      <c r="B19">
        <v>2</v>
      </c>
      <c r="C19">
        <v>33</v>
      </c>
      <c r="D19" t="s">
        <v>372</v>
      </c>
      <c r="E19" t="s">
        <v>438</v>
      </c>
      <c r="F19" t="s">
        <v>439</v>
      </c>
      <c r="G19">
        <v>941</v>
      </c>
      <c r="H19" s="4">
        <v>45729</v>
      </c>
      <c r="I19" s="11">
        <v>45729.503449074073</v>
      </c>
      <c r="L19">
        <v>0</v>
      </c>
      <c r="M19" s="6">
        <v>146860</v>
      </c>
      <c r="N19" s="6">
        <v>27903</v>
      </c>
      <c r="O19" s="6">
        <v>174763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425</v>
      </c>
      <c r="V19">
        <v>0</v>
      </c>
      <c r="W19">
        <v>0</v>
      </c>
      <c r="X19">
        <v>0</v>
      </c>
      <c r="Y19">
        <v>0</v>
      </c>
      <c r="Z19">
        <v>0</v>
      </c>
      <c r="AD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N19">
        <v>79664692</v>
      </c>
    </row>
    <row r="20" spans="1:40" x14ac:dyDescent="0.25">
      <c r="A20">
        <v>3</v>
      </c>
      <c r="B20">
        <v>3</v>
      </c>
      <c r="C20">
        <v>33</v>
      </c>
      <c r="D20" t="s">
        <v>372</v>
      </c>
      <c r="E20" t="s">
        <v>246</v>
      </c>
      <c r="F20" t="s">
        <v>247</v>
      </c>
      <c r="G20">
        <v>942</v>
      </c>
      <c r="H20" s="4">
        <v>45734</v>
      </c>
      <c r="I20" s="11">
        <v>45734.350902777776</v>
      </c>
      <c r="L20">
        <v>0</v>
      </c>
      <c r="M20" s="6">
        <v>489720</v>
      </c>
      <c r="N20" s="6">
        <v>93047</v>
      </c>
      <c r="O20" s="6">
        <v>582767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425</v>
      </c>
      <c r="V20">
        <v>0</v>
      </c>
      <c r="W20">
        <v>0</v>
      </c>
      <c r="X20">
        <v>0</v>
      </c>
      <c r="Y20">
        <v>0</v>
      </c>
      <c r="Z20">
        <v>0</v>
      </c>
      <c r="AD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N20">
        <v>79664692</v>
      </c>
    </row>
    <row r="21" spans="1:40" x14ac:dyDescent="0.25">
      <c r="A21">
        <v>3</v>
      </c>
      <c r="B21">
        <v>4</v>
      </c>
      <c r="C21">
        <v>33</v>
      </c>
      <c r="D21" t="s">
        <v>372</v>
      </c>
      <c r="E21" t="s">
        <v>150</v>
      </c>
      <c r="F21" t="s">
        <v>151</v>
      </c>
      <c r="G21">
        <v>943</v>
      </c>
      <c r="H21" s="4">
        <v>45737</v>
      </c>
      <c r="I21" s="11">
        <v>45737.35701388889</v>
      </c>
      <c r="L21">
        <v>0</v>
      </c>
      <c r="M21" s="6">
        <v>216000</v>
      </c>
      <c r="N21" s="6">
        <v>41040</v>
      </c>
      <c r="O21" s="6">
        <v>257040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425</v>
      </c>
      <c r="V21">
        <v>0</v>
      </c>
      <c r="W21">
        <v>0</v>
      </c>
      <c r="X21">
        <v>0</v>
      </c>
      <c r="Y21">
        <v>0</v>
      </c>
      <c r="Z21">
        <v>0</v>
      </c>
      <c r="AD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N21">
        <v>79664692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DEEB-D3CC-914A-8E87-6BC7B99667A4}">
  <dimension ref="B4:D909"/>
  <sheetViews>
    <sheetView zoomScale="81" workbookViewId="0">
      <selection activeCell="B4" sqref="B4"/>
    </sheetView>
  </sheetViews>
  <sheetFormatPr baseColWidth="10" defaultRowHeight="15.75" x14ac:dyDescent="0.25"/>
  <cols>
    <col min="2" max="2" width="36.625" bestFit="1" customWidth="1"/>
    <col min="3" max="3" width="13.25" style="6" bestFit="1" customWidth="1"/>
    <col min="4" max="4" width="14.375" bestFit="1" customWidth="1"/>
    <col min="5" max="5" width="17" bestFit="1" customWidth="1"/>
    <col min="6" max="6" width="14.75" bestFit="1" customWidth="1"/>
  </cols>
  <sheetData>
    <row r="4" spans="2:4" x14ac:dyDescent="0.25">
      <c r="B4" s="8" t="s">
        <v>342</v>
      </c>
      <c r="C4" t="s">
        <v>440</v>
      </c>
      <c r="D4" t="s">
        <v>441</v>
      </c>
    </row>
    <row r="5" spans="2:4" x14ac:dyDescent="0.25">
      <c r="B5" s="9" t="s">
        <v>291</v>
      </c>
      <c r="C5">
        <v>2659</v>
      </c>
      <c r="D5">
        <v>2659</v>
      </c>
    </row>
    <row r="6" spans="2:4" x14ac:dyDescent="0.25">
      <c r="B6" s="10" t="s">
        <v>343</v>
      </c>
      <c r="C6">
        <v>2659</v>
      </c>
      <c r="D6">
        <v>2659</v>
      </c>
    </row>
    <row r="7" spans="2:4" x14ac:dyDescent="0.25">
      <c r="B7" s="9" t="s">
        <v>18</v>
      </c>
      <c r="C7">
        <v>25567910</v>
      </c>
      <c r="D7">
        <v>25567910</v>
      </c>
    </row>
    <row r="8" spans="2:4" x14ac:dyDescent="0.25">
      <c r="B8" s="10" t="s">
        <v>343</v>
      </c>
      <c r="C8">
        <v>25567910</v>
      </c>
      <c r="D8">
        <v>25567910</v>
      </c>
    </row>
    <row r="9" spans="2:4" x14ac:dyDescent="0.25">
      <c r="B9" s="9" t="s">
        <v>27</v>
      </c>
      <c r="C9">
        <v>1000000</v>
      </c>
      <c r="D9">
        <v>1000000</v>
      </c>
    </row>
    <row r="10" spans="2:4" x14ac:dyDescent="0.25">
      <c r="B10" s="10" t="s">
        <v>343</v>
      </c>
      <c r="C10">
        <v>1000000</v>
      </c>
      <c r="D10">
        <v>1000000</v>
      </c>
    </row>
    <row r="11" spans="2:4" x14ac:dyDescent="0.25">
      <c r="B11" s="9" t="s">
        <v>40</v>
      </c>
      <c r="C11">
        <v>41010046</v>
      </c>
      <c r="D11">
        <v>41010046</v>
      </c>
    </row>
    <row r="12" spans="2:4" x14ac:dyDescent="0.25">
      <c r="B12" s="10" t="s">
        <v>343</v>
      </c>
      <c r="C12">
        <v>41010046</v>
      </c>
      <c r="D12">
        <v>41010046</v>
      </c>
    </row>
    <row r="13" spans="2:4" x14ac:dyDescent="0.25">
      <c r="B13" s="9" t="s">
        <v>295</v>
      </c>
      <c r="C13">
        <v>14555747</v>
      </c>
      <c r="D13">
        <v>14555747</v>
      </c>
    </row>
    <row r="14" spans="2:4" x14ac:dyDescent="0.25">
      <c r="B14" s="10" t="s">
        <v>343</v>
      </c>
      <c r="C14">
        <v>14555747</v>
      </c>
      <c r="D14">
        <v>14555747</v>
      </c>
    </row>
    <row r="15" spans="2:4" x14ac:dyDescent="0.25">
      <c r="B15" s="9" t="s">
        <v>126</v>
      </c>
      <c r="C15">
        <v>65419717</v>
      </c>
      <c r="D15">
        <v>65419717</v>
      </c>
    </row>
    <row r="16" spans="2:4" x14ac:dyDescent="0.25">
      <c r="B16" s="10" t="s">
        <v>343</v>
      </c>
      <c r="C16">
        <v>65419717</v>
      </c>
      <c r="D16">
        <v>65419717</v>
      </c>
    </row>
    <row r="17" spans="2:4" x14ac:dyDescent="0.25">
      <c r="B17" s="9" t="s">
        <v>25</v>
      </c>
      <c r="C17">
        <v>28879</v>
      </c>
      <c r="D17">
        <v>28879</v>
      </c>
    </row>
    <row r="18" spans="2:4" x14ac:dyDescent="0.25">
      <c r="B18" s="10" t="s">
        <v>343</v>
      </c>
      <c r="C18">
        <v>28879</v>
      </c>
      <c r="D18">
        <v>28879</v>
      </c>
    </row>
    <row r="19" spans="2:4" x14ac:dyDescent="0.25">
      <c r="B19" s="9" t="s">
        <v>288</v>
      </c>
      <c r="C19">
        <v>19457377</v>
      </c>
      <c r="D19">
        <v>19457377</v>
      </c>
    </row>
    <row r="20" spans="2:4" x14ac:dyDescent="0.25">
      <c r="B20" s="10" t="s">
        <v>343</v>
      </c>
      <c r="C20">
        <v>19457377</v>
      </c>
      <c r="D20">
        <v>19457377</v>
      </c>
    </row>
    <row r="21" spans="2:4" x14ac:dyDescent="0.25">
      <c r="B21" s="9" t="s">
        <v>31</v>
      </c>
      <c r="C21">
        <v>655000</v>
      </c>
      <c r="D21">
        <v>655000</v>
      </c>
    </row>
    <row r="22" spans="2:4" x14ac:dyDescent="0.25">
      <c r="B22" s="10" t="s">
        <v>343</v>
      </c>
      <c r="C22">
        <v>655000</v>
      </c>
      <c r="D22">
        <v>655000</v>
      </c>
    </row>
    <row r="23" spans="2:4" x14ac:dyDescent="0.25">
      <c r="B23" s="9" t="s">
        <v>286</v>
      </c>
      <c r="C23">
        <v>65419717</v>
      </c>
      <c r="D23">
        <v>65419717</v>
      </c>
    </row>
    <row r="24" spans="2:4" x14ac:dyDescent="0.25">
      <c r="B24" s="10" t="s">
        <v>343</v>
      </c>
      <c r="C24">
        <v>65419717</v>
      </c>
      <c r="D24">
        <v>65419717</v>
      </c>
    </row>
    <row r="25" spans="2:4" x14ac:dyDescent="0.25">
      <c r="B25" s="9" t="s">
        <v>37</v>
      </c>
      <c r="C25">
        <v>574757</v>
      </c>
      <c r="D25">
        <v>574757</v>
      </c>
    </row>
    <row r="26" spans="2:4" x14ac:dyDescent="0.25">
      <c r="B26" s="10" t="s">
        <v>343</v>
      </c>
      <c r="C26">
        <v>574757</v>
      </c>
      <c r="D26">
        <v>574757</v>
      </c>
    </row>
    <row r="27" spans="2:4" x14ac:dyDescent="0.25">
      <c r="B27" s="9" t="s">
        <v>338</v>
      </c>
      <c r="C27">
        <v>3927174</v>
      </c>
      <c r="D27">
        <v>3927174</v>
      </c>
    </row>
    <row r="28" spans="2:4" x14ac:dyDescent="0.25">
      <c r="B28" s="10">
        <v>12543</v>
      </c>
      <c r="C28">
        <v>20987</v>
      </c>
      <c r="D28">
        <v>0</v>
      </c>
    </row>
    <row r="29" spans="2:4" x14ac:dyDescent="0.25">
      <c r="B29" s="10">
        <v>220665</v>
      </c>
      <c r="C29">
        <v>104944</v>
      </c>
      <c r="D29">
        <v>0</v>
      </c>
    </row>
    <row r="30" spans="2:4" x14ac:dyDescent="0.25">
      <c r="B30" s="10" t="s">
        <v>339</v>
      </c>
      <c r="C30">
        <v>240202</v>
      </c>
      <c r="D30">
        <v>0</v>
      </c>
    </row>
    <row r="31" spans="2:4" x14ac:dyDescent="0.25">
      <c r="B31" s="10" t="s">
        <v>343</v>
      </c>
      <c r="C31">
        <v>3561041</v>
      </c>
      <c r="D31">
        <v>3927174</v>
      </c>
    </row>
    <row r="32" spans="2:4" x14ac:dyDescent="0.25">
      <c r="B32" s="9" t="s">
        <v>337</v>
      </c>
      <c r="C32">
        <v>10194712</v>
      </c>
      <c r="D32">
        <v>10194712</v>
      </c>
    </row>
    <row r="33" spans="2:4" x14ac:dyDescent="0.25">
      <c r="B33" s="10" t="s">
        <v>343</v>
      </c>
      <c r="C33">
        <v>10194712</v>
      </c>
      <c r="D33">
        <v>10194712</v>
      </c>
    </row>
    <row r="34" spans="2:4" x14ac:dyDescent="0.25">
      <c r="B34" s="9" t="s">
        <v>289</v>
      </c>
      <c r="C34">
        <v>722265</v>
      </c>
      <c r="D34">
        <v>722265</v>
      </c>
    </row>
    <row r="35" spans="2:4" x14ac:dyDescent="0.25">
      <c r="B35" s="10" t="s">
        <v>343</v>
      </c>
      <c r="C35">
        <v>722265</v>
      </c>
      <c r="D35">
        <v>722265</v>
      </c>
    </row>
    <row r="36" spans="2:4" x14ac:dyDescent="0.25">
      <c r="B36" s="9" t="s">
        <v>124</v>
      </c>
      <c r="C36">
        <v>41010046</v>
      </c>
      <c r="D36">
        <v>41010046</v>
      </c>
    </row>
    <row r="37" spans="2:4" x14ac:dyDescent="0.25">
      <c r="B37" s="10" t="s">
        <v>343</v>
      </c>
      <c r="C37">
        <v>41010046</v>
      </c>
      <c r="D37">
        <v>41010046</v>
      </c>
    </row>
    <row r="38" spans="2:4" x14ac:dyDescent="0.25">
      <c r="B38" s="9" t="s">
        <v>26</v>
      </c>
      <c r="C38">
        <v>23470857</v>
      </c>
      <c r="D38">
        <v>23470857</v>
      </c>
    </row>
    <row r="39" spans="2:4" x14ac:dyDescent="0.25">
      <c r="B39" s="10" t="s">
        <v>343</v>
      </c>
      <c r="C39">
        <v>23470857</v>
      </c>
      <c r="D39">
        <v>23470857</v>
      </c>
    </row>
    <row r="40" spans="2:4" x14ac:dyDescent="0.25">
      <c r="B40" s="9" t="s">
        <v>343</v>
      </c>
      <c r="C40"/>
    </row>
    <row r="41" spans="2:4" x14ac:dyDescent="0.25">
      <c r="B41" s="10" t="s">
        <v>343</v>
      </c>
      <c r="C41"/>
    </row>
    <row r="42" spans="2:4" x14ac:dyDescent="0.25">
      <c r="B42" s="9" t="s">
        <v>344</v>
      </c>
      <c r="C42">
        <v>313016863</v>
      </c>
      <c r="D42">
        <v>313016863</v>
      </c>
    </row>
    <row r="43" spans="2:4" x14ac:dyDescent="0.25">
      <c r="C43"/>
    </row>
    <row r="44" spans="2:4" x14ac:dyDescent="0.25">
      <c r="C44"/>
    </row>
    <row r="45" spans="2:4" x14ac:dyDescent="0.25">
      <c r="C45"/>
    </row>
    <row r="46" spans="2:4" x14ac:dyDescent="0.25">
      <c r="C46"/>
    </row>
    <row r="47" spans="2:4" x14ac:dyDescent="0.25">
      <c r="C47"/>
    </row>
    <row r="48" spans="2:4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  <row r="605" spans="3:3" x14ac:dyDescent="0.25">
      <c r="C605"/>
    </row>
    <row r="606" spans="3:3" x14ac:dyDescent="0.25">
      <c r="C606"/>
    </row>
    <row r="607" spans="3:3" x14ac:dyDescent="0.25">
      <c r="C607"/>
    </row>
    <row r="608" spans="3:3" x14ac:dyDescent="0.25">
      <c r="C608"/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  <row r="617" spans="3:3" x14ac:dyDescent="0.25">
      <c r="C617"/>
    </row>
    <row r="618" spans="3:3" x14ac:dyDescent="0.25">
      <c r="C618"/>
    </row>
    <row r="619" spans="3:3" x14ac:dyDescent="0.25">
      <c r="C619"/>
    </row>
    <row r="620" spans="3:3" x14ac:dyDescent="0.25">
      <c r="C620"/>
    </row>
    <row r="621" spans="3:3" x14ac:dyDescent="0.25">
      <c r="C621"/>
    </row>
    <row r="622" spans="3:3" x14ac:dyDescent="0.25">
      <c r="C622"/>
    </row>
    <row r="623" spans="3:3" x14ac:dyDescent="0.25">
      <c r="C623"/>
    </row>
    <row r="624" spans="3:3" x14ac:dyDescent="0.25">
      <c r="C624"/>
    </row>
    <row r="625" spans="3:3" x14ac:dyDescent="0.25">
      <c r="C625"/>
    </row>
    <row r="626" spans="3:3" x14ac:dyDescent="0.25">
      <c r="C626"/>
    </row>
    <row r="627" spans="3:3" x14ac:dyDescent="0.25">
      <c r="C627"/>
    </row>
    <row r="628" spans="3:3" x14ac:dyDescent="0.25">
      <c r="C628"/>
    </row>
    <row r="629" spans="3:3" x14ac:dyDescent="0.25">
      <c r="C629"/>
    </row>
    <row r="630" spans="3:3" x14ac:dyDescent="0.25">
      <c r="C630"/>
    </row>
    <row r="631" spans="3:3" x14ac:dyDescent="0.25">
      <c r="C631"/>
    </row>
    <row r="632" spans="3:3" x14ac:dyDescent="0.25">
      <c r="C632"/>
    </row>
    <row r="633" spans="3:3" x14ac:dyDescent="0.25">
      <c r="C633"/>
    </row>
    <row r="634" spans="3:3" x14ac:dyDescent="0.25">
      <c r="C634"/>
    </row>
    <row r="635" spans="3:3" x14ac:dyDescent="0.25">
      <c r="C635"/>
    </row>
    <row r="636" spans="3:3" x14ac:dyDescent="0.25">
      <c r="C636"/>
    </row>
    <row r="637" spans="3:3" x14ac:dyDescent="0.25">
      <c r="C637"/>
    </row>
    <row r="638" spans="3:3" x14ac:dyDescent="0.25">
      <c r="C638"/>
    </row>
    <row r="639" spans="3:3" x14ac:dyDescent="0.25">
      <c r="C639"/>
    </row>
    <row r="640" spans="3:3" x14ac:dyDescent="0.25">
      <c r="C640"/>
    </row>
    <row r="641" spans="3:3" x14ac:dyDescent="0.25">
      <c r="C641"/>
    </row>
    <row r="642" spans="3:3" x14ac:dyDescent="0.25">
      <c r="C642"/>
    </row>
    <row r="643" spans="3:3" x14ac:dyDescent="0.25">
      <c r="C643"/>
    </row>
    <row r="644" spans="3:3" x14ac:dyDescent="0.25">
      <c r="C644"/>
    </row>
    <row r="645" spans="3:3" x14ac:dyDescent="0.25">
      <c r="C645"/>
    </row>
    <row r="646" spans="3:3" x14ac:dyDescent="0.25">
      <c r="C646"/>
    </row>
    <row r="647" spans="3:3" x14ac:dyDescent="0.25">
      <c r="C647"/>
    </row>
    <row r="648" spans="3:3" x14ac:dyDescent="0.25">
      <c r="C648"/>
    </row>
    <row r="649" spans="3:3" x14ac:dyDescent="0.25">
      <c r="C649"/>
    </row>
    <row r="650" spans="3:3" x14ac:dyDescent="0.25">
      <c r="C650"/>
    </row>
    <row r="651" spans="3:3" x14ac:dyDescent="0.25">
      <c r="C651"/>
    </row>
    <row r="652" spans="3:3" x14ac:dyDescent="0.25">
      <c r="C652"/>
    </row>
    <row r="653" spans="3:3" x14ac:dyDescent="0.25">
      <c r="C653"/>
    </row>
    <row r="654" spans="3:3" x14ac:dyDescent="0.25">
      <c r="C654"/>
    </row>
    <row r="655" spans="3:3" x14ac:dyDescent="0.25">
      <c r="C655"/>
    </row>
    <row r="656" spans="3:3" x14ac:dyDescent="0.25">
      <c r="C656"/>
    </row>
    <row r="657" spans="3:3" x14ac:dyDescent="0.25">
      <c r="C657"/>
    </row>
    <row r="658" spans="3:3" x14ac:dyDescent="0.25">
      <c r="C658"/>
    </row>
    <row r="659" spans="3:3" x14ac:dyDescent="0.25">
      <c r="C659"/>
    </row>
    <row r="660" spans="3:3" x14ac:dyDescent="0.25">
      <c r="C660"/>
    </row>
    <row r="661" spans="3:3" x14ac:dyDescent="0.25">
      <c r="C661"/>
    </row>
    <row r="662" spans="3:3" x14ac:dyDescent="0.25">
      <c r="C662"/>
    </row>
    <row r="663" spans="3:3" x14ac:dyDescent="0.25">
      <c r="C663"/>
    </row>
    <row r="664" spans="3:3" x14ac:dyDescent="0.25">
      <c r="C664"/>
    </row>
    <row r="665" spans="3:3" x14ac:dyDescent="0.25">
      <c r="C665"/>
    </row>
    <row r="666" spans="3:3" x14ac:dyDescent="0.25">
      <c r="C666"/>
    </row>
    <row r="667" spans="3:3" x14ac:dyDescent="0.25">
      <c r="C667"/>
    </row>
    <row r="668" spans="3:3" x14ac:dyDescent="0.25">
      <c r="C668"/>
    </row>
    <row r="669" spans="3:3" x14ac:dyDescent="0.25">
      <c r="C669"/>
    </row>
    <row r="670" spans="3:3" x14ac:dyDescent="0.25">
      <c r="C670"/>
    </row>
    <row r="671" spans="3:3" x14ac:dyDescent="0.25">
      <c r="C671"/>
    </row>
    <row r="672" spans="3:3" x14ac:dyDescent="0.25">
      <c r="C672"/>
    </row>
    <row r="673" spans="3:3" x14ac:dyDescent="0.25">
      <c r="C673"/>
    </row>
    <row r="674" spans="3:3" x14ac:dyDescent="0.25">
      <c r="C674"/>
    </row>
    <row r="675" spans="3:3" x14ac:dyDescent="0.25">
      <c r="C675"/>
    </row>
    <row r="676" spans="3:3" x14ac:dyDescent="0.25">
      <c r="C676"/>
    </row>
    <row r="677" spans="3:3" x14ac:dyDescent="0.25">
      <c r="C677"/>
    </row>
    <row r="678" spans="3:3" x14ac:dyDescent="0.25">
      <c r="C678"/>
    </row>
    <row r="679" spans="3:3" x14ac:dyDescent="0.25">
      <c r="C679"/>
    </row>
    <row r="680" spans="3:3" x14ac:dyDescent="0.25">
      <c r="C680"/>
    </row>
    <row r="681" spans="3:3" x14ac:dyDescent="0.25">
      <c r="C681"/>
    </row>
    <row r="682" spans="3:3" x14ac:dyDescent="0.25">
      <c r="C682"/>
    </row>
    <row r="683" spans="3:3" x14ac:dyDescent="0.25">
      <c r="C683"/>
    </row>
    <row r="684" spans="3:3" x14ac:dyDescent="0.25">
      <c r="C684"/>
    </row>
    <row r="685" spans="3:3" x14ac:dyDescent="0.25">
      <c r="C685"/>
    </row>
    <row r="686" spans="3:3" x14ac:dyDescent="0.25">
      <c r="C686"/>
    </row>
    <row r="687" spans="3:3" x14ac:dyDescent="0.25">
      <c r="C687"/>
    </row>
    <row r="688" spans="3:3" x14ac:dyDescent="0.25">
      <c r="C688"/>
    </row>
    <row r="689" spans="3:3" x14ac:dyDescent="0.25">
      <c r="C689"/>
    </row>
    <row r="690" spans="3:3" x14ac:dyDescent="0.25">
      <c r="C690"/>
    </row>
    <row r="691" spans="3:3" x14ac:dyDescent="0.25">
      <c r="C691"/>
    </row>
    <row r="692" spans="3:3" x14ac:dyDescent="0.25">
      <c r="C692"/>
    </row>
    <row r="693" spans="3:3" x14ac:dyDescent="0.25">
      <c r="C693"/>
    </row>
    <row r="694" spans="3:3" x14ac:dyDescent="0.25">
      <c r="C694"/>
    </row>
    <row r="695" spans="3:3" x14ac:dyDescent="0.25">
      <c r="C695"/>
    </row>
    <row r="696" spans="3:3" x14ac:dyDescent="0.25">
      <c r="C696"/>
    </row>
    <row r="697" spans="3:3" x14ac:dyDescent="0.25">
      <c r="C697"/>
    </row>
    <row r="698" spans="3:3" x14ac:dyDescent="0.25">
      <c r="C698"/>
    </row>
    <row r="699" spans="3:3" x14ac:dyDescent="0.25">
      <c r="C699"/>
    </row>
    <row r="700" spans="3:3" x14ac:dyDescent="0.25">
      <c r="C700"/>
    </row>
    <row r="701" spans="3:3" x14ac:dyDescent="0.25">
      <c r="C701"/>
    </row>
    <row r="702" spans="3:3" x14ac:dyDescent="0.25">
      <c r="C702"/>
    </row>
    <row r="703" spans="3:3" x14ac:dyDescent="0.25">
      <c r="C703"/>
    </row>
    <row r="704" spans="3:3" x14ac:dyDescent="0.25">
      <c r="C704"/>
    </row>
    <row r="705" spans="3:3" x14ac:dyDescent="0.25">
      <c r="C705"/>
    </row>
    <row r="706" spans="3:3" x14ac:dyDescent="0.25">
      <c r="C706"/>
    </row>
    <row r="707" spans="3:3" x14ac:dyDescent="0.25">
      <c r="C707"/>
    </row>
    <row r="708" spans="3:3" x14ac:dyDescent="0.25">
      <c r="C708"/>
    </row>
    <row r="709" spans="3:3" x14ac:dyDescent="0.25">
      <c r="C709"/>
    </row>
    <row r="710" spans="3:3" x14ac:dyDescent="0.25">
      <c r="C710"/>
    </row>
    <row r="711" spans="3:3" x14ac:dyDescent="0.25">
      <c r="C711"/>
    </row>
    <row r="712" spans="3:3" x14ac:dyDescent="0.25">
      <c r="C712"/>
    </row>
    <row r="713" spans="3:3" x14ac:dyDescent="0.25">
      <c r="C713"/>
    </row>
    <row r="714" spans="3:3" x14ac:dyDescent="0.25">
      <c r="C714"/>
    </row>
    <row r="715" spans="3:3" x14ac:dyDescent="0.25">
      <c r="C715"/>
    </row>
    <row r="716" spans="3:3" x14ac:dyDescent="0.25">
      <c r="C716"/>
    </row>
    <row r="717" spans="3:3" x14ac:dyDescent="0.25">
      <c r="C717"/>
    </row>
    <row r="718" spans="3:3" x14ac:dyDescent="0.25">
      <c r="C718"/>
    </row>
    <row r="719" spans="3:3" x14ac:dyDescent="0.25">
      <c r="C719"/>
    </row>
    <row r="720" spans="3:3" x14ac:dyDescent="0.25">
      <c r="C720"/>
    </row>
    <row r="721" spans="3:3" x14ac:dyDescent="0.25">
      <c r="C721"/>
    </row>
    <row r="722" spans="3:3" x14ac:dyDescent="0.25">
      <c r="C722"/>
    </row>
    <row r="723" spans="3:3" x14ac:dyDescent="0.25">
      <c r="C723"/>
    </row>
    <row r="724" spans="3:3" x14ac:dyDescent="0.25">
      <c r="C724"/>
    </row>
    <row r="725" spans="3:3" x14ac:dyDescent="0.25">
      <c r="C725"/>
    </row>
    <row r="726" spans="3:3" x14ac:dyDescent="0.25">
      <c r="C726"/>
    </row>
    <row r="727" spans="3:3" x14ac:dyDescent="0.25">
      <c r="C727"/>
    </row>
    <row r="728" spans="3:3" x14ac:dyDescent="0.25">
      <c r="C728"/>
    </row>
    <row r="729" spans="3:3" x14ac:dyDescent="0.25">
      <c r="C729"/>
    </row>
    <row r="730" spans="3:3" x14ac:dyDescent="0.25">
      <c r="C730"/>
    </row>
    <row r="731" spans="3:3" x14ac:dyDescent="0.25">
      <c r="C731"/>
    </row>
    <row r="732" spans="3:3" x14ac:dyDescent="0.25">
      <c r="C732"/>
    </row>
    <row r="733" spans="3:3" x14ac:dyDescent="0.25">
      <c r="C733"/>
    </row>
    <row r="734" spans="3:3" x14ac:dyDescent="0.25">
      <c r="C734"/>
    </row>
    <row r="735" spans="3:3" x14ac:dyDescent="0.25">
      <c r="C735"/>
    </row>
    <row r="736" spans="3:3" x14ac:dyDescent="0.25">
      <c r="C736"/>
    </row>
    <row r="737" spans="3:3" x14ac:dyDescent="0.25">
      <c r="C737"/>
    </row>
    <row r="738" spans="3:3" x14ac:dyDescent="0.25">
      <c r="C738"/>
    </row>
    <row r="739" spans="3:3" x14ac:dyDescent="0.25">
      <c r="C739"/>
    </row>
    <row r="740" spans="3:3" x14ac:dyDescent="0.25">
      <c r="C740"/>
    </row>
    <row r="741" spans="3:3" x14ac:dyDescent="0.25">
      <c r="C741"/>
    </row>
    <row r="742" spans="3:3" x14ac:dyDescent="0.25">
      <c r="C742"/>
    </row>
    <row r="743" spans="3:3" x14ac:dyDescent="0.25">
      <c r="C743"/>
    </row>
    <row r="744" spans="3:3" x14ac:dyDescent="0.25">
      <c r="C744"/>
    </row>
    <row r="745" spans="3:3" x14ac:dyDescent="0.25">
      <c r="C745"/>
    </row>
    <row r="746" spans="3:3" x14ac:dyDescent="0.25">
      <c r="C746"/>
    </row>
    <row r="747" spans="3:3" x14ac:dyDescent="0.25">
      <c r="C747"/>
    </row>
    <row r="748" spans="3:3" x14ac:dyDescent="0.25">
      <c r="C748"/>
    </row>
    <row r="749" spans="3:3" x14ac:dyDescent="0.25">
      <c r="C749"/>
    </row>
    <row r="750" spans="3:3" x14ac:dyDescent="0.25">
      <c r="C750"/>
    </row>
    <row r="751" spans="3:3" x14ac:dyDescent="0.25">
      <c r="C751"/>
    </row>
    <row r="752" spans="3:3" x14ac:dyDescent="0.25">
      <c r="C752"/>
    </row>
    <row r="753" spans="3:3" x14ac:dyDescent="0.25">
      <c r="C753"/>
    </row>
    <row r="754" spans="3:3" x14ac:dyDescent="0.25">
      <c r="C754"/>
    </row>
    <row r="755" spans="3:3" x14ac:dyDescent="0.25">
      <c r="C755"/>
    </row>
    <row r="756" spans="3:3" x14ac:dyDescent="0.25">
      <c r="C756"/>
    </row>
    <row r="757" spans="3:3" x14ac:dyDescent="0.25">
      <c r="C757"/>
    </row>
    <row r="758" spans="3:3" x14ac:dyDescent="0.25">
      <c r="C758"/>
    </row>
    <row r="759" spans="3:3" x14ac:dyDescent="0.25">
      <c r="C759"/>
    </row>
    <row r="760" spans="3:3" x14ac:dyDescent="0.25">
      <c r="C760"/>
    </row>
    <row r="761" spans="3:3" x14ac:dyDescent="0.25">
      <c r="C761"/>
    </row>
    <row r="762" spans="3:3" x14ac:dyDescent="0.25">
      <c r="C762"/>
    </row>
    <row r="763" spans="3:3" x14ac:dyDescent="0.25">
      <c r="C763"/>
    </row>
    <row r="764" spans="3:3" x14ac:dyDescent="0.25">
      <c r="C764"/>
    </row>
    <row r="765" spans="3:3" x14ac:dyDescent="0.25">
      <c r="C765"/>
    </row>
    <row r="766" spans="3:3" x14ac:dyDescent="0.25">
      <c r="C766"/>
    </row>
    <row r="767" spans="3:3" x14ac:dyDescent="0.25">
      <c r="C767"/>
    </row>
    <row r="768" spans="3:3" x14ac:dyDescent="0.25">
      <c r="C768"/>
    </row>
    <row r="769" spans="3:3" x14ac:dyDescent="0.25">
      <c r="C769"/>
    </row>
    <row r="770" spans="3:3" x14ac:dyDescent="0.25">
      <c r="C770"/>
    </row>
    <row r="771" spans="3:3" x14ac:dyDescent="0.25">
      <c r="C771"/>
    </row>
    <row r="772" spans="3:3" x14ac:dyDescent="0.25">
      <c r="C772"/>
    </row>
    <row r="773" spans="3:3" x14ac:dyDescent="0.25">
      <c r="C773"/>
    </row>
    <row r="774" spans="3:3" x14ac:dyDescent="0.25">
      <c r="C774"/>
    </row>
    <row r="775" spans="3:3" x14ac:dyDescent="0.25">
      <c r="C775"/>
    </row>
    <row r="776" spans="3:3" x14ac:dyDescent="0.25">
      <c r="C776"/>
    </row>
    <row r="777" spans="3:3" x14ac:dyDescent="0.25">
      <c r="C777"/>
    </row>
    <row r="778" spans="3:3" x14ac:dyDescent="0.25">
      <c r="C778"/>
    </row>
    <row r="779" spans="3:3" x14ac:dyDescent="0.25">
      <c r="C779"/>
    </row>
    <row r="780" spans="3:3" x14ac:dyDescent="0.25">
      <c r="C780"/>
    </row>
    <row r="781" spans="3:3" x14ac:dyDescent="0.25">
      <c r="C781"/>
    </row>
    <row r="782" spans="3:3" x14ac:dyDescent="0.25">
      <c r="C782"/>
    </row>
    <row r="783" spans="3:3" x14ac:dyDescent="0.25">
      <c r="C783"/>
    </row>
    <row r="784" spans="3:3" x14ac:dyDescent="0.25">
      <c r="C784"/>
    </row>
    <row r="785" spans="3:3" x14ac:dyDescent="0.25">
      <c r="C785"/>
    </row>
    <row r="786" spans="3:3" x14ac:dyDescent="0.25">
      <c r="C786"/>
    </row>
    <row r="787" spans="3:3" x14ac:dyDescent="0.25">
      <c r="C787"/>
    </row>
    <row r="788" spans="3:3" x14ac:dyDescent="0.25">
      <c r="C788"/>
    </row>
    <row r="789" spans="3:3" x14ac:dyDescent="0.25">
      <c r="C789"/>
    </row>
    <row r="790" spans="3:3" x14ac:dyDescent="0.25">
      <c r="C790"/>
    </row>
    <row r="791" spans="3:3" x14ac:dyDescent="0.25">
      <c r="C791"/>
    </row>
    <row r="792" spans="3:3" x14ac:dyDescent="0.25">
      <c r="C792"/>
    </row>
    <row r="793" spans="3:3" x14ac:dyDescent="0.25">
      <c r="C793"/>
    </row>
    <row r="794" spans="3:3" x14ac:dyDescent="0.25">
      <c r="C794"/>
    </row>
    <row r="795" spans="3:3" x14ac:dyDescent="0.25">
      <c r="C795"/>
    </row>
    <row r="796" spans="3:3" x14ac:dyDescent="0.25">
      <c r="C796"/>
    </row>
    <row r="797" spans="3:3" x14ac:dyDescent="0.25">
      <c r="C797"/>
    </row>
    <row r="798" spans="3:3" x14ac:dyDescent="0.25">
      <c r="C798"/>
    </row>
    <row r="799" spans="3:3" x14ac:dyDescent="0.25">
      <c r="C799"/>
    </row>
    <row r="800" spans="3:3" x14ac:dyDescent="0.25">
      <c r="C800"/>
    </row>
    <row r="801" spans="3:3" x14ac:dyDescent="0.25">
      <c r="C801"/>
    </row>
    <row r="802" spans="3:3" x14ac:dyDescent="0.25">
      <c r="C802"/>
    </row>
    <row r="803" spans="3:3" x14ac:dyDescent="0.25">
      <c r="C803"/>
    </row>
    <row r="804" spans="3:3" x14ac:dyDescent="0.25">
      <c r="C804"/>
    </row>
    <row r="805" spans="3:3" x14ac:dyDescent="0.25">
      <c r="C805"/>
    </row>
    <row r="806" spans="3:3" x14ac:dyDescent="0.25">
      <c r="C806"/>
    </row>
    <row r="807" spans="3:3" x14ac:dyDescent="0.25">
      <c r="C807"/>
    </row>
    <row r="808" spans="3:3" x14ac:dyDescent="0.25">
      <c r="C808"/>
    </row>
    <row r="809" spans="3:3" x14ac:dyDescent="0.25">
      <c r="C809"/>
    </row>
    <row r="810" spans="3:3" x14ac:dyDescent="0.25">
      <c r="C810"/>
    </row>
    <row r="811" spans="3:3" x14ac:dyDescent="0.25">
      <c r="C811"/>
    </row>
    <row r="812" spans="3:3" x14ac:dyDescent="0.25">
      <c r="C812"/>
    </row>
    <row r="813" spans="3:3" x14ac:dyDescent="0.25">
      <c r="C813"/>
    </row>
    <row r="814" spans="3:3" x14ac:dyDescent="0.25">
      <c r="C814"/>
    </row>
    <row r="815" spans="3:3" x14ac:dyDescent="0.25">
      <c r="C815"/>
    </row>
    <row r="816" spans="3:3" x14ac:dyDescent="0.25">
      <c r="C816"/>
    </row>
    <row r="817" spans="3:3" x14ac:dyDescent="0.25">
      <c r="C817"/>
    </row>
    <row r="818" spans="3:3" x14ac:dyDescent="0.25">
      <c r="C818"/>
    </row>
    <row r="819" spans="3:3" x14ac:dyDescent="0.25">
      <c r="C819"/>
    </row>
    <row r="820" spans="3:3" x14ac:dyDescent="0.25">
      <c r="C820"/>
    </row>
    <row r="821" spans="3:3" x14ac:dyDescent="0.25">
      <c r="C821"/>
    </row>
    <row r="822" spans="3:3" x14ac:dyDescent="0.25">
      <c r="C822"/>
    </row>
    <row r="823" spans="3:3" x14ac:dyDescent="0.25">
      <c r="C823"/>
    </row>
    <row r="824" spans="3:3" x14ac:dyDescent="0.25">
      <c r="C824"/>
    </row>
    <row r="825" spans="3:3" x14ac:dyDescent="0.25">
      <c r="C825"/>
    </row>
    <row r="826" spans="3:3" x14ac:dyDescent="0.25">
      <c r="C826"/>
    </row>
    <row r="827" spans="3:3" x14ac:dyDescent="0.25">
      <c r="C827"/>
    </row>
    <row r="828" spans="3:3" x14ac:dyDescent="0.25">
      <c r="C828"/>
    </row>
    <row r="829" spans="3:3" x14ac:dyDescent="0.25">
      <c r="C829"/>
    </row>
    <row r="830" spans="3:3" x14ac:dyDescent="0.25">
      <c r="C830"/>
    </row>
    <row r="831" spans="3:3" x14ac:dyDescent="0.25">
      <c r="C831"/>
    </row>
    <row r="832" spans="3:3" x14ac:dyDescent="0.25">
      <c r="C832"/>
    </row>
    <row r="833" spans="3:3" x14ac:dyDescent="0.25">
      <c r="C833"/>
    </row>
    <row r="834" spans="3:3" x14ac:dyDescent="0.25">
      <c r="C834"/>
    </row>
    <row r="835" spans="3:3" x14ac:dyDescent="0.25">
      <c r="C835"/>
    </row>
    <row r="836" spans="3:3" x14ac:dyDescent="0.25">
      <c r="C836"/>
    </row>
    <row r="837" spans="3:3" x14ac:dyDescent="0.25">
      <c r="C837"/>
    </row>
    <row r="838" spans="3:3" x14ac:dyDescent="0.25">
      <c r="C838"/>
    </row>
    <row r="839" spans="3:3" x14ac:dyDescent="0.25">
      <c r="C839"/>
    </row>
    <row r="840" spans="3:3" x14ac:dyDescent="0.25">
      <c r="C840"/>
    </row>
    <row r="841" spans="3:3" x14ac:dyDescent="0.25">
      <c r="C841"/>
    </row>
    <row r="842" spans="3:3" x14ac:dyDescent="0.25">
      <c r="C842"/>
    </row>
    <row r="843" spans="3:3" x14ac:dyDescent="0.25">
      <c r="C843"/>
    </row>
    <row r="844" spans="3:3" x14ac:dyDescent="0.25">
      <c r="C844"/>
    </row>
    <row r="845" spans="3:3" x14ac:dyDescent="0.25">
      <c r="C845"/>
    </row>
    <row r="846" spans="3:3" x14ac:dyDescent="0.25">
      <c r="C846"/>
    </row>
    <row r="847" spans="3:3" x14ac:dyDescent="0.25">
      <c r="C847"/>
    </row>
    <row r="848" spans="3:3" x14ac:dyDescent="0.25">
      <c r="C848"/>
    </row>
    <row r="849" spans="3:3" x14ac:dyDescent="0.25">
      <c r="C849"/>
    </row>
    <row r="850" spans="3:3" x14ac:dyDescent="0.25">
      <c r="C850"/>
    </row>
    <row r="851" spans="3:3" x14ac:dyDescent="0.25">
      <c r="C851"/>
    </row>
    <row r="852" spans="3:3" x14ac:dyDescent="0.25">
      <c r="C852"/>
    </row>
    <row r="853" spans="3:3" x14ac:dyDescent="0.25">
      <c r="C853"/>
    </row>
    <row r="854" spans="3:3" x14ac:dyDescent="0.25">
      <c r="C854"/>
    </row>
    <row r="855" spans="3:3" x14ac:dyDescent="0.25">
      <c r="C855"/>
    </row>
    <row r="856" spans="3:3" x14ac:dyDescent="0.25">
      <c r="C856"/>
    </row>
    <row r="857" spans="3:3" x14ac:dyDescent="0.25">
      <c r="C857"/>
    </row>
    <row r="858" spans="3:3" x14ac:dyDescent="0.25">
      <c r="C858"/>
    </row>
    <row r="859" spans="3:3" x14ac:dyDescent="0.25">
      <c r="C859"/>
    </row>
    <row r="860" spans="3:3" x14ac:dyDescent="0.25">
      <c r="C860"/>
    </row>
    <row r="861" spans="3:3" x14ac:dyDescent="0.25">
      <c r="C861"/>
    </row>
    <row r="862" spans="3:3" x14ac:dyDescent="0.25">
      <c r="C862"/>
    </row>
    <row r="863" spans="3:3" x14ac:dyDescent="0.25">
      <c r="C863"/>
    </row>
    <row r="864" spans="3:3" x14ac:dyDescent="0.25">
      <c r="C864"/>
    </row>
    <row r="865" spans="3:3" x14ac:dyDescent="0.25">
      <c r="C865"/>
    </row>
    <row r="866" spans="3:3" x14ac:dyDescent="0.25">
      <c r="C866"/>
    </row>
    <row r="867" spans="3:3" x14ac:dyDescent="0.25">
      <c r="C867"/>
    </row>
    <row r="868" spans="3:3" x14ac:dyDescent="0.25">
      <c r="C868"/>
    </row>
    <row r="869" spans="3:3" x14ac:dyDescent="0.25">
      <c r="C869"/>
    </row>
    <row r="870" spans="3:3" x14ac:dyDescent="0.25">
      <c r="C870"/>
    </row>
    <row r="871" spans="3:3" x14ac:dyDescent="0.25">
      <c r="C871"/>
    </row>
    <row r="872" spans="3:3" x14ac:dyDescent="0.25">
      <c r="C872"/>
    </row>
    <row r="873" spans="3:3" x14ac:dyDescent="0.25">
      <c r="C873"/>
    </row>
    <row r="874" spans="3:3" x14ac:dyDescent="0.25">
      <c r="C874"/>
    </row>
    <row r="875" spans="3:3" x14ac:dyDescent="0.25">
      <c r="C875"/>
    </row>
    <row r="876" spans="3:3" x14ac:dyDescent="0.25">
      <c r="C876"/>
    </row>
    <row r="877" spans="3:3" x14ac:dyDescent="0.25">
      <c r="C877"/>
    </row>
    <row r="878" spans="3:3" x14ac:dyDescent="0.25">
      <c r="C878"/>
    </row>
    <row r="879" spans="3:3" x14ac:dyDescent="0.25">
      <c r="C879"/>
    </row>
    <row r="880" spans="3:3" x14ac:dyDescent="0.25">
      <c r="C880"/>
    </row>
    <row r="881" spans="3:3" x14ac:dyDescent="0.25">
      <c r="C881"/>
    </row>
    <row r="882" spans="3:3" x14ac:dyDescent="0.25">
      <c r="C882"/>
    </row>
    <row r="883" spans="3:3" x14ac:dyDescent="0.25">
      <c r="C883"/>
    </row>
    <row r="884" spans="3:3" x14ac:dyDescent="0.25">
      <c r="C884"/>
    </row>
    <row r="885" spans="3:3" x14ac:dyDescent="0.25">
      <c r="C885"/>
    </row>
    <row r="886" spans="3:3" x14ac:dyDescent="0.25">
      <c r="C886"/>
    </row>
    <row r="887" spans="3:3" x14ac:dyDescent="0.25">
      <c r="C887"/>
    </row>
    <row r="888" spans="3:3" x14ac:dyDescent="0.25">
      <c r="C888"/>
    </row>
    <row r="889" spans="3:3" x14ac:dyDescent="0.25">
      <c r="C889"/>
    </row>
    <row r="890" spans="3:3" x14ac:dyDescent="0.25">
      <c r="C890"/>
    </row>
    <row r="891" spans="3:3" x14ac:dyDescent="0.25">
      <c r="C891"/>
    </row>
    <row r="892" spans="3:3" x14ac:dyDescent="0.25">
      <c r="C892"/>
    </row>
    <row r="893" spans="3:3" x14ac:dyDescent="0.25">
      <c r="C893"/>
    </row>
    <row r="894" spans="3:3" x14ac:dyDescent="0.25">
      <c r="C894"/>
    </row>
    <row r="895" spans="3:3" x14ac:dyDescent="0.25">
      <c r="C895"/>
    </row>
    <row r="896" spans="3:3" x14ac:dyDescent="0.25">
      <c r="C896"/>
    </row>
    <row r="897" spans="3:3" x14ac:dyDescent="0.25">
      <c r="C897"/>
    </row>
    <row r="898" spans="3:3" x14ac:dyDescent="0.25">
      <c r="C898"/>
    </row>
    <row r="899" spans="3:3" x14ac:dyDescent="0.25">
      <c r="C899"/>
    </row>
    <row r="900" spans="3:3" x14ac:dyDescent="0.25">
      <c r="C900"/>
    </row>
    <row r="901" spans="3:3" x14ac:dyDescent="0.25">
      <c r="C901"/>
    </row>
    <row r="902" spans="3:3" x14ac:dyDescent="0.25">
      <c r="C902"/>
    </row>
    <row r="903" spans="3:3" x14ac:dyDescent="0.25">
      <c r="C903"/>
    </row>
    <row r="904" spans="3:3" x14ac:dyDescent="0.25">
      <c r="C904"/>
    </row>
    <row r="905" spans="3:3" x14ac:dyDescent="0.25">
      <c r="C905"/>
    </row>
    <row r="906" spans="3:3" x14ac:dyDescent="0.25">
      <c r="C906"/>
    </row>
    <row r="907" spans="3:3" x14ac:dyDescent="0.25">
      <c r="C907"/>
    </row>
    <row r="908" spans="3:3" x14ac:dyDescent="0.25">
      <c r="C908"/>
    </row>
    <row r="909" spans="3:3" x14ac:dyDescent="0.25">
      <c r="C90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Libro compra </vt:lpstr>
      <vt:lpstr>Libro Ventas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LEIVA</dc:creator>
  <cp:lastModifiedBy>Fernando Cofre Álvarez</cp:lastModifiedBy>
  <dcterms:created xsi:type="dcterms:W3CDTF">2025-10-30T21:30:43Z</dcterms:created>
  <dcterms:modified xsi:type="dcterms:W3CDTF">2025-11-26T02:29:48Z</dcterms:modified>
</cp:coreProperties>
</file>